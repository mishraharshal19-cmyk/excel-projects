
<file path=[Content_Types].xml><?xml version="1.0" encoding="utf-8"?>
<Types xmlns="http://schemas.openxmlformats.org/package/2006/content-types">
  <Default Extension="emf" ContentType="image/x-emf"/>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202300"/>
  <mc:AlternateContent xmlns:mc="http://schemas.openxmlformats.org/markup-compatibility/2006">
    <mc:Choice Requires="x15">
      <x15ac:absPath xmlns:x15ac="http://schemas.microsoft.com/office/spreadsheetml/2010/11/ac" url="https://d.docs.live.net/86954d5d742e975e/New folder/"/>
    </mc:Choice>
  </mc:AlternateContent>
  <xr:revisionPtr revIDLastSave="4" documentId="8_{AA249714-09D9-427B-97F0-F011738427F4}" xr6:coauthVersionLast="47" xr6:coauthVersionMax="47" xr10:uidLastSave="{262658C0-37E6-4593-A1BC-27BF8AAB746A}"/>
  <bookViews>
    <workbookView xWindow="-120" yWindow="-120" windowWidth="20730" windowHeight="11040" firstSheet="1" activeTab="3" xr2:uid="{724C66F6-B0CF-4DEA-B638-D777C419EE52}"/>
  </bookViews>
  <sheets>
    <sheet name="Ecommerce_Consumer_Behavior_Ana" sheetId="2" r:id="rId1"/>
    <sheet name="analysis" sheetId="1" r:id="rId2"/>
    <sheet name="pivot table " sheetId="6" r:id="rId3"/>
    <sheet name="pivot chart" sheetId="3" r:id="rId4"/>
  </sheets>
  <definedNames>
    <definedName name="ExternalData_1" localSheetId="1" hidden="1">analysis!$A$1:$AB$1001</definedName>
    <definedName name="ExternalData_1" localSheetId="0" hidden="1">Ecommerce_Consumer_Behavior_Ana!$A$1:$AB$1001</definedName>
    <definedName name="Slicer_Education_Level">#N/A</definedName>
    <definedName name="Slicer_Marital_Status">#N/A</definedName>
    <definedName name="Slicer_Occupation">#N/A</definedName>
    <definedName name="Slicer_Purchase_Amount">#N/A</definedName>
    <definedName name="Slicer_Purchase_Chann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7" i="1" l="1"/>
  <c r="AK6" i="1"/>
  <c r="AK5" i="1"/>
  <c r="AK4" i="1"/>
  <c r="AK3" i="1"/>
  <c r="AG20" i="1"/>
  <c r="AG21" i="1"/>
  <c r="AG22" i="1"/>
  <c r="AG23" i="1"/>
  <c r="AG24" i="1"/>
  <c r="AG25" i="1"/>
  <c r="AG26" i="1"/>
  <c r="AG27" i="1"/>
  <c r="AG28" i="1"/>
  <c r="AG29" i="1"/>
  <c r="AG30" i="1"/>
  <c r="AG31" i="1"/>
  <c r="AG32" i="1"/>
  <c r="AG33" i="1"/>
  <c r="AG34" i="1"/>
  <c r="AG35" i="1"/>
  <c r="AG36" i="1"/>
  <c r="AG37" i="1"/>
  <c r="AG38" i="1"/>
  <c r="AG39" i="1"/>
  <c r="AG40" i="1"/>
  <c r="AG41" i="1"/>
  <c r="AG42" i="1"/>
  <c r="AG43" i="1"/>
  <c r="AG44" i="1"/>
  <c r="AG45" i="1"/>
  <c r="AG46" i="1"/>
  <c r="AG47" i="1"/>
  <c r="AG48" i="1"/>
  <c r="AG49" i="1"/>
  <c r="AG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77" i="1"/>
  <c r="AG78" i="1"/>
  <c r="AG79" i="1"/>
  <c r="AG80" i="1"/>
  <c r="AG81" i="1"/>
  <c r="AG82" i="1"/>
  <c r="AG83" i="1"/>
  <c r="AG84" i="1"/>
  <c r="AG85" i="1"/>
  <c r="AG86" i="1"/>
  <c r="AG87" i="1"/>
  <c r="AG88" i="1"/>
  <c r="AG89" i="1"/>
  <c r="AG90" i="1"/>
  <c r="AG91" i="1"/>
  <c r="AG92" i="1"/>
  <c r="AG93" i="1"/>
  <c r="AG94" i="1"/>
  <c r="AG95" i="1"/>
  <c r="AG96" i="1"/>
  <c r="AG97" i="1"/>
  <c r="AG98" i="1"/>
  <c r="AG99" i="1"/>
  <c r="AG100" i="1"/>
  <c r="AG101" i="1"/>
  <c r="AG102" i="1"/>
  <c r="AG103" i="1"/>
  <c r="AG104" i="1"/>
  <c r="AG105" i="1"/>
  <c r="AG106" i="1"/>
  <c r="AG107" i="1"/>
  <c r="AG108" i="1"/>
  <c r="AG109" i="1"/>
  <c r="AG110" i="1"/>
  <c r="AG111" i="1"/>
  <c r="AG112" i="1"/>
  <c r="AG113" i="1"/>
  <c r="AG114" i="1"/>
  <c r="AG115" i="1"/>
  <c r="AG116" i="1"/>
  <c r="AG117" i="1"/>
  <c r="AG118" i="1"/>
  <c r="AG119" i="1"/>
  <c r="AG120" i="1"/>
  <c r="AG121" i="1"/>
  <c r="AG122" i="1"/>
  <c r="AG123" i="1"/>
  <c r="AG124" i="1"/>
  <c r="AG125" i="1"/>
  <c r="AG126" i="1"/>
  <c r="AG127" i="1"/>
  <c r="AG128" i="1"/>
  <c r="AG129" i="1"/>
  <c r="AG130" i="1"/>
  <c r="AG131" i="1"/>
  <c r="AG132" i="1"/>
  <c r="AG133" i="1"/>
  <c r="AG134" i="1"/>
  <c r="AG135" i="1"/>
  <c r="AG136" i="1"/>
  <c r="AG3" i="1"/>
  <c r="AG4" i="1"/>
  <c r="AG5" i="1"/>
  <c r="AG6" i="1"/>
  <c r="AG7" i="1"/>
  <c r="AG8" i="1"/>
  <c r="AG9" i="1"/>
  <c r="AG10" i="1"/>
  <c r="AG11" i="1"/>
  <c r="AG12" i="1"/>
  <c r="AG13" i="1"/>
  <c r="AG14" i="1"/>
  <c r="AG15" i="1"/>
  <c r="AG16" i="1"/>
  <c r="AG17" i="1"/>
  <c r="AG18" i="1"/>
  <c r="AG19" i="1"/>
  <c r="AG2" i="1"/>
  <c r="AE2" i="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377" i="1"/>
  <c r="AE378" i="1"/>
  <c r="AE379" i="1"/>
  <c r="AE380" i="1"/>
  <c r="AE381" i="1"/>
  <c r="AE382" i="1"/>
  <c r="AE383" i="1"/>
  <c r="AE384" i="1"/>
  <c r="AE385" i="1"/>
  <c r="AE386" i="1"/>
  <c r="AE387" i="1"/>
  <c r="AE388" i="1"/>
  <c r="AE389" i="1"/>
  <c r="AE390" i="1"/>
  <c r="AE391" i="1"/>
  <c r="AE392" i="1"/>
  <c r="AE393" i="1"/>
  <c r="AE394" i="1"/>
  <c r="AE395" i="1"/>
  <c r="AE396" i="1"/>
  <c r="AE397" i="1"/>
  <c r="AE398" i="1"/>
  <c r="AE399" i="1"/>
  <c r="AE400" i="1"/>
  <c r="AE401" i="1"/>
  <c r="AE402" i="1"/>
  <c r="AE403" i="1"/>
  <c r="AE404" i="1"/>
  <c r="AE405" i="1"/>
  <c r="AE406" i="1"/>
  <c r="AE407" i="1"/>
  <c r="AE408" i="1"/>
  <c r="AE409" i="1"/>
  <c r="AE410" i="1"/>
  <c r="AE411" i="1"/>
  <c r="AE412" i="1"/>
  <c r="AE413" i="1"/>
  <c r="AE414" i="1"/>
  <c r="AE415" i="1"/>
  <c r="AE416" i="1"/>
  <c r="AE417" i="1"/>
  <c r="AE418" i="1"/>
  <c r="AE419" i="1"/>
  <c r="AE420" i="1"/>
  <c r="AE421" i="1"/>
  <c r="AE422" i="1"/>
  <c r="AE423" i="1"/>
  <c r="AE424" i="1"/>
  <c r="AE425" i="1"/>
  <c r="AE426" i="1"/>
  <c r="AE427" i="1"/>
  <c r="AE428" i="1"/>
  <c r="AE429" i="1"/>
  <c r="AE430" i="1"/>
  <c r="AE431" i="1"/>
  <c r="AE432" i="1"/>
  <c r="AE433" i="1"/>
  <c r="AE434" i="1"/>
  <c r="AE435" i="1"/>
  <c r="AE436" i="1"/>
  <c r="AE437" i="1"/>
  <c r="AE438" i="1"/>
  <c r="AE439" i="1"/>
  <c r="AE440" i="1"/>
  <c r="AE441" i="1"/>
  <c r="AE442" i="1"/>
  <c r="AE443" i="1"/>
  <c r="AE444" i="1"/>
  <c r="AE445" i="1"/>
  <c r="AE446" i="1"/>
  <c r="AE447" i="1"/>
  <c r="AE448" i="1"/>
  <c r="AE449" i="1"/>
  <c r="AE450" i="1"/>
  <c r="AE451" i="1"/>
  <c r="AE452" i="1"/>
  <c r="AE453" i="1"/>
  <c r="AE454" i="1"/>
  <c r="AE455" i="1"/>
  <c r="AE456" i="1"/>
  <c r="AE457" i="1"/>
  <c r="AE458" i="1"/>
  <c r="AE459" i="1"/>
  <c r="AE460" i="1"/>
  <c r="AE461" i="1"/>
  <c r="AE462" i="1"/>
  <c r="AE463" i="1"/>
  <c r="AE464" i="1"/>
  <c r="AE465" i="1"/>
  <c r="AE466" i="1"/>
  <c r="AE467" i="1"/>
  <c r="AE468" i="1"/>
  <c r="AE469" i="1"/>
  <c r="AE470" i="1"/>
  <c r="AE471" i="1"/>
  <c r="AE472" i="1"/>
  <c r="AE473" i="1"/>
  <c r="AE474" i="1"/>
  <c r="AE475" i="1"/>
  <c r="AE476" i="1"/>
  <c r="AE477" i="1"/>
  <c r="AE478" i="1"/>
  <c r="AE479" i="1"/>
  <c r="AE480" i="1"/>
  <c r="AE481" i="1"/>
  <c r="AE482" i="1"/>
  <c r="AE483" i="1"/>
  <c r="AE484" i="1"/>
  <c r="AE485" i="1"/>
  <c r="AE486" i="1"/>
  <c r="AE487" i="1"/>
  <c r="AE488" i="1"/>
  <c r="AE489" i="1"/>
  <c r="AE490" i="1"/>
  <c r="AE491" i="1"/>
  <c r="AE492" i="1"/>
  <c r="AE493" i="1"/>
  <c r="AE494" i="1"/>
  <c r="AE495" i="1"/>
  <c r="AE496" i="1"/>
  <c r="AE497" i="1"/>
  <c r="AE498" i="1"/>
  <c r="AE499" i="1"/>
  <c r="AE500" i="1"/>
  <c r="AE501" i="1"/>
  <c r="AE502" i="1"/>
  <c r="AE503" i="1"/>
  <c r="AE504" i="1"/>
  <c r="AE505" i="1"/>
  <c r="AE506" i="1"/>
  <c r="AE507" i="1"/>
  <c r="AE508" i="1"/>
  <c r="AE509" i="1"/>
  <c r="AE510" i="1"/>
  <c r="AE511" i="1"/>
  <c r="AE512" i="1"/>
  <c r="AE513" i="1"/>
  <c r="AE514" i="1"/>
  <c r="AE515" i="1"/>
  <c r="AE516" i="1"/>
  <c r="AE517" i="1"/>
  <c r="AE518" i="1"/>
  <c r="AE519" i="1"/>
  <c r="AE520" i="1"/>
  <c r="AE521" i="1"/>
  <c r="AE522" i="1"/>
  <c r="AE523" i="1"/>
  <c r="AE524" i="1"/>
  <c r="AE525" i="1"/>
  <c r="AE526" i="1"/>
  <c r="AE527" i="1"/>
  <c r="AE528" i="1"/>
  <c r="AE529" i="1"/>
  <c r="AE530" i="1"/>
  <c r="AE531" i="1"/>
  <c r="AE532" i="1"/>
  <c r="AE533" i="1"/>
  <c r="AE534" i="1"/>
  <c r="AE535" i="1"/>
  <c r="AE536" i="1"/>
  <c r="AE537" i="1"/>
  <c r="AE538" i="1"/>
  <c r="AE539" i="1"/>
  <c r="AE540" i="1"/>
  <c r="AE541" i="1"/>
  <c r="AE542" i="1"/>
  <c r="AE543" i="1"/>
  <c r="AE544" i="1"/>
  <c r="AE545" i="1"/>
  <c r="AE546" i="1"/>
  <c r="AE547" i="1"/>
  <c r="AE548" i="1"/>
  <c r="AE549" i="1"/>
  <c r="AE550" i="1"/>
  <c r="AE551" i="1"/>
  <c r="AE552" i="1"/>
  <c r="AE553" i="1"/>
  <c r="AE554" i="1"/>
  <c r="AE555" i="1"/>
  <c r="AE556" i="1"/>
  <c r="AE557" i="1"/>
  <c r="AE558" i="1"/>
  <c r="AE559" i="1"/>
  <c r="AE560" i="1"/>
  <c r="AE561" i="1"/>
  <c r="AE562" i="1"/>
  <c r="AE563" i="1"/>
  <c r="AE564" i="1"/>
  <c r="AE565" i="1"/>
  <c r="AE566" i="1"/>
  <c r="AE567" i="1"/>
  <c r="AE568" i="1"/>
  <c r="AE569" i="1"/>
  <c r="AE570" i="1"/>
  <c r="AE571" i="1"/>
  <c r="AE572" i="1"/>
  <c r="AE573" i="1"/>
  <c r="AE574" i="1"/>
  <c r="AE575" i="1"/>
  <c r="AE576" i="1"/>
  <c r="AE577" i="1"/>
  <c r="AE578" i="1"/>
  <c r="AE579" i="1"/>
  <c r="AE580" i="1"/>
  <c r="AE581" i="1"/>
  <c r="AE582" i="1"/>
  <c r="AE583" i="1"/>
  <c r="AE584" i="1"/>
  <c r="AE585" i="1"/>
  <c r="AE586" i="1"/>
  <c r="AE587" i="1"/>
  <c r="AE588" i="1"/>
  <c r="AE589" i="1"/>
  <c r="AE590" i="1"/>
  <c r="AE591" i="1"/>
  <c r="AE592" i="1"/>
  <c r="AE593" i="1"/>
  <c r="AE594" i="1"/>
  <c r="AE595" i="1"/>
  <c r="AE596" i="1"/>
  <c r="AE597" i="1"/>
  <c r="AE598" i="1"/>
  <c r="AE599" i="1"/>
  <c r="AE600" i="1"/>
  <c r="AE601" i="1"/>
  <c r="AE602" i="1"/>
  <c r="AE603" i="1"/>
  <c r="AE604" i="1"/>
  <c r="AE605" i="1"/>
  <c r="AE606" i="1"/>
  <c r="AE607" i="1"/>
  <c r="AE608" i="1"/>
  <c r="AE609" i="1"/>
  <c r="AE610" i="1"/>
  <c r="AE611" i="1"/>
  <c r="AE612" i="1"/>
  <c r="AE613" i="1"/>
  <c r="AE614" i="1"/>
  <c r="AE615" i="1"/>
  <c r="AE616" i="1"/>
  <c r="AE617" i="1"/>
  <c r="AE618" i="1"/>
  <c r="AE619" i="1"/>
  <c r="AE620" i="1"/>
  <c r="AE621" i="1"/>
  <c r="AE622" i="1"/>
  <c r="AE623" i="1"/>
  <c r="AE624" i="1"/>
  <c r="AE625" i="1"/>
  <c r="AE626" i="1"/>
  <c r="AE627" i="1"/>
  <c r="AE628" i="1"/>
  <c r="AE629" i="1"/>
  <c r="AE630" i="1"/>
  <c r="AE631" i="1"/>
  <c r="AE632" i="1"/>
  <c r="AE633" i="1"/>
  <c r="AE634" i="1"/>
  <c r="AE635" i="1"/>
  <c r="AE636" i="1"/>
  <c r="AE637" i="1"/>
  <c r="AE638" i="1"/>
  <c r="AE639" i="1"/>
  <c r="AE640" i="1"/>
  <c r="AE641" i="1"/>
  <c r="AE642" i="1"/>
  <c r="AE643" i="1"/>
  <c r="AE644" i="1"/>
  <c r="AE645" i="1"/>
  <c r="AE646" i="1"/>
  <c r="AE647" i="1"/>
  <c r="AE648" i="1"/>
  <c r="AE649" i="1"/>
  <c r="AE650" i="1"/>
  <c r="AE651" i="1"/>
  <c r="AE652" i="1"/>
  <c r="AE653" i="1"/>
  <c r="AE654" i="1"/>
  <c r="AE655" i="1"/>
  <c r="AE656" i="1"/>
  <c r="AE657" i="1"/>
  <c r="AE658" i="1"/>
  <c r="AE659" i="1"/>
  <c r="AE660" i="1"/>
  <c r="AE661" i="1"/>
  <c r="AE662" i="1"/>
  <c r="AE663" i="1"/>
  <c r="AE664" i="1"/>
  <c r="AE665" i="1"/>
  <c r="AE666" i="1"/>
  <c r="AE667" i="1"/>
  <c r="AE668" i="1"/>
  <c r="AE669" i="1"/>
  <c r="AE670" i="1"/>
  <c r="AE671" i="1"/>
  <c r="AE672" i="1"/>
  <c r="AE673" i="1"/>
  <c r="AE674" i="1"/>
  <c r="AE675" i="1"/>
  <c r="AE676" i="1"/>
  <c r="AE677" i="1"/>
  <c r="AE678" i="1"/>
  <c r="AE679" i="1"/>
  <c r="AE680" i="1"/>
  <c r="AE681" i="1"/>
  <c r="AE682" i="1"/>
  <c r="AE683" i="1"/>
  <c r="AE684" i="1"/>
  <c r="AE685" i="1"/>
  <c r="AE686" i="1"/>
  <c r="AE687" i="1"/>
  <c r="AE688" i="1"/>
  <c r="AE689" i="1"/>
  <c r="AE690" i="1"/>
  <c r="AE691" i="1"/>
  <c r="AE692" i="1"/>
  <c r="AE693" i="1"/>
  <c r="AE694" i="1"/>
  <c r="AE695" i="1"/>
  <c r="AE696" i="1"/>
  <c r="AE697" i="1"/>
  <c r="AE698" i="1"/>
  <c r="AE699" i="1"/>
  <c r="AE700" i="1"/>
  <c r="AE701" i="1"/>
  <c r="AE702" i="1"/>
  <c r="AE703" i="1"/>
  <c r="AE704" i="1"/>
  <c r="AE705" i="1"/>
  <c r="AE706" i="1"/>
  <c r="AE707" i="1"/>
  <c r="AE708" i="1"/>
  <c r="AE709" i="1"/>
  <c r="AE710" i="1"/>
  <c r="AE711" i="1"/>
  <c r="AE712" i="1"/>
  <c r="AE713" i="1"/>
  <c r="AE714" i="1"/>
  <c r="AE715" i="1"/>
  <c r="AE716" i="1"/>
  <c r="AE717" i="1"/>
  <c r="AE718" i="1"/>
  <c r="AE719" i="1"/>
  <c r="AE720" i="1"/>
  <c r="AE721" i="1"/>
  <c r="AE722" i="1"/>
  <c r="AE723" i="1"/>
  <c r="AE724" i="1"/>
  <c r="AE725" i="1"/>
  <c r="AE726" i="1"/>
  <c r="AE727" i="1"/>
  <c r="AE728" i="1"/>
  <c r="AE729" i="1"/>
  <c r="AE730" i="1"/>
  <c r="AE731" i="1"/>
  <c r="AE732" i="1"/>
  <c r="AE733" i="1"/>
  <c r="AE734" i="1"/>
  <c r="AE735" i="1"/>
  <c r="AE736" i="1"/>
  <c r="AE737" i="1"/>
  <c r="AE738" i="1"/>
  <c r="AE739" i="1"/>
  <c r="AE740" i="1"/>
  <c r="AE741" i="1"/>
  <c r="AE742" i="1"/>
  <c r="AE743" i="1"/>
  <c r="AE744" i="1"/>
  <c r="AE745" i="1"/>
  <c r="AE746" i="1"/>
  <c r="AE747" i="1"/>
  <c r="AE748" i="1"/>
  <c r="AE749" i="1"/>
  <c r="AE750" i="1"/>
  <c r="AE751" i="1"/>
  <c r="AE752" i="1"/>
  <c r="AE753" i="1"/>
  <c r="AE754" i="1"/>
  <c r="AE755" i="1"/>
  <c r="AE756" i="1"/>
  <c r="AE757" i="1"/>
  <c r="AE758" i="1"/>
  <c r="AE759" i="1"/>
  <c r="AE760" i="1"/>
  <c r="AE761" i="1"/>
  <c r="AE762" i="1"/>
  <c r="AE763" i="1"/>
  <c r="AE764" i="1"/>
  <c r="AE765" i="1"/>
  <c r="AE766" i="1"/>
  <c r="AE767" i="1"/>
  <c r="AE768" i="1"/>
  <c r="AE769" i="1"/>
  <c r="AE770" i="1"/>
  <c r="AE771" i="1"/>
  <c r="AE772" i="1"/>
  <c r="AE773" i="1"/>
  <c r="AE774" i="1"/>
  <c r="AE775" i="1"/>
  <c r="AE776" i="1"/>
  <c r="AE777" i="1"/>
  <c r="AE778" i="1"/>
  <c r="AE779" i="1"/>
  <c r="AE780" i="1"/>
  <c r="AE781" i="1"/>
  <c r="AE782" i="1"/>
  <c r="AE783" i="1"/>
  <c r="AE784" i="1"/>
  <c r="AE785" i="1"/>
  <c r="AE786" i="1"/>
  <c r="AE787" i="1"/>
  <c r="AE788" i="1"/>
  <c r="AE789" i="1"/>
  <c r="AE790" i="1"/>
  <c r="AE791" i="1"/>
  <c r="AE792" i="1"/>
  <c r="AE793" i="1"/>
  <c r="AE794" i="1"/>
  <c r="AE795" i="1"/>
  <c r="AE796" i="1"/>
  <c r="AE797" i="1"/>
  <c r="AE798" i="1"/>
  <c r="AE799" i="1"/>
  <c r="AE800" i="1"/>
  <c r="AE801" i="1"/>
  <c r="AE802" i="1"/>
  <c r="AE803" i="1"/>
  <c r="AE804" i="1"/>
  <c r="AE805" i="1"/>
  <c r="AE806" i="1"/>
  <c r="AE807" i="1"/>
  <c r="AE808" i="1"/>
  <c r="AE809" i="1"/>
  <c r="AE810" i="1"/>
  <c r="AE811" i="1"/>
  <c r="AE812" i="1"/>
  <c r="AE813" i="1"/>
  <c r="AE814" i="1"/>
  <c r="AE815" i="1"/>
  <c r="AE816" i="1"/>
  <c r="AE817" i="1"/>
  <c r="AE818" i="1"/>
  <c r="AE819" i="1"/>
  <c r="AE820" i="1"/>
  <c r="AE821" i="1"/>
  <c r="AE822" i="1"/>
  <c r="AE823" i="1"/>
  <c r="AE824" i="1"/>
  <c r="AE825" i="1"/>
  <c r="AE826" i="1"/>
  <c r="AE827" i="1"/>
  <c r="AE828" i="1"/>
  <c r="AE829" i="1"/>
  <c r="AE830" i="1"/>
  <c r="AE831" i="1"/>
  <c r="AE832" i="1"/>
  <c r="AE833" i="1"/>
  <c r="AE834" i="1"/>
  <c r="AE835" i="1"/>
  <c r="AE836" i="1"/>
  <c r="AE837" i="1"/>
  <c r="AE838" i="1"/>
  <c r="AE839" i="1"/>
  <c r="AE840" i="1"/>
  <c r="AE841" i="1"/>
  <c r="AE842" i="1"/>
  <c r="AE843" i="1"/>
  <c r="AE844" i="1"/>
  <c r="AE845" i="1"/>
  <c r="AE846" i="1"/>
  <c r="AE847" i="1"/>
  <c r="AE848" i="1"/>
  <c r="AE849" i="1"/>
  <c r="AE850" i="1"/>
  <c r="AE851" i="1"/>
  <c r="AE852" i="1"/>
  <c r="AE853" i="1"/>
  <c r="AE854" i="1"/>
  <c r="AE855" i="1"/>
  <c r="AE856" i="1"/>
  <c r="AE857" i="1"/>
  <c r="AE858" i="1"/>
  <c r="AE859" i="1"/>
  <c r="AE860" i="1"/>
  <c r="AE861" i="1"/>
  <c r="AE862" i="1"/>
  <c r="AE863" i="1"/>
  <c r="AE864" i="1"/>
  <c r="AE865" i="1"/>
  <c r="AE866" i="1"/>
  <c r="AE867" i="1"/>
  <c r="AE868" i="1"/>
  <c r="AE869" i="1"/>
  <c r="AE870" i="1"/>
  <c r="AE871" i="1"/>
  <c r="AE872" i="1"/>
  <c r="AE873" i="1"/>
  <c r="AE874" i="1"/>
  <c r="AE875" i="1"/>
  <c r="AE876" i="1"/>
  <c r="AE877" i="1"/>
  <c r="AE878" i="1"/>
  <c r="AE879" i="1"/>
  <c r="AE880" i="1"/>
  <c r="AE881" i="1"/>
  <c r="AE882" i="1"/>
  <c r="AE883" i="1"/>
  <c r="AE884" i="1"/>
  <c r="AE885" i="1"/>
  <c r="AE886" i="1"/>
  <c r="AE887" i="1"/>
  <c r="AE888" i="1"/>
  <c r="AE889" i="1"/>
  <c r="AE890" i="1"/>
  <c r="AE891" i="1"/>
  <c r="AE892" i="1"/>
  <c r="AE893" i="1"/>
  <c r="AE894" i="1"/>
  <c r="AE895" i="1"/>
  <c r="AE896" i="1"/>
  <c r="AE897" i="1"/>
  <c r="AE898" i="1"/>
  <c r="AE899" i="1"/>
  <c r="AE900" i="1"/>
  <c r="AE901" i="1"/>
  <c r="AE902" i="1"/>
  <c r="AE903" i="1"/>
  <c r="AE904" i="1"/>
  <c r="AE905" i="1"/>
  <c r="AE906" i="1"/>
  <c r="AE907" i="1"/>
  <c r="AE908" i="1"/>
  <c r="AE909" i="1"/>
  <c r="AE910" i="1"/>
  <c r="AE911" i="1"/>
  <c r="AE912" i="1"/>
  <c r="AE913" i="1"/>
  <c r="AE914" i="1"/>
  <c r="AE915" i="1"/>
  <c r="AE916" i="1"/>
  <c r="AE917" i="1"/>
  <c r="AE918" i="1"/>
  <c r="AE919" i="1"/>
  <c r="AE920" i="1"/>
  <c r="AE921" i="1"/>
  <c r="AE922" i="1"/>
  <c r="AE923" i="1"/>
  <c r="AE924" i="1"/>
  <c r="AE925" i="1"/>
  <c r="AE926" i="1"/>
  <c r="AE927" i="1"/>
  <c r="AE928" i="1"/>
  <c r="AE929" i="1"/>
  <c r="AE930" i="1"/>
  <c r="AE931" i="1"/>
  <c r="AE932" i="1"/>
  <c r="AE933" i="1"/>
  <c r="AE934" i="1"/>
  <c r="AE935" i="1"/>
  <c r="AE936" i="1"/>
  <c r="AE937" i="1"/>
  <c r="AE938" i="1"/>
  <c r="AE939" i="1"/>
  <c r="AE940" i="1"/>
  <c r="AE941" i="1"/>
  <c r="AE942" i="1"/>
  <c r="AE943" i="1"/>
  <c r="AE944" i="1"/>
  <c r="AE945" i="1"/>
  <c r="AE946" i="1"/>
  <c r="AE947" i="1"/>
  <c r="AE948" i="1"/>
  <c r="AE949" i="1"/>
  <c r="AE950" i="1"/>
  <c r="AE951" i="1"/>
  <c r="AE952" i="1"/>
  <c r="AE953" i="1"/>
  <c r="AE954" i="1"/>
  <c r="AE955" i="1"/>
  <c r="AE956" i="1"/>
  <c r="AE957" i="1"/>
  <c r="AE958" i="1"/>
  <c r="AE959" i="1"/>
  <c r="AE960" i="1"/>
  <c r="AE961" i="1"/>
  <c r="AE962" i="1"/>
  <c r="AE963" i="1"/>
  <c r="AE964" i="1"/>
  <c r="AE965" i="1"/>
  <c r="AE966" i="1"/>
  <c r="AE967" i="1"/>
  <c r="AE968" i="1"/>
  <c r="AE969" i="1"/>
  <c r="AE970" i="1"/>
  <c r="AE971" i="1"/>
  <c r="AE972" i="1"/>
  <c r="AE973" i="1"/>
  <c r="AE974" i="1"/>
  <c r="AE975" i="1"/>
  <c r="AE976" i="1"/>
  <c r="AE977" i="1"/>
  <c r="AE978" i="1"/>
  <c r="AE979" i="1"/>
  <c r="AE980" i="1"/>
  <c r="AE981" i="1"/>
  <c r="AE982" i="1"/>
  <c r="AE983" i="1"/>
  <c r="AE984" i="1"/>
  <c r="AE985" i="1"/>
  <c r="AE986" i="1"/>
  <c r="AE987" i="1"/>
  <c r="AE988" i="1"/>
  <c r="AE989" i="1"/>
  <c r="AE990" i="1"/>
  <c r="AE991" i="1"/>
  <c r="AE992" i="1"/>
  <c r="AE993" i="1"/>
  <c r="AE994" i="1"/>
  <c r="AE995" i="1"/>
  <c r="AE996" i="1"/>
  <c r="AE997" i="1"/>
  <c r="AE998" i="1"/>
  <c r="AE999" i="1"/>
  <c r="AE1000" i="1"/>
  <c r="AE1001" i="1"/>
  <c r="AD5" i="1"/>
  <c r="AD6" i="1"/>
  <c r="AD7" i="1"/>
  <c r="AD8" i="1"/>
  <c r="AD9" i="1"/>
  <c r="AD10" i="1"/>
  <c r="AD11" i="1"/>
  <c r="AD12" i="1"/>
  <c r="AD13" i="1"/>
  <c r="AD14" i="1"/>
  <c r="AD15" i="1"/>
  <c r="AD16" i="1"/>
  <c r="AD17" i="1"/>
  <c r="AD18" i="1"/>
  <c r="AD19" i="1"/>
  <c r="AD20" i="1"/>
  <c r="AD21" i="1"/>
  <c r="AD22" i="1"/>
  <c r="AD23" i="1"/>
  <c r="AD24" i="1"/>
  <c r="AD25" i="1"/>
  <c r="AD26" i="1"/>
  <c r="AD27" i="1"/>
  <c r="AD28" i="1"/>
  <c r="AD29" i="1"/>
  <c r="AD30" i="1"/>
  <c r="AD31" i="1"/>
  <c r="AD32" i="1"/>
  <c r="AD33" i="1"/>
  <c r="AD34" i="1"/>
  <c r="AD35" i="1"/>
  <c r="AD36" i="1"/>
  <c r="AD37" i="1"/>
  <c r="AD38" i="1"/>
  <c r="AD39" i="1"/>
  <c r="AD40" i="1"/>
  <c r="AD41" i="1"/>
  <c r="AD42" i="1"/>
  <c r="AD43" i="1"/>
  <c r="AD44" i="1"/>
  <c r="AD4" i="1"/>
  <c r="AD2" i="1" a="1"/>
  <c r="AD3" i="1" a="1"/>
  <c r="AD45" i="1" a="1"/>
  <c r="AD46" i="1" a="1"/>
  <c r="AD47" i="1" a="1"/>
  <c r="AD48" i="1" a="1"/>
  <c r="AD49" i="1" a="1"/>
  <c r="AD50" i="1" a="1"/>
  <c r="AD51" i="1" a="1"/>
  <c r="AD52" i="1" a="1"/>
  <c r="AD53" i="1" a="1"/>
  <c r="AD54" i="1" a="1"/>
  <c r="AD55" i="1" a="1"/>
  <c r="AD56" i="1" a="1"/>
  <c r="AD57" i="1" a="1"/>
  <c r="AD58" i="1" a="1"/>
  <c r="AD59" i="1" a="1"/>
  <c r="AD60" i="1" a="1"/>
  <c r="AD61" i="1" a="1"/>
  <c r="AD62" i="1" a="1"/>
  <c r="AD63" i="1" a="1"/>
  <c r="AD64" i="1" a="1"/>
  <c r="AD65" i="1" a="1"/>
  <c r="AD66" i="1" a="1"/>
  <c r="AD67" i="1" a="1"/>
  <c r="AD68" i="1" a="1"/>
  <c r="AD69" i="1" a="1"/>
  <c r="AD70" i="1" a="1"/>
  <c r="AD71" i="1" a="1"/>
  <c r="AD72" i="1" a="1"/>
  <c r="AD73" i="1" a="1"/>
  <c r="AD74" i="1" a="1"/>
  <c r="AD75" i="1" a="1"/>
  <c r="AD76" i="1" a="1"/>
  <c r="AD77" i="1" a="1"/>
  <c r="AD78" i="1" a="1"/>
  <c r="AD79" i="1" a="1"/>
  <c r="AD80" i="1" a="1"/>
  <c r="AD81" i="1" a="1"/>
  <c r="AD82" i="1" a="1"/>
  <c r="AD83" i="1" a="1"/>
  <c r="AD84" i="1" a="1"/>
  <c r="AD85" i="1" a="1"/>
  <c r="AD86" i="1" a="1"/>
  <c r="AD87" i="1" a="1"/>
  <c r="AD88" i="1" a="1"/>
  <c r="AD89" i="1" a="1"/>
  <c r="AD90" i="1" a="1"/>
  <c r="AD91" i="1" a="1"/>
  <c r="AD92" i="1" a="1"/>
  <c r="AD93" i="1" a="1"/>
  <c r="AD94" i="1" a="1"/>
  <c r="AD95" i="1" a="1"/>
  <c r="AD96" i="1" a="1"/>
  <c r="AD97" i="1" a="1"/>
  <c r="AD98" i="1" a="1"/>
  <c r="AD99" i="1" a="1"/>
  <c r="AD100" i="1" a="1"/>
  <c r="AD101" i="1" a="1"/>
  <c r="AD102" i="1" a="1"/>
  <c r="AD103" i="1" a="1"/>
  <c r="AD104" i="1" a="1"/>
  <c r="AD105" i="1" a="1"/>
  <c r="AD106" i="1" a="1"/>
  <c r="AD107" i="1" a="1"/>
  <c r="AD108" i="1" a="1"/>
  <c r="AD109" i="1" a="1"/>
  <c r="AD110" i="1" a="1"/>
  <c r="AD111" i="1" a="1"/>
  <c r="AD112" i="1" a="1"/>
  <c r="AD113" i="1" a="1"/>
  <c r="AD114" i="1" a="1"/>
  <c r="AD115" i="1" a="1"/>
  <c r="AD116" i="1" a="1"/>
  <c r="AD117" i="1" a="1"/>
  <c r="AD118" i="1" a="1"/>
  <c r="AD119" i="1" a="1"/>
  <c r="AD120" i="1" a="1"/>
  <c r="AD121" i="1" a="1"/>
  <c r="AD122" i="1" a="1"/>
  <c r="AD123" i="1" a="1"/>
  <c r="AD124" i="1" a="1"/>
  <c r="AD125" i="1" a="1"/>
  <c r="AD126" i="1" a="1"/>
  <c r="AD127" i="1" a="1"/>
  <c r="AD128" i="1" a="1"/>
  <c r="AD129" i="1" a="1"/>
  <c r="AD130" i="1" a="1"/>
  <c r="AD131" i="1" a="1"/>
  <c r="AD132" i="1" a="1"/>
  <c r="AD133" i="1" a="1"/>
  <c r="AD134" i="1" a="1"/>
  <c r="AD135" i="1" a="1"/>
  <c r="AD136" i="1" a="1"/>
  <c r="AD137" i="1" a="1"/>
  <c r="AD138" i="1" a="1"/>
  <c r="AD139" i="1" a="1"/>
  <c r="AD140" i="1" a="1"/>
  <c r="AD141" i="1" a="1"/>
  <c r="AD142" i="1" a="1"/>
  <c r="AD143" i="1" a="1"/>
  <c r="AD144" i="1" a="1"/>
  <c r="AD145" i="1" a="1"/>
  <c r="AD146" i="1" a="1"/>
  <c r="AD147" i="1" a="1"/>
  <c r="AD148" i="1" a="1"/>
  <c r="AD149" i="1" a="1"/>
  <c r="AD150" i="1" a="1"/>
  <c r="AD151" i="1" a="1"/>
  <c r="AD152" i="1" a="1"/>
  <c r="AD153" i="1" a="1"/>
  <c r="AD154" i="1" a="1"/>
  <c r="AD155" i="1" a="1"/>
  <c r="AD156" i="1" a="1"/>
  <c r="AD157" i="1" a="1"/>
  <c r="AD158" i="1" a="1"/>
  <c r="AD159" i="1" a="1"/>
  <c r="AD160" i="1" a="1"/>
  <c r="AD161" i="1" a="1"/>
  <c r="AD162" i="1" a="1"/>
  <c r="AD163" i="1" a="1"/>
  <c r="AD164" i="1" a="1"/>
  <c r="AD165" i="1" a="1"/>
  <c r="AD166" i="1" a="1"/>
  <c r="AD167" i="1" a="1"/>
  <c r="AD168" i="1" a="1"/>
  <c r="AD169" i="1" a="1"/>
  <c r="AD170" i="1" a="1"/>
  <c r="AD171" i="1" a="1"/>
  <c r="AD172" i="1" a="1"/>
  <c r="AD173" i="1" a="1"/>
  <c r="AD174" i="1" a="1"/>
  <c r="AD175" i="1" a="1"/>
  <c r="AD176" i="1" a="1"/>
  <c r="AD177" i="1" a="1"/>
  <c r="AD178" i="1" a="1"/>
  <c r="AD179" i="1" a="1"/>
  <c r="AD180" i="1" a="1"/>
  <c r="AD181" i="1" a="1"/>
  <c r="AD182" i="1" a="1"/>
  <c r="AD183" i="1" a="1"/>
  <c r="AD184" i="1" a="1"/>
  <c r="AD185" i="1" a="1"/>
  <c r="AD186" i="1" a="1"/>
  <c r="AD187" i="1" a="1"/>
  <c r="AD188" i="1" a="1"/>
  <c r="AD189" i="1" a="1"/>
  <c r="AD190" i="1" a="1"/>
  <c r="AD191" i="1" a="1"/>
  <c r="AD192" i="1" a="1"/>
  <c r="AD193" i="1" a="1"/>
  <c r="AD194" i="1" a="1"/>
  <c r="AD195" i="1" a="1"/>
  <c r="AD196" i="1" a="1"/>
  <c r="AD197" i="1" a="1"/>
  <c r="AD198" i="1" a="1"/>
  <c r="AD199" i="1" a="1"/>
  <c r="AD200" i="1" a="1"/>
  <c r="AD201" i="1" a="1"/>
  <c r="AD202" i="1" a="1"/>
  <c r="AD203" i="1" a="1"/>
  <c r="AD204" i="1" a="1"/>
  <c r="AD205" i="1" a="1"/>
  <c r="AD206" i="1" a="1"/>
  <c r="AD207" i="1" a="1"/>
  <c r="AD208" i="1" a="1"/>
  <c r="AD209" i="1" a="1"/>
  <c r="AD210" i="1" a="1"/>
  <c r="AD211" i="1" a="1"/>
  <c r="AD212" i="1" a="1"/>
  <c r="AD213" i="1" a="1"/>
  <c r="AD214" i="1" a="1"/>
  <c r="AD215" i="1" a="1"/>
  <c r="AD216" i="1" a="1"/>
  <c r="AD217" i="1" a="1"/>
  <c r="AD218" i="1" a="1"/>
  <c r="AD219" i="1" a="1"/>
  <c r="AD220" i="1" a="1"/>
  <c r="AD221" i="1" a="1"/>
  <c r="AD222" i="1" a="1"/>
  <c r="AD223" i="1" a="1"/>
  <c r="AD224" i="1" a="1"/>
  <c r="AD225" i="1" a="1"/>
  <c r="AD226" i="1" a="1"/>
  <c r="AD227" i="1" a="1"/>
  <c r="AD228" i="1" a="1"/>
  <c r="AD229" i="1" a="1"/>
  <c r="AD230" i="1" a="1"/>
  <c r="AD231" i="1" a="1"/>
  <c r="AD232" i="1" a="1"/>
  <c r="AD233" i="1" a="1"/>
  <c r="AD234" i="1" a="1"/>
  <c r="AD235" i="1" a="1"/>
  <c r="AD236" i="1" a="1"/>
  <c r="AD237" i="1" a="1"/>
  <c r="AD238" i="1" a="1"/>
  <c r="AD239" i="1" a="1"/>
  <c r="AD240" i="1" a="1"/>
  <c r="AD241" i="1" a="1"/>
  <c r="AD242" i="1" a="1"/>
  <c r="AD243" i="1" a="1"/>
  <c r="AD244" i="1" a="1"/>
  <c r="AD245" i="1" a="1"/>
  <c r="AD246" i="1" a="1"/>
  <c r="AD247" i="1" a="1"/>
  <c r="AD248" i="1" a="1"/>
  <c r="AD249" i="1" a="1"/>
  <c r="AD250" i="1" a="1"/>
  <c r="AD251" i="1" a="1"/>
  <c r="AD252" i="1" a="1"/>
  <c r="AD253" i="1" a="1"/>
  <c r="AD254" i="1" a="1"/>
  <c r="AD255" i="1" a="1"/>
  <c r="AD256" i="1" a="1"/>
  <c r="AD257" i="1" a="1"/>
  <c r="AD258" i="1" a="1"/>
  <c r="AD259" i="1" a="1"/>
  <c r="AD260" i="1" a="1"/>
  <c r="AD261" i="1" a="1"/>
  <c r="AD262" i="1" a="1"/>
  <c r="AD263" i="1" a="1"/>
  <c r="AD264" i="1" a="1"/>
  <c r="AD265" i="1" a="1"/>
  <c r="AD266" i="1" a="1"/>
  <c r="AD267" i="1" a="1"/>
  <c r="AD268" i="1" a="1"/>
  <c r="AD269" i="1" a="1"/>
  <c r="AD270" i="1" a="1"/>
  <c r="AD271" i="1" a="1"/>
  <c r="AD272" i="1" a="1"/>
  <c r="AD273" i="1" a="1"/>
  <c r="AD274" i="1" a="1"/>
  <c r="AD275" i="1" a="1"/>
  <c r="AD276" i="1" a="1"/>
  <c r="AD277" i="1" a="1"/>
  <c r="AD278" i="1" a="1"/>
  <c r="AD279" i="1" a="1"/>
  <c r="AD280" i="1" a="1"/>
  <c r="AD281" i="1" a="1"/>
  <c r="AD282" i="1" a="1"/>
  <c r="AD283" i="1" a="1"/>
  <c r="AD284" i="1" a="1"/>
  <c r="AD285" i="1" a="1"/>
  <c r="AD286" i="1" a="1"/>
  <c r="AD287" i="1" a="1"/>
  <c r="AD288" i="1" a="1"/>
  <c r="AD289" i="1" a="1"/>
  <c r="AD290" i="1" a="1"/>
  <c r="AD291" i="1" a="1"/>
  <c r="AD292" i="1" a="1"/>
  <c r="AD293" i="1" a="1"/>
  <c r="AD294" i="1" a="1"/>
  <c r="AD295" i="1" a="1"/>
  <c r="AD296" i="1" a="1"/>
  <c r="AD297" i="1" a="1"/>
  <c r="AD298" i="1" a="1"/>
  <c r="AD299" i="1" a="1"/>
  <c r="AD300" i="1" a="1"/>
  <c r="AD301" i="1" a="1"/>
  <c r="AD302" i="1" a="1"/>
  <c r="AD303" i="1" a="1"/>
  <c r="AD304" i="1" a="1"/>
  <c r="AD305" i="1" a="1"/>
  <c r="AD306" i="1" a="1"/>
  <c r="AD307" i="1" a="1"/>
  <c r="AD308" i="1" a="1"/>
  <c r="AD309" i="1" a="1"/>
  <c r="AD310" i="1" a="1"/>
  <c r="AD311" i="1" a="1"/>
  <c r="AD312" i="1" a="1"/>
  <c r="AD313" i="1" a="1"/>
  <c r="AD314" i="1" a="1"/>
  <c r="AD315" i="1" a="1"/>
  <c r="AD316" i="1" a="1"/>
  <c r="AD317" i="1" a="1"/>
  <c r="AD318" i="1" a="1"/>
  <c r="AD319" i="1" a="1"/>
  <c r="AD320" i="1" a="1"/>
  <c r="AD321" i="1" a="1"/>
  <c r="AD322" i="1" a="1"/>
  <c r="AD323" i="1" a="1"/>
  <c r="AD324" i="1" a="1"/>
  <c r="AD325" i="1" a="1"/>
  <c r="AD326" i="1" a="1"/>
  <c r="AD327" i="1" a="1"/>
  <c r="AD328" i="1" a="1"/>
  <c r="AD329" i="1" a="1"/>
  <c r="AD330" i="1" a="1"/>
  <c r="AD331" i="1" a="1"/>
  <c r="AD332" i="1" a="1"/>
  <c r="AD333" i="1" a="1"/>
  <c r="AD334" i="1" a="1"/>
  <c r="AD335" i="1" a="1"/>
  <c r="AD336" i="1" a="1"/>
  <c r="AD337" i="1" a="1"/>
  <c r="AD338" i="1" a="1"/>
  <c r="AD339" i="1" a="1"/>
  <c r="AD340" i="1" a="1"/>
  <c r="AD341" i="1" a="1"/>
  <c r="AD342" i="1" a="1"/>
  <c r="AD343" i="1" a="1"/>
  <c r="AD344" i="1" a="1"/>
  <c r="AD345" i="1" a="1"/>
  <c r="AD346" i="1" a="1"/>
  <c r="AD347" i="1" a="1"/>
  <c r="AD348" i="1" a="1"/>
  <c r="AD349" i="1" a="1"/>
  <c r="AD350" i="1" a="1"/>
  <c r="AD351" i="1" a="1"/>
  <c r="AD352" i="1" a="1"/>
  <c r="AD353" i="1" a="1"/>
  <c r="AD354" i="1" a="1"/>
  <c r="AD355" i="1" a="1"/>
  <c r="AD356" i="1" a="1"/>
  <c r="AD357" i="1" a="1"/>
  <c r="AD358" i="1" a="1"/>
  <c r="AD359" i="1" a="1"/>
  <c r="AD360" i="1" a="1"/>
  <c r="AD361" i="1" a="1"/>
  <c r="AD362" i="1" a="1"/>
  <c r="AD363" i="1" a="1"/>
  <c r="AD364" i="1" a="1"/>
  <c r="AD365" i="1" a="1"/>
  <c r="AD366" i="1" a="1"/>
  <c r="AD367" i="1" a="1"/>
  <c r="AD368" i="1" a="1"/>
  <c r="AD369" i="1" a="1"/>
  <c r="AD370" i="1" a="1"/>
  <c r="AD371" i="1" a="1"/>
  <c r="AD372" i="1" a="1"/>
  <c r="AD373" i="1" a="1"/>
  <c r="AD374" i="1" a="1"/>
  <c r="AD375" i="1" a="1"/>
  <c r="AD376" i="1" a="1"/>
  <c r="AD377" i="1" a="1"/>
  <c r="AD378" i="1" a="1"/>
  <c r="AD379" i="1" a="1"/>
  <c r="AD380" i="1" a="1"/>
  <c r="AD381" i="1" a="1"/>
  <c r="AD382" i="1" a="1"/>
  <c r="AD383" i="1" a="1"/>
  <c r="AD384" i="1" a="1"/>
  <c r="AD385" i="1" a="1"/>
  <c r="AD386" i="1" a="1"/>
  <c r="AD387" i="1" a="1"/>
  <c r="AD388" i="1" a="1"/>
  <c r="AD389" i="1" a="1"/>
  <c r="AD390" i="1" a="1"/>
  <c r="AD391" i="1" a="1"/>
  <c r="AD392" i="1" a="1"/>
  <c r="AD393" i="1" a="1"/>
  <c r="AD394" i="1" a="1"/>
  <c r="AD395" i="1" a="1"/>
  <c r="AD396" i="1" a="1"/>
  <c r="AD397" i="1" a="1"/>
  <c r="AD398" i="1" a="1"/>
  <c r="AD399" i="1" a="1"/>
  <c r="AD400" i="1" a="1"/>
  <c r="AD401" i="1" a="1"/>
  <c r="AD402" i="1" a="1"/>
  <c r="AD403" i="1" a="1"/>
  <c r="AD404" i="1" a="1"/>
  <c r="AD405" i="1" a="1"/>
  <c r="AD406" i="1" a="1"/>
  <c r="AD407" i="1" a="1"/>
  <c r="AD408" i="1" a="1"/>
  <c r="AD409" i="1" a="1"/>
  <c r="AD410" i="1" a="1"/>
  <c r="AD411" i="1" a="1"/>
  <c r="AD412" i="1" a="1"/>
  <c r="AD413" i="1" a="1"/>
  <c r="AD414" i="1" a="1"/>
  <c r="AD415" i="1" a="1"/>
  <c r="AD416" i="1" a="1"/>
  <c r="AD417" i="1" a="1"/>
  <c r="AD418" i="1" a="1"/>
  <c r="AD419" i="1" a="1"/>
  <c r="AD420" i="1" a="1"/>
  <c r="AD421" i="1" a="1"/>
  <c r="AD422" i="1" a="1"/>
  <c r="AD423" i="1" a="1"/>
  <c r="AD424" i="1" a="1"/>
  <c r="AD425" i="1" a="1"/>
  <c r="AD426" i="1" a="1"/>
  <c r="AD427" i="1" a="1"/>
  <c r="AD428" i="1" a="1"/>
  <c r="AD429" i="1" a="1"/>
  <c r="AD430" i="1" a="1"/>
  <c r="AD431" i="1" a="1"/>
  <c r="AD432" i="1" a="1"/>
  <c r="AD433" i="1" a="1"/>
  <c r="AD434" i="1" a="1"/>
  <c r="AD435" i="1" a="1"/>
  <c r="AD436" i="1" a="1"/>
  <c r="AD437" i="1" a="1"/>
  <c r="AD438" i="1" a="1"/>
  <c r="AD439" i="1" a="1"/>
  <c r="AD440" i="1" a="1"/>
  <c r="AD441" i="1" a="1"/>
  <c r="AD442" i="1" a="1"/>
  <c r="AD443" i="1" a="1"/>
  <c r="AD444" i="1" a="1"/>
  <c r="AD445" i="1" a="1"/>
  <c r="AD446" i="1" a="1"/>
  <c r="AD447" i="1" a="1"/>
  <c r="AD448" i="1" a="1"/>
  <c r="AD449" i="1" a="1"/>
  <c r="AD450" i="1" a="1"/>
  <c r="AD451" i="1" a="1"/>
  <c r="AD452" i="1" a="1"/>
  <c r="AD453" i="1" a="1"/>
  <c r="AD454" i="1" a="1"/>
  <c r="AD455" i="1" a="1"/>
  <c r="AD456" i="1" a="1"/>
  <c r="AD457" i="1" a="1"/>
  <c r="AD458" i="1" a="1"/>
  <c r="AD459" i="1" a="1"/>
  <c r="AD460" i="1" a="1"/>
  <c r="AD461" i="1" a="1"/>
  <c r="AD462" i="1" a="1"/>
  <c r="AD463" i="1" a="1"/>
  <c r="AD464" i="1" a="1"/>
  <c r="AD465" i="1" a="1"/>
  <c r="AD466" i="1" a="1"/>
  <c r="AD467" i="1" a="1"/>
  <c r="AD468" i="1" a="1"/>
  <c r="AD469" i="1" a="1"/>
  <c r="AD470" i="1" a="1"/>
  <c r="AD471" i="1" a="1"/>
  <c r="AD472" i="1" a="1"/>
  <c r="AD473" i="1" a="1"/>
  <c r="AD474" i="1" a="1"/>
  <c r="AD475" i="1" a="1"/>
  <c r="AD476" i="1" a="1"/>
  <c r="AD477" i="1" a="1"/>
  <c r="AD478" i="1" a="1"/>
  <c r="AD479" i="1" a="1"/>
  <c r="AD480" i="1" a="1"/>
  <c r="AD481" i="1" a="1"/>
  <c r="AD482" i="1" a="1"/>
  <c r="AD483" i="1" a="1"/>
  <c r="AD484" i="1" a="1"/>
  <c r="AD485" i="1" a="1"/>
  <c r="AD486" i="1" a="1"/>
  <c r="AD487" i="1" a="1"/>
  <c r="AD488" i="1" a="1"/>
  <c r="AD489" i="1" a="1"/>
  <c r="AD490" i="1" a="1"/>
  <c r="AD491" i="1" a="1"/>
  <c r="AD492" i="1" a="1"/>
  <c r="AD493" i="1" a="1"/>
  <c r="AD494" i="1" a="1"/>
  <c r="AD495" i="1" a="1"/>
  <c r="AD496" i="1" a="1"/>
  <c r="AD497" i="1" a="1"/>
  <c r="AD498" i="1" a="1"/>
  <c r="AD499" i="1" a="1"/>
  <c r="AD500" i="1" a="1"/>
  <c r="AD501" i="1" a="1"/>
  <c r="AD502" i="1" a="1"/>
  <c r="AD503" i="1" a="1"/>
  <c r="AD504" i="1" a="1"/>
  <c r="AD505" i="1" a="1"/>
  <c r="AD506" i="1" a="1"/>
  <c r="AD507" i="1" a="1"/>
  <c r="AD508" i="1" a="1"/>
  <c r="AD509" i="1" a="1"/>
  <c r="AD510" i="1" a="1"/>
  <c r="AD511" i="1" a="1"/>
  <c r="AD512" i="1" a="1"/>
  <c r="AD513" i="1" a="1"/>
  <c r="AD514" i="1" a="1"/>
  <c r="AD515" i="1" a="1"/>
  <c r="AD516" i="1" a="1"/>
  <c r="AD517" i="1" a="1"/>
  <c r="AD518" i="1" a="1"/>
  <c r="AD519" i="1" a="1"/>
  <c r="AD520" i="1" a="1"/>
  <c r="AD521" i="1" a="1"/>
  <c r="AD522" i="1" a="1"/>
  <c r="AD523" i="1" a="1"/>
  <c r="AD524" i="1" a="1"/>
  <c r="AD525" i="1" a="1"/>
  <c r="AD526" i="1" a="1"/>
  <c r="AD527" i="1" a="1"/>
  <c r="AD528" i="1" a="1"/>
  <c r="AD529" i="1" a="1"/>
  <c r="AD530" i="1" a="1"/>
  <c r="AD531" i="1" a="1"/>
  <c r="AD532" i="1" a="1"/>
  <c r="AD533" i="1" a="1"/>
  <c r="AD534" i="1" a="1"/>
  <c r="AD535" i="1" a="1"/>
  <c r="AD536" i="1" a="1"/>
  <c r="AD537" i="1" a="1"/>
  <c r="AD538" i="1" a="1"/>
  <c r="AD539" i="1" a="1"/>
  <c r="AD540" i="1" a="1"/>
  <c r="AD541" i="1" a="1"/>
  <c r="AD542" i="1" a="1"/>
  <c r="AD543" i="1" a="1"/>
  <c r="AD544" i="1" a="1"/>
  <c r="AD545" i="1" a="1"/>
  <c r="AD546" i="1" a="1"/>
  <c r="AD547" i="1" a="1"/>
  <c r="AD548" i="1" a="1"/>
  <c r="AD549" i="1" a="1"/>
  <c r="AD550" i="1" a="1"/>
  <c r="AD551" i="1" a="1"/>
  <c r="AD552" i="1" a="1"/>
  <c r="AD553" i="1" a="1"/>
  <c r="AD554" i="1" a="1"/>
  <c r="AD555" i="1" a="1"/>
  <c r="AD556" i="1" a="1"/>
  <c r="AD557" i="1" a="1"/>
  <c r="AD558" i="1" a="1"/>
  <c r="AD559" i="1" a="1"/>
  <c r="AD560" i="1" a="1"/>
  <c r="AD561" i="1" a="1"/>
  <c r="AD562" i="1" a="1"/>
  <c r="AD563" i="1" a="1"/>
  <c r="AD564" i="1" a="1"/>
  <c r="AD565" i="1" a="1"/>
  <c r="AD566" i="1" a="1"/>
  <c r="AD567" i="1" a="1"/>
  <c r="AD568" i="1" a="1"/>
  <c r="AD569" i="1" a="1"/>
  <c r="AD570" i="1" a="1"/>
  <c r="AD571" i="1" a="1"/>
  <c r="AD572" i="1" a="1"/>
  <c r="AD573" i="1" a="1"/>
  <c r="AD574" i="1" a="1"/>
  <c r="AD575" i="1" a="1"/>
  <c r="AD576" i="1" a="1"/>
  <c r="AD577" i="1" a="1"/>
  <c r="AD578" i="1" a="1"/>
  <c r="AD579" i="1" a="1"/>
  <c r="AD580" i="1" a="1"/>
  <c r="AD581" i="1" a="1"/>
  <c r="AD582" i="1" a="1"/>
  <c r="AD583" i="1" a="1"/>
  <c r="AD584" i="1" a="1"/>
  <c r="AD585" i="1" a="1"/>
  <c r="AD586" i="1" a="1"/>
  <c r="AD587" i="1" a="1"/>
  <c r="AD588" i="1" a="1"/>
  <c r="AD589" i="1" a="1"/>
  <c r="AD590" i="1" a="1"/>
  <c r="AD591" i="1" a="1"/>
  <c r="AD592" i="1" a="1"/>
  <c r="AD593" i="1" a="1"/>
  <c r="AD594" i="1" a="1"/>
  <c r="AD595" i="1" a="1"/>
  <c r="AD596" i="1" a="1"/>
  <c r="AD597" i="1" a="1"/>
  <c r="AD598" i="1" a="1"/>
  <c r="AD599" i="1" a="1"/>
  <c r="AD600" i="1" a="1"/>
  <c r="AD601" i="1" a="1"/>
  <c r="AD602" i="1" a="1"/>
  <c r="AD603" i="1" a="1"/>
  <c r="AD604" i="1" a="1"/>
  <c r="AD605" i="1" a="1"/>
  <c r="AD606" i="1" a="1"/>
  <c r="AD607" i="1" a="1"/>
  <c r="AD608" i="1" a="1"/>
  <c r="AD609" i="1" a="1"/>
  <c r="AD610" i="1" a="1"/>
  <c r="AD611" i="1" a="1"/>
  <c r="AD612" i="1" a="1"/>
  <c r="AD613" i="1" a="1"/>
  <c r="AD614" i="1" a="1"/>
  <c r="AD615" i="1" a="1"/>
  <c r="AD616" i="1" a="1"/>
  <c r="AD617" i="1" a="1"/>
  <c r="AD618" i="1" a="1"/>
  <c r="AD619" i="1" a="1"/>
  <c r="AD620" i="1" a="1"/>
  <c r="AD621" i="1" a="1"/>
  <c r="AD622" i="1" a="1"/>
  <c r="AD623" i="1" a="1"/>
  <c r="AD624" i="1" a="1"/>
  <c r="AD625" i="1" a="1"/>
  <c r="AD626" i="1" a="1"/>
  <c r="AD627" i="1" a="1"/>
  <c r="AD628" i="1" a="1"/>
  <c r="AD629" i="1" a="1"/>
  <c r="AD630" i="1" a="1"/>
  <c r="AD631" i="1" a="1"/>
  <c r="AD632" i="1" a="1"/>
  <c r="AD633" i="1" a="1"/>
  <c r="AD634" i="1" a="1"/>
  <c r="AD635" i="1" a="1"/>
  <c r="AD636" i="1" a="1"/>
  <c r="AD637" i="1" a="1"/>
  <c r="AD638" i="1" a="1"/>
  <c r="AD639" i="1" a="1"/>
  <c r="AD640" i="1" a="1"/>
  <c r="AD641" i="1" a="1"/>
  <c r="AD642" i="1" a="1"/>
  <c r="AD643" i="1" a="1"/>
  <c r="AD644" i="1" a="1"/>
  <c r="AD645" i="1" a="1"/>
  <c r="AD646" i="1" a="1"/>
  <c r="AD647" i="1" a="1"/>
  <c r="AD648" i="1" a="1"/>
  <c r="AD649" i="1" a="1"/>
  <c r="AD650" i="1" a="1"/>
  <c r="AD651" i="1" a="1"/>
  <c r="AD652" i="1" a="1"/>
  <c r="AD653" i="1" a="1"/>
  <c r="AD654" i="1" a="1"/>
  <c r="AD655" i="1" a="1"/>
  <c r="AD656" i="1" a="1"/>
  <c r="AD657" i="1" a="1"/>
  <c r="AD658" i="1" a="1"/>
  <c r="AD659" i="1" a="1"/>
  <c r="AD660" i="1" a="1"/>
  <c r="AD661" i="1" a="1"/>
  <c r="AD662" i="1" a="1"/>
  <c r="AD663" i="1" a="1"/>
  <c r="AD664" i="1" a="1"/>
  <c r="AD665" i="1" a="1"/>
  <c r="AD666" i="1" a="1"/>
  <c r="AD667" i="1" a="1"/>
  <c r="AD668" i="1" a="1"/>
  <c r="AD669" i="1" a="1"/>
  <c r="AD670" i="1" a="1"/>
  <c r="AD671" i="1" a="1"/>
  <c r="AD672" i="1" a="1"/>
  <c r="AD673" i="1" a="1"/>
  <c r="AD674" i="1" a="1"/>
  <c r="AD675" i="1" a="1"/>
  <c r="AD676" i="1" a="1"/>
  <c r="AD677" i="1" a="1"/>
  <c r="AD678" i="1" a="1"/>
  <c r="AD679" i="1" a="1"/>
  <c r="AD680" i="1" a="1"/>
  <c r="AD681" i="1" a="1"/>
  <c r="AD682" i="1" a="1"/>
  <c r="AD683" i="1" a="1"/>
  <c r="AD684" i="1" a="1"/>
  <c r="AD685" i="1" a="1"/>
  <c r="AD686" i="1" a="1"/>
  <c r="AD687" i="1" a="1"/>
  <c r="AD688" i="1" a="1"/>
  <c r="AD689" i="1" a="1"/>
  <c r="AD690" i="1" a="1"/>
  <c r="AD691" i="1" a="1"/>
  <c r="AD692" i="1" a="1"/>
  <c r="AD693" i="1" a="1"/>
  <c r="AD694" i="1" a="1"/>
  <c r="AD695" i="1" a="1"/>
  <c r="AD696" i="1" a="1"/>
  <c r="AD697" i="1" a="1"/>
  <c r="AD698" i="1" a="1"/>
  <c r="AD699" i="1" a="1"/>
  <c r="AD700" i="1" a="1"/>
  <c r="AD701" i="1" a="1"/>
  <c r="AD702" i="1" a="1"/>
  <c r="AD703" i="1" a="1"/>
  <c r="AD704" i="1" a="1"/>
  <c r="AD705" i="1" a="1"/>
  <c r="AD706" i="1" a="1"/>
  <c r="AD707" i="1" a="1"/>
  <c r="AD708" i="1" a="1"/>
  <c r="AD709" i="1" a="1"/>
  <c r="AD710" i="1" a="1"/>
  <c r="AD711" i="1" a="1"/>
  <c r="AD712" i="1" a="1"/>
  <c r="AD713" i="1" a="1"/>
  <c r="AD714" i="1" a="1"/>
  <c r="AD715" i="1" a="1"/>
  <c r="AD716" i="1" a="1"/>
  <c r="AD717" i="1" a="1"/>
  <c r="AD718" i="1" a="1"/>
  <c r="AD719" i="1" a="1"/>
  <c r="AD720" i="1" a="1"/>
  <c r="AD721" i="1" a="1"/>
  <c r="AD722" i="1" a="1"/>
  <c r="AD723" i="1" a="1"/>
  <c r="AD724" i="1" a="1"/>
  <c r="AD725" i="1" a="1"/>
  <c r="AD726" i="1" a="1"/>
  <c r="AD727" i="1" a="1"/>
  <c r="AD728" i="1" a="1"/>
  <c r="AD729" i="1" a="1"/>
  <c r="AD730" i="1" a="1"/>
  <c r="AD731" i="1" a="1"/>
  <c r="AD732" i="1" a="1"/>
  <c r="AD733" i="1" a="1"/>
  <c r="AD734" i="1" a="1"/>
  <c r="AD735" i="1" a="1"/>
  <c r="AD736" i="1" a="1"/>
  <c r="AD737" i="1" a="1"/>
  <c r="AD738" i="1" a="1"/>
  <c r="AD739" i="1" a="1"/>
  <c r="AD740" i="1" a="1"/>
  <c r="AD741" i="1" a="1"/>
  <c r="AD742" i="1" a="1"/>
  <c r="AD743" i="1" a="1"/>
  <c r="AD744" i="1" a="1"/>
  <c r="AD745" i="1" a="1"/>
  <c r="AD746" i="1" a="1"/>
  <c r="AD747" i="1" a="1"/>
  <c r="AD748" i="1" a="1"/>
  <c r="AD749" i="1" a="1"/>
  <c r="AD750" i="1" a="1"/>
  <c r="AD751" i="1" a="1"/>
  <c r="AD752" i="1" a="1"/>
  <c r="AD753" i="1" a="1"/>
  <c r="AD754" i="1" a="1"/>
  <c r="AD755" i="1" a="1"/>
  <c r="AD756" i="1" a="1"/>
  <c r="AD757" i="1" a="1"/>
  <c r="AD758" i="1" a="1"/>
  <c r="AD759" i="1" a="1"/>
  <c r="AD760" i="1" a="1"/>
  <c r="AD761" i="1" a="1"/>
  <c r="AD762" i="1" a="1"/>
  <c r="AD763" i="1" a="1"/>
  <c r="AD764" i="1" a="1"/>
  <c r="AD765" i="1" a="1"/>
  <c r="AD766" i="1" a="1"/>
  <c r="AD767" i="1" a="1"/>
  <c r="AD768" i="1" a="1"/>
  <c r="AD769" i="1" a="1"/>
  <c r="AD770" i="1" a="1"/>
  <c r="AD771" i="1" a="1"/>
  <c r="AD772" i="1" a="1"/>
  <c r="AD773" i="1" a="1"/>
  <c r="AD774" i="1" a="1"/>
  <c r="AD775" i="1" a="1"/>
  <c r="AD776" i="1" a="1"/>
  <c r="AD777" i="1" a="1"/>
  <c r="AD778" i="1" a="1"/>
  <c r="AD779" i="1" a="1"/>
  <c r="AD780" i="1" a="1"/>
  <c r="AD781" i="1" a="1"/>
  <c r="AD782" i="1" a="1"/>
  <c r="AD783" i="1" a="1"/>
  <c r="AD784" i="1" a="1"/>
  <c r="AD785" i="1" a="1"/>
  <c r="AD786" i="1" a="1"/>
  <c r="AD787" i="1" a="1"/>
  <c r="AD788" i="1" a="1"/>
  <c r="AD789" i="1" a="1"/>
  <c r="AD790" i="1" a="1"/>
  <c r="AD791" i="1" a="1"/>
  <c r="AD792" i="1" a="1"/>
  <c r="AD793" i="1" a="1"/>
  <c r="AD794" i="1" a="1"/>
  <c r="AD795" i="1" a="1"/>
  <c r="AD796" i="1" a="1"/>
  <c r="AD797" i="1" a="1"/>
  <c r="AD798" i="1" a="1"/>
  <c r="AD799" i="1" a="1"/>
  <c r="AD800" i="1" a="1"/>
  <c r="AD801" i="1" a="1"/>
  <c r="AD802" i="1" a="1"/>
  <c r="AD803" i="1" a="1"/>
  <c r="AD804" i="1" a="1"/>
  <c r="AD805" i="1" a="1"/>
  <c r="AD806" i="1" a="1"/>
  <c r="AD807" i="1" a="1"/>
  <c r="AD808" i="1" a="1"/>
  <c r="AD809" i="1" a="1"/>
  <c r="AD810" i="1" a="1"/>
  <c r="AD811" i="1" a="1"/>
  <c r="AD812" i="1" a="1"/>
  <c r="AD813" i="1" a="1"/>
  <c r="AD814" i="1" a="1"/>
  <c r="AD815" i="1" a="1"/>
  <c r="AD816" i="1" a="1"/>
  <c r="AD817" i="1" a="1"/>
  <c r="AD818" i="1" a="1"/>
  <c r="AD819" i="1" a="1"/>
  <c r="AD820" i="1" a="1"/>
  <c r="AD821" i="1" a="1"/>
  <c r="AD822" i="1" a="1"/>
  <c r="AD823" i="1" a="1"/>
  <c r="AD824" i="1" a="1"/>
  <c r="AD825" i="1" a="1"/>
  <c r="AD826" i="1" a="1"/>
  <c r="AD827" i="1" a="1"/>
  <c r="AD828" i="1" a="1"/>
  <c r="AD829" i="1" a="1"/>
  <c r="AD830" i="1" a="1"/>
  <c r="AD831" i="1" a="1"/>
  <c r="AD832" i="1" a="1"/>
  <c r="AD833" i="1" a="1"/>
  <c r="AD834" i="1" a="1"/>
  <c r="AD835" i="1" a="1"/>
  <c r="AD836" i="1" a="1"/>
  <c r="AD837" i="1" a="1"/>
  <c r="AD838" i="1" a="1"/>
  <c r="AD839" i="1" a="1"/>
  <c r="AD840" i="1" a="1"/>
  <c r="AD841" i="1" a="1"/>
  <c r="AD842" i="1" a="1"/>
  <c r="AD843" i="1" a="1"/>
  <c r="AD844" i="1" a="1"/>
  <c r="AD845" i="1" a="1"/>
  <c r="AD846" i="1" a="1"/>
  <c r="AD847" i="1" a="1"/>
  <c r="AD848" i="1" a="1"/>
  <c r="AD849" i="1" a="1"/>
  <c r="AD850" i="1" a="1"/>
  <c r="AD851" i="1" a="1"/>
  <c r="AD852" i="1" a="1"/>
  <c r="AD853" i="1" a="1"/>
  <c r="AD854" i="1" a="1"/>
  <c r="AD855" i="1" a="1"/>
  <c r="AD856" i="1" a="1"/>
  <c r="AD857" i="1" a="1"/>
  <c r="AD858" i="1" a="1"/>
  <c r="AD859" i="1" a="1"/>
  <c r="AD860" i="1" a="1"/>
  <c r="AD861" i="1" a="1"/>
  <c r="AD862" i="1" a="1"/>
  <c r="AD863" i="1" a="1"/>
  <c r="AD864" i="1" a="1"/>
  <c r="AD865" i="1" a="1"/>
  <c r="AD866" i="1" a="1"/>
  <c r="AD867" i="1" a="1"/>
  <c r="AD868" i="1" a="1"/>
  <c r="AD869" i="1" a="1"/>
  <c r="AD870" i="1" a="1"/>
  <c r="AD871" i="1" a="1"/>
  <c r="AD872" i="1" a="1"/>
  <c r="AD873" i="1" a="1"/>
  <c r="AD874" i="1" a="1"/>
  <c r="AD875" i="1" a="1"/>
  <c r="AD876" i="1" a="1"/>
  <c r="AD877" i="1" a="1"/>
  <c r="AD878" i="1" a="1"/>
  <c r="AD879" i="1" a="1"/>
  <c r="AD880" i="1" a="1"/>
  <c r="AD881" i="1" a="1"/>
  <c r="AD882" i="1" a="1"/>
  <c r="AD883" i="1" a="1"/>
  <c r="AD884" i="1" a="1"/>
  <c r="AD885" i="1" a="1"/>
  <c r="AD886" i="1" a="1"/>
  <c r="AD887" i="1" a="1"/>
  <c r="AD888" i="1" a="1"/>
  <c r="AD889" i="1" a="1"/>
  <c r="AD890" i="1" a="1"/>
  <c r="AD891" i="1" a="1"/>
  <c r="AD892" i="1" a="1"/>
  <c r="AD893" i="1" a="1"/>
  <c r="AD894" i="1" a="1"/>
  <c r="AD895" i="1" a="1"/>
  <c r="AD896" i="1" a="1"/>
  <c r="AD897" i="1" a="1"/>
  <c r="AD898" i="1" a="1"/>
  <c r="AD899" i="1" a="1"/>
  <c r="AD900" i="1" a="1"/>
  <c r="AD901" i="1" a="1"/>
  <c r="AD902" i="1" a="1"/>
  <c r="AD903" i="1" a="1"/>
  <c r="AD904" i="1" a="1"/>
  <c r="AD905" i="1" a="1"/>
  <c r="AD906" i="1" a="1"/>
  <c r="AD907" i="1" a="1"/>
  <c r="AD908" i="1" a="1"/>
  <c r="AD909" i="1" a="1"/>
  <c r="AD910" i="1" a="1"/>
  <c r="AD911" i="1" a="1"/>
  <c r="AD912" i="1" a="1"/>
  <c r="AD913" i="1" a="1"/>
  <c r="AD914" i="1" a="1"/>
  <c r="AD915" i="1" a="1"/>
  <c r="AD916" i="1" a="1"/>
  <c r="AD917" i="1" a="1"/>
  <c r="AD918" i="1" a="1"/>
  <c r="AD919" i="1" a="1"/>
  <c r="AD920" i="1" a="1"/>
  <c r="AD921" i="1" a="1"/>
  <c r="AD922" i="1" a="1"/>
  <c r="AD923" i="1" a="1"/>
  <c r="AD924" i="1" a="1"/>
  <c r="AD925" i="1" a="1"/>
  <c r="AD926" i="1" a="1"/>
  <c r="AD927" i="1" a="1"/>
  <c r="AD928" i="1" a="1"/>
  <c r="AD929" i="1" a="1"/>
  <c r="AD930" i="1" a="1"/>
  <c r="AD931" i="1" a="1"/>
  <c r="AD932" i="1" a="1"/>
  <c r="AD933" i="1" a="1"/>
  <c r="AD934" i="1" a="1"/>
  <c r="AD935" i="1" a="1"/>
  <c r="AD936" i="1" a="1"/>
  <c r="AD937" i="1" a="1"/>
  <c r="AD938" i="1" a="1"/>
  <c r="AD939" i="1" a="1"/>
  <c r="AD940" i="1" a="1"/>
  <c r="AD941" i="1" a="1"/>
  <c r="AD942" i="1" a="1"/>
  <c r="AD943" i="1" a="1"/>
  <c r="AD944" i="1" a="1"/>
  <c r="AD945" i="1" a="1"/>
  <c r="AD946" i="1" a="1"/>
  <c r="AD947" i="1" a="1"/>
  <c r="AD948" i="1" a="1"/>
  <c r="AD949" i="1" a="1"/>
  <c r="AD950" i="1" a="1"/>
  <c r="AD951" i="1" a="1"/>
  <c r="AD952" i="1" a="1"/>
  <c r="AD953" i="1" a="1"/>
  <c r="AD954" i="1" a="1"/>
  <c r="AD955" i="1" a="1"/>
  <c r="AD956" i="1" a="1"/>
  <c r="AD957" i="1" a="1"/>
  <c r="AD958" i="1" a="1"/>
  <c r="AD959" i="1" a="1"/>
  <c r="AD960" i="1" a="1"/>
  <c r="AD961" i="1" a="1"/>
  <c r="AD962" i="1" a="1"/>
  <c r="AD963" i="1" a="1"/>
  <c r="AD964" i="1" a="1"/>
  <c r="AD965" i="1" a="1"/>
  <c r="AD966" i="1" a="1"/>
  <c r="AD967" i="1" a="1"/>
  <c r="AD968" i="1" a="1"/>
  <c r="AD969" i="1" a="1"/>
  <c r="AD970" i="1" a="1"/>
  <c r="AD971" i="1" a="1"/>
  <c r="AD972" i="1" a="1"/>
  <c r="AD973" i="1" a="1"/>
  <c r="AD974" i="1" a="1"/>
  <c r="AD975" i="1" a="1"/>
  <c r="AD976" i="1" a="1"/>
  <c r="AD977" i="1" a="1"/>
  <c r="AD978" i="1" a="1"/>
  <c r="AD979" i="1" a="1"/>
  <c r="AD980" i="1" a="1"/>
  <c r="AD981" i="1" a="1"/>
  <c r="AD982" i="1" a="1"/>
  <c r="AD983" i="1" a="1"/>
  <c r="AD984" i="1" a="1"/>
  <c r="AD985" i="1" a="1"/>
  <c r="AD986" i="1" a="1"/>
  <c r="AD987" i="1" a="1"/>
  <c r="AD988" i="1" a="1"/>
  <c r="AD989" i="1" a="1"/>
  <c r="AD990" i="1" a="1"/>
  <c r="AD991" i="1" a="1"/>
  <c r="AD992" i="1" a="1"/>
  <c r="AD993" i="1" a="1"/>
  <c r="AD994" i="1" a="1"/>
  <c r="AD995" i="1" a="1"/>
  <c r="AD996" i="1" a="1"/>
  <c r="AD997" i="1" a="1"/>
  <c r="AD998" i="1" a="1"/>
  <c r="AD999" i="1" a="1"/>
  <c r="AD1000" i="1" a="1"/>
  <c r="AD1001" i="1" a="1"/>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106" i="1"/>
  <c r="AC107" i="1"/>
  <c r="AC108" i="1"/>
  <c r="AC109" i="1"/>
  <c r="AC110" i="1"/>
  <c r="AC111" i="1"/>
  <c r="AC112" i="1"/>
  <c r="AC113" i="1"/>
  <c r="AC114" i="1"/>
  <c r="AC115" i="1"/>
  <c r="AC116" i="1"/>
  <c r="AC117" i="1"/>
  <c r="AC118" i="1"/>
  <c r="AC119" i="1"/>
  <c r="AC120" i="1"/>
  <c r="AC121" i="1"/>
  <c r="AC122" i="1"/>
  <c r="AC123" i="1"/>
  <c r="AC124" i="1"/>
  <c r="AC125" i="1"/>
  <c r="AC126" i="1"/>
  <c r="AC127" i="1"/>
  <c r="AC128" i="1"/>
  <c r="AC129" i="1"/>
  <c r="AC130" i="1"/>
  <c r="AC131" i="1"/>
  <c r="AC132" i="1"/>
  <c r="AC133" i="1"/>
  <c r="AC134" i="1"/>
  <c r="AC135" i="1"/>
  <c r="AC136" i="1"/>
  <c r="AC137" i="1"/>
  <c r="AC138" i="1"/>
  <c r="AC139" i="1"/>
  <c r="AC140" i="1"/>
  <c r="AC141" i="1"/>
  <c r="AC142" i="1"/>
  <c r="AC143" i="1"/>
  <c r="AC144" i="1"/>
  <c r="AC145" i="1"/>
  <c r="AC146" i="1"/>
  <c r="AC147" i="1"/>
  <c r="AC148" i="1"/>
  <c r="AC149" i="1"/>
  <c r="AC150" i="1"/>
  <c r="AC151" i="1"/>
  <c r="AC152" i="1"/>
  <c r="AC153" i="1"/>
  <c r="AC154" i="1"/>
  <c r="AC155" i="1"/>
  <c r="AC156" i="1"/>
  <c r="AC157" i="1"/>
  <c r="AC158" i="1"/>
  <c r="AC159" i="1"/>
  <c r="AC160" i="1"/>
  <c r="AC161" i="1"/>
  <c r="AC162" i="1"/>
  <c r="AC163" i="1"/>
  <c r="AC164" i="1"/>
  <c r="AC165" i="1"/>
  <c r="AC166" i="1"/>
  <c r="AC167" i="1"/>
  <c r="AC168" i="1"/>
  <c r="AC169" i="1"/>
  <c r="AC170" i="1"/>
  <c r="AC171" i="1"/>
  <c r="AC172" i="1"/>
  <c r="AC173" i="1"/>
  <c r="AC174" i="1"/>
  <c r="AC175" i="1"/>
  <c r="AC176" i="1"/>
  <c r="AC177" i="1"/>
  <c r="AC178" i="1"/>
  <c r="AC179" i="1"/>
  <c r="AC180" i="1"/>
  <c r="AC181" i="1"/>
  <c r="AC182" i="1"/>
  <c r="AC183" i="1"/>
  <c r="AC184" i="1"/>
  <c r="AC185" i="1"/>
  <c r="AC186" i="1"/>
  <c r="AC187" i="1"/>
  <c r="AC188" i="1"/>
  <c r="AC189" i="1"/>
  <c r="AC190" i="1"/>
  <c r="AC191" i="1"/>
  <c r="AC192" i="1"/>
  <c r="AC193" i="1"/>
  <c r="AC194" i="1"/>
  <c r="AC195" i="1"/>
  <c r="AC196" i="1"/>
  <c r="AC197" i="1"/>
  <c r="AC198" i="1"/>
  <c r="AC199" i="1"/>
  <c r="AC200" i="1"/>
  <c r="AC201" i="1"/>
  <c r="AC202" i="1"/>
  <c r="AC203" i="1"/>
  <c r="AC204" i="1"/>
  <c r="AC205" i="1"/>
  <c r="AC206" i="1"/>
  <c r="AC207" i="1"/>
  <c r="AC208" i="1"/>
  <c r="AC209" i="1"/>
  <c r="AC210" i="1"/>
  <c r="AC211" i="1"/>
  <c r="AC212" i="1"/>
  <c r="AC213" i="1"/>
  <c r="AC214" i="1"/>
  <c r="AC215" i="1"/>
  <c r="AC216" i="1"/>
  <c r="AC217" i="1"/>
  <c r="AC218" i="1"/>
  <c r="AC219" i="1"/>
  <c r="AC220" i="1"/>
  <c r="AC221" i="1"/>
  <c r="AC222" i="1"/>
  <c r="AC223" i="1"/>
  <c r="AC224" i="1"/>
  <c r="AC225" i="1"/>
  <c r="AC226" i="1"/>
  <c r="AC227" i="1"/>
  <c r="AC228" i="1"/>
  <c r="AC229" i="1"/>
  <c r="AC230" i="1"/>
  <c r="AC231" i="1"/>
  <c r="AC232" i="1"/>
  <c r="AC233" i="1"/>
  <c r="AC234" i="1"/>
  <c r="AC235" i="1"/>
  <c r="AC236" i="1"/>
  <c r="AC237" i="1"/>
  <c r="AC238" i="1"/>
  <c r="AC239" i="1"/>
  <c r="AC240" i="1"/>
  <c r="AC241" i="1"/>
  <c r="AC242" i="1"/>
  <c r="AC243" i="1"/>
  <c r="AC244" i="1"/>
  <c r="AC245" i="1"/>
  <c r="AC246" i="1"/>
  <c r="AC247" i="1"/>
  <c r="AC248" i="1"/>
  <c r="AC249" i="1"/>
  <c r="AC250" i="1"/>
  <c r="AC251" i="1"/>
  <c r="AC252" i="1"/>
  <c r="AC253" i="1"/>
  <c r="AC254" i="1"/>
  <c r="AC255" i="1"/>
  <c r="AC256" i="1"/>
  <c r="AC257" i="1"/>
  <c r="AC258" i="1"/>
  <c r="AC259" i="1"/>
  <c r="AC260" i="1"/>
  <c r="AC261" i="1"/>
  <c r="AC262" i="1"/>
  <c r="AC263" i="1"/>
  <c r="AC264" i="1"/>
  <c r="AC265" i="1"/>
  <c r="AC266" i="1"/>
  <c r="AC267" i="1"/>
  <c r="AC268" i="1"/>
  <c r="AC269" i="1"/>
  <c r="AC270" i="1"/>
  <c r="AC271" i="1"/>
  <c r="AC272" i="1"/>
  <c r="AC273" i="1"/>
  <c r="AC274" i="1"/>
  <c r="AC275" i="1"/>
  <c r="AC276" i="1"/>
  <c r="AC277" i="1"/>
  <c r="AC278" i="1"/>
  <c r="AC279" i="1"/>
  <c r="AC280" i="1"/>
  <c r="AC281" i="1"/>
  <c r="AC282" i="1"/>
  <c r="AC283" i="1"/>
  <c r="AC284" i="1"/>
  <c r="AC285" i="1"/>
  <c r="AC286" i="1"/>
  <c r="AC287" i="1"/>
  <c r="AC288" i="1"/>
  <c r="AC289" i="1"/>
  <c r="AC290" i="1"/>
  <c r="AC291" i="1"/>
  <c r="AC292" i="1"/>
  <c r="AC293" i="1"/>
  <c r="AC294" i="1"/>
  <c r="AC295" i="1"/>
  <c r="AC296" i="1"/>
  <c r="AC297" i="1"/>
  <c r="AC298" i="1"/>
  <c r="AC299" i="1"/>
  <c r="AC300" i="1"/>
  <c r="AC301" i="1"/>
  <c r="AC302" i="1"/>
  <c r="AC303" i="1"/>
  <c r="AC304" i="1"/>
  <c r="AC305" i="1"/>
  <c r="AC306" i="1"/>
  <c r="AC307" i="1"/>
  <c r="AC308" i="1"/>
  <c r="AC309" i="1"/>
  <c r="AC310" i="1"/>
  <c r="AC311" i="1"/>
  <c r="AC312" i="1"/>
  <c r="AC313" i="1"/>
  <c r="AC314" i="1"/>
  <c r="AC315" i="1"/>
  <c r="AC316" i="1"/>
  <c r="AC317" i="1"/>
  <c r="AC318" i="1"/>
  <c r="AC319" i="1"/>
  <c r="AC320" i="1"/>
  <c r="AC321" i="1"/>
  <c r="AC322" i="1"/>
  <c r="AC323" i="1"/>
  <c r="AC324" i="1"/>
  <c r="AC325" i="1"/>
  <c r="AC326" i="1"/>
  <c r="AC327" i="1"/>
  <c r="AC328" i="1"/>
  <c r="AC329" i="1"/>
  <c r="AC330" i="1"/>
  <c r="AC331" i="1"/>
  <c r="AC332" i="1"/>
  <c r="AC333" i="1"/>
  <c r="AC334" i="1"/>
  <c r="AC335" i="1"/>
  <c r="AC336" i="1"/>
  <c r="AC337" i="1"/>
  <c r="AC338" i="1"/>
  <c r="AC339" i="1"/>
  <c r="AC340" i="1"/>
  <c r="AC341" i="1"/>
  <c r="AC342" i="1"/>
  <c r="AC343" i="1"/>
  <c r="AC344" i="1"/>
  <c r="AC345" i="1"/>
  <c r="AC346" i="1"/>
  <c r="AC347" i="1"/>
  <c r="AC348" i="1"/>
  <c r="AC349" i="1"/>
  <c r="AC350" i="1"/>
  <c r="AC351" i="1"/>
  <c r="AC352" i="1"/>
  <c r="AC353" i="1"/>
  <c r="AC354" i="1"/>
  <c r="AC355" i="1"/>
  <c r="AC356" i="1"/>
  <c r="AC357" i="1"/>
  <c r="AC358" i="1"/>
  <c r="AC359" i="1"/>
  <c r="AC360" i="1"/>
  <c r="AC361" i="1"/>
  <c r="AC362" i="1"/>
  <c r="AC363" i="1"/>
  <c r="AC364" i="1"/>
  <c r="AC365" i="1"/>
  <c r="AC366" i="1"/>
  <c r="AC367" i="1"/>
  <c r="AC368" i="1"/>
  <c r="AC369" i="1"/>
  <c r="AC370" i="1"/>
  <c r="AC371" i="1"/>
  <c r="AC372" i="1"/>
  <c r="AC373" i="1"/>
  <c r="AC374" i="1"/>
  <c r="AC375" i="1"/>
  <c r="AC376" i="1"/>
  <c r="AC377" i="1"/>
  <c r="AC378" i="1"/>
  <c r="AC379" i="1"/>
  <c r="AC380" i="1"/>
  <c r="AC381" i="1"/>
  <c r="AC382" i="1"/>
  <c r="AC383" i="1"/>
  <c r="AC384" i="1"/>
  <c r="AC385" i="1"/>
  <c r="AC386" i="1"/>
  <c r="AC387" i="1"/>
  <c r="AC388" i="1"/>
  <c r="AC389" i="1"/>
  <c r="AC390" i="1"/>
  <c r="AC391" i="1"/>
  <c r="AC392" i="1"/>
  <c r="AC393" i="1"/>
  <c r="AC394" i="1"/>
  <c r="AC395" i="1"/>
  <c r="AC396" i="1"/>
  <c r="AC397" i="1"/>
  <c r="AC398" i="1"/>
  <c r="AC399" i="1"/>
  <c r="AC400" i="1"/>
  <c r="AC401" i="1"/>
  <c r="AC402" i="1"/>
  <c r="AC403" i="1"/>
  <c r="AC404" i="1"/>
  <c r="AC405" i="1"/>
  <c r="AC406" i="1"/>
  <c r="AC407" i="1"/>
  <c r="AC408" i="1"/>
  <c r="AC409" i="1"/>
  <c r="AC410" i="1"/>
  <c r="AC411" i="1"/>
  <c r="AC412" i="1"/>
  <c r="AC413" i="1"/>
  <c r="AC414" i="1"/>
  <c r="AC415" i="1"/>
  <c r="AC416" i="1"/>
  <c r="AC417" i="1"/>
  <c r="AC418" i="1"/>
  <c r="AC419" i="1"/>
  <c r="AC420" i="1"/>
  <c r="AC421" i="1"/>
  <c r="AC422" i="1"/>
  <c r="AC423" i="1"/>
  <c r="AC424" i="1"/>
  <c r="AC425" i="1"/>
  <c r="AC426" i="1"/>
  <c r="AC427" i="1"/>
  <c r="AC428" i="1"/>
  <c r="AC429" i="1"/>
  <c r="AC430" i="1"/>
  <c r="AC431" i="1"/>
  <c r="AC432" i="1"/>
  <c r="AC433" i="1"/>
  <c r="AC434" i="1"/>
  <c r="AC435" i="1"/>
  <c r="AC436" i="1"/>
  <c r="AC437" i="1"/>
  <c r="AC438" i="1"/>
  <c r="AC439" i="1"/>
  <c r="AC440" i="1"/>
  <c r="AC441" i="1"/>
  <c r="AC442" i="1"/>
  <c r="AC443" i="1"/>
  <c r="AC444" i="1"/>
  <c r="AC445" i="1"/>
  <c r="AC446" i="1"/>
  <c r="AC447" i="1"/>
  <c r="AC448" i="1"/>
  <c r="AC449" i="1"/>
  <c r="AC450" i="1"/>
  <c r="AC451" i="1"/>
  <c r="AC452" i="1"/>
  <c r="AC453" i="1"/>
  <c r="AC454" i="1"/>
  <c r="AC455" i="1"/>
  <c r="AC456" i="1"/>
  <c r="AC457" i="1"/>
  <c r="AC458" i="1"/>
  <c r="AC459" i="1"/>
  <c r="AC460" i="1"/>
  <c r="AC461" i="1"/>
  <c r="AC462" i="1"/>
  <c r="AC463" i="1"/>
  <c r="AC464" i="1"/>
  <c r="AC465" i="1"/>
  <c r="AC466" i="1"/>
  <c r="AC467" i="1"/>
  <c r="AC468" i="1"/>
  <c r="AC469" i="1"/>
  <c r="AC470" i="1"/>
  <c r="AC471" i="1"/>
  <c r="AC472" i="1"/>
  <c r="AC473" i="1"/>
  <c r="AC474" i="1"/>
  <c r="AC475" i="1"/>
  <c r="AC476" i="1"/>
  <c r="AC477" i="1"/>
  <c r="AC478" i="1"/>
  <c r="AC479" i="1"/>
  <c r="AC480" i="1"/>
  <c r="AC481" i="1"/>
  <c r="AC482" i="1"/>
  <c r="AC483" i="1"/>
  <c r="AC484" i="1"/>
  <c r="AC485" i="1"/>
  <c r="AC486" i="1"/>
  <c r="AC487" i="1"/>
  <c r="AC488" i="1"/>
  <c r="AC489" i="1"/>
  <c r="AC490" i="1"/>
  <c r="AC491" i="1"/>
  <c r="AC492" i="1"/>
  <c r="AC493" i="1"/>
  <c r="AC494" i="1"/>
  <c r="AC495" i="1"/>
  <c r="AC496" i="1"/>
  <c r="AC497" i="1"/>
  <c r="AC498" i="1"/>
  <c r="AC499" i="1"/>
  <c r="AC500" i="1"/>
  <c r="AC501" i="1"/>
  <c r="AC502" i="1"/>
  <c r="AC503" i="1"/>
  <c r="AC504" i="1"/>
  <c r="AC505" i="1"/>
  <c r="AC506" i="1"/>
  <c r="AC507" i="1"/>
  <c r="AC508" i="1"/>
  <c r="AC509" i="1"/>
  <c r="AC510" i="1"/>
  <c r="AC511" i="1"/>
  <c r="AC512" i="1"/>
  <c r="AC513" i="1"/>
  <c r="AC514" i="1"/>
  <c r="AC515" i="1"/>
  <c r="AC516" i="1"/>
  <c r="AC517" i="1"/>
  <c r="AC518" i="1"/>
  <c r="AC519" i="1"/>
  <c r="AC520" i="1"/>
  <c r="AC521" i="1"/>
  <c r="AC522" i="1"/>
  <c r="AC523" i="1"/>
  <c r="AC524" i="1"/>
  <c r="AC525" i="1"/>
  <c r="AC526" i="1"/>
  <c r="AC527" i="1"/>
  <c r="AC528" i="1"/>
  <c r="AC529" i="1"/>
  <c r="AC530" i="1"/>
  <c r="AC531" i="1"/>
  <c r="AC532" i="1"/>
  <c r="AC533" i="1"/>
  <c r="AC534" i="1"/>
  <c r="AC535" i="1"/>
  <c r="AC536" i="1"/>
  <c r="AC537" i="1"/>
  <c r="AC538" i="1"/>
  <c r="AC539" i="1"/>
  <c r="AC540" i="1"/>
  <c r="AC541" i="1"/>
  <c r="AC542" i="1"/>
  <c r="AC543" i="1"/>
  <c r="AC544" i="1"/>
  <c r="AC545" i="1"/>
  <c r="AC546" i="1"/>
  <c r="AC547" i="1"/>
  <c r="AC548" i="1"/>
  <c r="AC549" i="1"/>
  <c r="AC550" i="1"/>
  <c r="AC551" i="1"/>
  <c r="AC552" i="1"/>
  <c r="AC553" i="1"/>
  <c r="AC554" i="1"/>
  <c r="AC555" i="1"/>
  <c r="AC556" i="1"/>
  <c r="AC557" i="1"/>
  <c r="AC558" i="1"/>
  <c r="AC559" i="1"/>
  <c r="AC560" i="1"/>
  <c r="AC561" i="1"/>
  <c r="AC562" i="1"/>
  <c r="AC563" i="1"/>
  <c r="AC564" i="1"/>
  <c r="AC565" i="1"/>
  <c r="AC566" i="1"/>
  <c r="AC567" i="1"/>
  <c r="AC568" i="1"/>
  <c r="AC569" i="1"/>
  <c r="AC570" i="1"/>
  <c r="AC571" i="1"/>
  <c r="AC572" i="1"/>
  <c r="AC573" i="1"/>
  <c r="AC574" i="1"/>
  <c r="AC575" i="1"/>
  <c r="AC576" i="1"/>
  <c r="AC577" i="1"/>
  <c r="AC578" i="1"/>
  <c r="AC579" i="1"/>
  <c r="AC580" i="1"/>
  <c r="AC581" i="1"/>
  <c r="AC582" i="1"/>
  <c r="AC583" i="1"/>
  <c r="AC584" i="1"/>
  <c r="AC585" i="1"/>
  <c r="AC586" i="1"/>
  <c r="AC587" i="1"/>
  <c r="AC588" i="1"/>
  <c r="AC589" i="1"/>
  <c r="AC590" i="1"/>
  <c r="AC591" i="1"/>
  <c r="AC592" i="1"/>
  <c r="AC593" i="1"/>
  <c r="AC594" i="1"/>
  <c r="AC595" i="1"/>
  <c r="AC596" i="1"/>
  <c r="AC597" i="1"/>
  <c r="AC598" i="1"/>
  <c r="AC599" i="1"/>
  <c r="AC600" i="1"/>
  <c r="AC601" i="1"/>
  <c r="AC602" i="1"/>
  <c r="AC603" i="1"/>
  <c r="AC604" i="1"/>
  <c r="AC605" i="1"/>
  <c r="AC606" i="1"/>
  <c r="AC607" i="1"/>
  <c r="AC608" i="1"/>
  <c r="AC609" i="1"/>
  <c r="AC610" i="1"/>
  <c r="AC611" i="1"/>
  <c r="AC612" i="1"/>
  <c r="AC613" i="1"/>
  <c r="AC614" i="1"/>
  <c r="AC615" i="1"/>
  <c r="AC616" i="1"/>
  <c r="AC617" i="1"/>
  <c r="AC618" i="1"/>
  <c r="AC619" i="1"/>
  <c r="AC620" i="1"/>
  <c r="AC621" i="1"/>
  <c r="AC622" i="1"/>
  <c r="AC623" i="1"/>
  <c r="AC624" i="1"/>
  <c r="AC625" i="1"/>
  <c r="AC626" i="1"/>
  <c r="AC627" i="1"/>
  <c r="AC628" i="1"/>
  <c r="AC629" i="1"/>
  <c r="AC630" i="1"/>
  <c r="AC631" i="1"/>
  <c r="AC632" i="1"/>
  <c r="AC633" i="1"/>
  <c r="AC634" i="1"/>
  <c r="AC635" i="1"/>
  <c r="AC636" i="1"/>
  <c r="AC637" i="1"/>
  <c r="AC638" i="1"/>
  <c r="AC639" i="1"/>
  <c r="AC640" i="1"/>
  <c r="AC641" i="1"/>
  <c r="AC642" i="1"/>
  <c r="AC643" i="1"/>
  <c r="AC644" i="1"/>
  <c r="AC645" i="1"/>
  <c r="AC646" i="1"/>
  <c r="AC647" i="1"/>
  <c r="AC648" i="1"/>
  <c r="AC649" i="1"/>
  <c r="AC650" i="1"/>
  <c r="AC651" i="1"/>
  <c r="AC652" i="1"/>
  <c r="AC653" i="1"/>
  <c r="AC654" i="1"/>
  <c r="AC655" i="1"/>
  <c r="AC656" i="1"/>
  <c r="AC657" i="1"/>
  <c r="AC658" i="1"/>
  <c r="AC659" i="1"/>
  <c r="AC660" i="1"/>
  <c r="AC661" i="1"/>
  <c r="AC662" i="1"/>
  <c r="AC663" i="1"/>
  <c r="AC664" i="1"/>
  <c r="AC665" i="1"/>
  <c r="AC666" i="1"/>
  <c r="AC667" i="1"/>
  <c r="AC668" i="1"/>
  <c r="AC669" i="1"/>
  <c r="AC670" i="1"/>
  <c r="AC671" i="1"/>
  <c r="AC672" i="1"/>
  <c r="AC673" i="1"/>
  <c r="AC674" i="1"/>
  <c r="AC675" i="1"/>
  <c r="AC676" i="1"/>
  <c r="AC677" i="1"/>
  <c r="AC678" i="1"/>
  <c r="AC679" i="1"/>
  <c r="AC680" i="1"/>
  <c r="AC681" i="1"/>
  <c r="AC682" i="1"/>
  <c r="AC683" i="1"/>
  <c r="AC684" i="1"/>
  <c r="AC685" i="1"/>
  <c r="AC686" i="1"/>
  <c r="AC687" i="1"/>
  <c r="AC688" i="1"/>
  <c r="AC689" i="1"/>
  <c r="AC690" i="1"/>
  <c r="AC691" i="1"/>
  <c r="AC692" i="1"/>
  <c r="AC693" i="1"/>
  <c r="AC694" i="1"/>
  <c r="AC695" i="1"/>
  <c r="AC696" i="1"/>
  <c r="AC697" i="1"/>
  <c r="AC698" i="1"/>
  <c r="AC699" i="1"/>
  <c r="AC700" i="1"/>
  <c r="AC701" i="1"/>
  <c r="AC702" i="1"/>
  <c r="AC703" i="1"/>
  <c r="AC704" i="1"/>
  <c r="AC705" i="1"/>
  <c r="AC706" i="1"/>
  <c r="AC707" i="1"/>
  <c r="AC708" i="1"/>
  <c r="AC709" i="1"/>
  <c r="AC710" i="1"/>
  <c r="AC711" i="1"/>
  <c r="AC712" i="1"/>
  <c r="AC713" i="1"/>
  <c r="AC714" i="1"/>
  <c r="AC715" i="1"/>
  <c r="AC716" i="1"/>
  <c r="AC717" i="1"/>
  <c r="AC718" i="1"/>
  <c r="AC719" i="1"/>
  <c r="AC720" i="1"/>
  <c r="AC721" i="1"/>
  <c r="AC722" i="1"/>
  <c r="AC723" i="1"/>
  <c r="AC724" i="1"/>
  <c r="AC725" i="1"/>
  <c r="AC726" i="1"/>
  <c r="AC727" i="1"/>
  <c r="AC728" i="1"/>
  <c r="AC729" i="1"/>
  <c r="AC730" i="1"/>
  <c r="AC731" i="1"/>
  <c r="AC732" i="1"/>
  <c r="AC733" i="1"/>
  <c r="AC734" i="1"/>
  <c r="AC735" i="1"/>
  <c r="AC736" i="1"/>
  <c r="AC737" i="1"/>
  <c r="AC738" i="1"/>
  <c r="AC739" i="1"/>
  <c r="AC740" i="1"/>
  <c r="AC741" i="1"/>
  <c r="AC742" i="1"/>
  <c r="AC743" i="1"/>
  <c r="AC744" i="1"/>
  <c r="AC745" i="1"/>
  <c r="AC746" i="1"/>
  <c r="AC747" i="1"/>
  <c r="AC748" i="1"/>
  <c r="AC749" i="1"/>
  <c r="AC750" i="1"/>
  <c r="AC751" i="1"/>
  <c r="AC752" i="1"/>
  <c r="AC753" i="1"/>
  <c r="AC754" i="1"/>
  <c r="AC755" i="1"/>
  <c r="AC756" i="1"/>
  <c r="AC757" i="1"/>
  <c r="AC758" i="1"/>
  <c r="AC759" i="1"/>
  <c r="AC760" i="1"/>
  <c r="AC761" i="1"/>
  <c r="AC762" i="1"/>
  <c r="AC763" i="1"/>
  <c r="AC764" i="1"/>
  <c r="AC765" i="1"/>
  <c r="AC766" i="1"/>
  <c r="AC767" i="1"/>
  <c r="AC768" i="1"/>
  <c r="AC769" i="1"/>
  <c r="AC770" i="1"/>
  <c r="AC771" i="1"/>
  <c r="AC772" i="1"/>
  <c r="AC773" i="1"/>
  <c r="AC774" i="1"/>
  <c r="AC775" i="1"/>
  <c r="AC776" i="1"/>
  <c r="AC777" i="1"/>
  <c r="AC778" i="1"/>
  <c r="AC779" i="1"/>
  <c r="AC780" i="1"/>
  <c r="AC781" i="1"/>
  <c r="AC782" i="1"/>
  <c r="AC783" i="1"/>
  <c r="AC784" i="1"/>
  <c r="AC785" i="1"/>
  <c r="AC786" i="1"/>
  <c r="AC787" i="1"/>
  <c r="AC788" i="1"/>
  <c r="AC789" i="1"/>
  <c r="AC790" i="1"/>
  <c r="AC791" i="1"/>
  <c r="AC792" i="1"/>
  <c r="AC793" i="1"/>
  <c r="AC794" i="1"/>
  <c r="AC795" i="1"/>
  <c r="AC796" i="1"/>
  <c r="AC797" i="1"/>
  <c r="AC798" i="1"/>
  <c r="AC799" i="1"/>
  <c r="AC800" i="1"/>
  <c r="AC801" i="1"/>
  <c r="AC802" i="1"/>
  <c r="AC803" i="1"/>
  <c r="AC804" i="1"/>
  <c r="AC805" i="1"/>
  <c r="AC806" i="1"/>
  <c r="AC807" i="1"/>
  <c r="AC808" i="1"/>
  <c r="AC809" i="1"/>
  <c r="AC810" i="1"/>
  <c r="AC811" i="1"/>
  <c r="AC812" i="1"/>
  <c r="AC813" i="1"/>
  <c r="AC814" i="1"/>
  <c r="AC815" i="1"/>
  <c r="AC816" i="1"/>
  <c r="AC817" i="1"/>
  <c r="AC818" i="1"/>
  <c r="AC819" i="1"/>
  <c r="AC820" i="1"/>
  <c r="AC821" i="1"/>
  <c r="AC822" i="1"/>
  <c r="AC823" i="1"/>
  <c r="AC824" i="1"/>
  <c r="AC825" i="1"/>
  <c r="AC826" i="1"/>
  <c r="AC827" i="1"/>
  <c r="AC828" i="1"/>
  <c r="AC829" i="1"/>
  <c r="AC830" i="1"/>
  <c r="AC831" i="1"/>
  <c r="AC832" i="1"/>
  <c r="AC833" i="1"/>
  <c r="AC834" i="1"/>
  <c r="AC835" i="1"/>
  <c r="AC836" i="1"/>
  <c r="AC837" i="1"/>
  <c r="AC838" i="1"/>
  <c r="AC839" i="1"/>
  <c r="AC840" i="1"/>
  <c r="AC841" i="1"/>
  <c r="AC842" i="1"/>
  <c r="AC843" i="1"/>
  <c r="AC844" i="1"/>
  <c r="AC845" i="1"/>
  <c r="AC846" i="1"/>
  <c r="AC847" i="1"/>
  <c r="AC848" i="1"/>
  <c r="AC849" i="1"/>
  <c r="AC850" i="1"/>
  <c r="AC851" i="1"/>
  <c r="AC852" i="1"/>
  <c r="AC853" i="1"/>
  <c r="AC854" i="1"/>
  <c r="AC855" i="1"/>
  <c r="AC856" i="1"/>
  <c r="AC857" i="1"/>
  <c r="AC858" i="1"/>
  <c r="AC859" i="1"/>
  <c r="AC860" i="1"/>
  <c r="AC861" i="1"/>
  <c r="AC862" i="1"/>
  <c r="AC863" i="1"/>
  <c r="AC864" i="1"/>
  <c r="AC865" i="1"/>
  <c r="AC866" i="1"/>
  <c r="AC867" i="1"/>
  <c r="AC868" i="1"/>
  <c r="AC869" i="1"/>
  <c r="AC870" i="1"/>
  <c r="AC871" i="1"/>
  <c r="AC872" i="1"/>
  <c r="AC873" i="1"/>
  <c r="AC874" i="1"/>
  <c r="AC875" i="1"/>
  <c r="AC876" i="1"/>
  <c r="AC877" i="1"/>
  <c r="AC878" i="1"/>
  <c r="AC879" i="1"/>
  <c r="AC880" i="1"/>
  <c r="AC881" i="1"/>
  <c r="AC882" i="1"/>
  <c r="AC883" i="1"/>
  <c r="AC884" i="1"/>
  <c r="AC885" i="1"/>
  <c r="AC886" i="1"/>
  <c r="AC887" i="1"/>
  <c r="AC888" i="1"/>
  <c r="AC889" i="1"/>
  <c r="AC890" i="1"/>
  <c r="AC891" i="1"/>
  <c r="AC892" i="1"/>
  <c r="AC893" i="1"/>
  <c r="AC894" i="1"/>
  <c r="AC895" i="1"/>
  <c r="AC896" i="1"/>
  <c r="AC897" i="1"/>
  <c r="AC898" i="1"/>
  <c r="AC899" i="1"/>
  <c r="AC900" i="1"/>
  <c r="AC901" i="1"/>
  <c r="AC902" i="1"/>
  <c r="AC903" i="1"/>
  <c r="AC904" i="1"/>
  <c r="AC905" i="1"/>
  <c r="AC906" i="1"/>
  <c r="AC907" i="1"/>
  <c r="AC908" i="1"/>
  <c r="AC909" i="1"/>
  <c r="AC910" i="1"/>
  <c r="AC911" i="1"/>
  <c r="AC912" i="1"/>
  <c r="AC913" i="1"/>
  <c r="AC914" i="1"/>
  <c r="AC915" i="1"/>
  <c r="AC916" i="1"/>
  <c r="AC917" i="1"/>
  <c r="AC918" i="1"/>
  <c r="AC919" i="1"/>
  <c r="AC920" i="1"/>
  <c r="AC921" i="1"/>
  <c r="AC922" i="1"/>
  <c r="AC923" i="1"/>
  <c r="AC924" i="1"/>
  <c r="AC925" i="1"/>
  <c r="AC926" i="1"/>
  <c r="AC927" i="1"/>
  <c r="AC928" i="1"/>
  <c r="AC929" i="1"/>
  <c r="AC930" i="1"/>
  <c r="AC931" i="1"/>
  <c r="AC932" i="1"/>
  <c r="AC933" i="1"/>
  <c r="AC934" i="1"/>
  <c r="AC935" i="1"/>
  <c r="AC936" i="1"/>
  <c r="AC937" i="1"/>
  <c r="AC938" i="1"/>
  <c r="AC939" i="1"/>
  <c r="AC940" i="1"/>
  <c r="AC941" i="1"/>
  <c r="AC942" i="1"/>
  <c r="AC943" i="1"/>
  <c r="AC944" i="1"/>
  <c r="AC945" i="1"/>
  <c r="AC946" i="1"/>
  <c r="AC947" i="1"/>
  <c r="AC948" i="1"/>
  <c r="AC949" i="1"/>
  <c r="AC950" i="1"/>
  <c r="AC951" i="1"/>
  <c r="AC952" i="1"/>
  <c r="AC953" i="1"/>
  <c r="AC954" i="1"/>
  <c r="AC955" i="1"/>
  <c r="AC956" i="1"/>
  <c r="AC957" i="1"/>
  <c r="AC958" i="1"/>
  <c r="AC959" i="1"/>
  <c r="AC960" i="1"/>
  <c r="AC961" i="1"/>
  <c r="AC962" i="1"/>
  <c r="AC963" i="1"/>
  <c r="AC964" i="1"/>
  <c r="AC965" i="1"/>
  <c r="AC966" i="1"/>
  <c r="AC967" i="1"/>
  <c r="AC968" i="1"/>
  <c r="AC969" i="1"/>
  <c r="AC970" i="1"/>
  <c r="AC971" i="1"/>
  <c r="AC972" i="1"/>
  <c r="AC973" i="1"/>
  <c r="AC974" i="1"/>
  <c r="AC975" i="1"/>
  <c r="AC976" i="1"/>
  <c r="AC977" i="1"/>
  <c r="AC978" i="1"/>
  <c r="AC979" i="1"/>
  <c r="AC980" i="1"/>
  <c r="AC981" i="1"/>
  <c r="AC982" i="1"/>
  <c r="AC983" i="1"/>
  <c r="AC984" i="1"/>
  <c r="AC985" i="1"/>
  <c r="AC986" i="1"/>
  <c r="AC987" i="1"/>
  <c r="AC988" i="1"/>
  <c r="AC989" i="1"/>
  <c r="AC990" i="1"/>
  <c r="AC991" i="1"/>
  <c r="AC992" i="1"/>
  <c r="AC993" i="1"/>
  <c r="AC994" i="1"/>
  <c r="AC995" i="1"/>
  <c r="AC996" i="1"/>
  <c r="AC997" i="1"/>
  <c r="AC998" i="1"/>
  <c r="AC999" i="1"/>
  <c r="AC1000" i="1"/>
  <c r="AC100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47D7465-D298-4E91-B968-F3AED6EA721D}" keepAlive="1" name="Query - Ecommerce_Consumer_Behavior_Analysis_Data" description="Connection to the 'Ecommerce_Consumer_Behavior_Analysis_Data' query in the workbook." type="5" refreshedVersion="8" background="1" saveData="1">
    <dbPr connection="Provider=Microsoft.Mashup.OleDb.1;Data Source=$Workbook$;Location=Ecommerce_Consumer_Behavior_Analysis_Data;Extended Properties=&quot;&quot;" command="SELECT * FROM [Ecommerce_Consumer_Behavior_Analysis_Data]"/>
  </connection>
  <connection id="2" xr16:uid="{4F34E7D3-E289-43ED-83FA-4BACC65E301A}" keepAlive="1" name="Query - Ecommerce_Consumer_Behavior_Analysis_Data (2)" description="Connection to the 'Ecommerce_Consumer_Behavior_Analysis_Data (2)' query in the workbook." type="5" refreshedVersion="8" background="1" saveData="1">
    <dbPr connection="Provider=Microsoft.Mashup.OleDb.1;Data Source=$Workbook$;Location=&quot;Ecommerce_Consumer_Behavior_Analysis_Data (2)&quot;;Extended Properties=&quot;&quot;" command="SELECT * FROM [Ecommerce_Consumer_Behavior_Analysis_Data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<sst xmlns="http://schemas.openxmlformats.org/spreadsheetml/2006/main" count="32098" uniqueCount="2079">
  <si>
    <t>Customer_ID</t>
  </si>
  <si>
    <t>Age</t>
  </si>
  <si>
    <t>Gender</t>
  </si>
  <si>
    <t>Income_Level</t>
  </si>
  <si>
    <t>Marital_Status</t>
  </si>
  <si>
    <t>Education_Level</t>
  </si>
  <si>
    <t>Occupation</t>
  </si>
  <si>
    <t>Location</t>
  </si>
  <si>
    <t>Purchase_Category</t>
  </si>
  <si>
    <t>Purchase_Amount</t>
  </si>
  <si>
    <t>Frequency_of_Purchase</t>
  </si>
  <si>
    <t>Purchase_Channel</t>
  </si>
  <si>
    <t>Brand_Loyalty</t>
  </si>
  <si>
    <t>Product_Rating</t>
  </si>
  <si>
    <t>Time_Spent_on_Product_Research(hours)</t>
  </si>
  <si>
    <t>Social_Media_Influence</t>
  </si>
  <si>
    <t>Discount_Sensitivity</t>
  </si>
  <si>
    <t>Return_Rate</t>
  </si>
  <si>
    <t>Customer_Satisfaction</t>
  </si>
  <si>
    <t>Engagement_with_Ads</t>
  </si>
  <si>
    <t>Device_Used_for_Shopping</t>
  </si>
  <si>
    <t>Payment_Method</t>
  </si>
  <si>
    <t>Time_of_Purchase</t>
  </si>
  <si>
    <t>Discount_Used</t>
  </si>
  <si>
    <t>Customer_Loyalty_Program_Member</t>
  </si>
  <si>
    <t>Purchase_Intent</t>
  </si>
  <si>
    <t>Shipping_Preference</t>
  </si>
  <si>
    <t>Time_to_Decision</t>
  </si>
  <si>
    <t>37-611-6911</t>
  </si>
  <si>
    <t>Female</t>
  </si>
  <si>
    <t>Middle</t>
  </si>
  <si>
    <t>Married</t>
  </si>
  <si>
    <t>Bachelor's</t>
  </si>
  <si>
    <t>Évry</t>
  </si>
  <si>
    <t>Gardening &amp; Outdoors</t>
  </si>
  <si>
    <t>Mixed</t>
  </si>
  <si>
    <t>None</t>
  </si>
  <si>
    <t>Somewhat Sensitive</t>
  </si>
  <si>
    <t>Tablet</t>
  </si>
  <si>
    <t>Credit Card</t>
  </si>
  <si>
    <t>Need-based</t>
  </si>
  <si>
    <t>No Preference</t>
  </si>
  <si>
    <t>29-392-9296</t>
  </si>
  <si>
    <t>Male</t>
  </si>
  <si>
    <t>High</t>
  </si>
  <si>
    <t>High School</t>
  </si>
  <si>
    <t>Huocheng</t>
  </si>
  <si>
    <t>Food &amp; Beverages</t>
  </si>
  <si>
    <t>In-Store</t>
  </si>
  <si>
    <t>Medium</t>
  </si>
  <si>
    <t>Not Sensitive</t>
  </si>
  <si>
    <t>PayPal</t>
  </si>
  <si>
    <t>Wants-based</t>
  </si>
  <si>
    <t>Standard</t>
  </si>
  <si>
    <t>84-649-5117</t>
  </si>
  <si>
    <t>Single</t>
  </si>
  <si>
    <t>Master's</t>
  </si>
  <si>
    <t>Huzhen</t>
  </si>
  <si>
    <t>Office Supplies</t>
  </si>
  <si>
    <t>Low</t>
  </si>
  <si>
    <t>Smartphone</t>
  </si>
  <si>
    <t>Debit Card</t>
  </si>
  <si>
    <t>Impulsive</t>
  </si>
  <si>
    <t>48-980-6078</t>
  </si>
  <si>
    <t>Wiwilí</t>
  </si>
  <si>
    <t>Home Appliances</t>
  </si>
  <si>
    <t>Other</t>
  </si>
  <si>
    <t>Express</t>
  </si>
  <si>
    <t>91-170-9072</t>
  </si>
  <si>
    <t>Widowed</t>
  </si>
  <si>
    <t>Nara</t>
  </si>
  <si>
    <t>Furniture</t>
  </si>
  <si>
    <t>82-561-4233</t>
  </si>
  <si>
    <t>Boro Utara</t>
  </si>
  <si>
    <t>Planned</t>
  </si>
  <si>
    <t>90-144-9193</t>
  </si>
  <si>
    <t>Divorced</t>
  </si>
  <si>
    <t>Liren</t>
  </si>
  <si>
    <t>Online</t>
  </si>
  <si>
    <t>Desktop</t>
  </si>
  <si>
    <t>88-661-4689</t>
  </si>
  <si>
    <t>Taocheng</t>
  </si>
  <si>
    <t>Books</t>
  </si>
  <si>
    <t>37-065-3182</t>
  </si>
  <si>
    <t>Gråbo</t>
  </si>
  <si>
    <t>Very Sensitive</t>
  </si>
  <si>
    <t>Cash</t>
  </si>
  <si>
    <t>84-894-9222</t>
  </si>
  <si>
    <t>Bigender</t>
  </si>
  <si>
    <t>Pryamitsyno</t>
  </si>
  <si>
    <t>Sports &amp; Outdoors</t>
  </si>
  <si>
    <t>44-674-4037</t>
  </si>
  <si>
    <t>Punta Gorda</t>
  </si>
  <si>
    <t>Mobile Accessories</t>
  </si>
  <si>
    <t>78-116-8349</t>
  </si>
  <si>
    <t>Győr</t>
  </si>
  <si>
    <t>19-933-8095</t>
  </si>
  <si>
    <t>Gaosheng</t>
  </si>
  <si>
    <t>Luxury Goods</t>
  </si>
  <si>
    <t>80-684-5072</t>
  </si>
  <si>
    <t>Rokytne</t>
  </si>
  <si>
    <t>Animal Feed</t>
  </si>
  <si>
    <t>23-302-7502</t>
  </si>
  <si>
    <t>Alameda</t>
  </si>
  <si>
    <t>Health Care</t>
  </si>
  <si>
    <t>90-069-8934</t>
  </si>
  <si>
    <t>Dhankutā</t>
  </si>
  <si>
    <t>Hotels</t>
  </si>
  <si>
    <t>45-073-7243</t>
  </si>
  <si>
    <t>Jindong</t>
  </si>
  <si>
    <t>89-883-2101</t>
  </si>
  <si>
    <t>Ngeru</t>
  </si>
  <si>
    <t>00-477-9449</t>
  </si>
  <si>
    <t>White Rock</t>
  </si>
  <si>
    <t>Packages)</t>
  </si>
  <si>
    <t>67-159-7366</t>
  </si>
  <si>
    <t>Monastyrshchina</t>
  </si>
  <si>
    <t>Electronics</t>
  </si>
  <si>
    <t>85-691-4293</t>
  </si>
  <si>
    <t>Pangkalanbunut</t>
  </si>
  <si>
    <t>Software &amp; Apps</t>
  </si>
  <si>
    <t>56-085-0464</t>
  </si>
  <si>
    <t>Lederaba</t>
  </si>
  <si>
    <t>Baby Products</t>
  </si>
  <si>
    <t>33-264-2822</t>
  </si>
  <si>
    <t>Lugo</t>
  </si>
  <si>
    <t>Toys &amp; Games</t>
  </si>
  <si>
    <t>95-478-2650</t>
  </si>
  <si>
    <t>São Roque</t>
  </si>
  <si>
    <t>04-349-6759</t>
  </si>
  <si>
    <t>Banī Khaddāsh</t>
  </si>
  <si>
    <t>21-755-8745</t>
  </si>
  <si>
    <t>Montpellier</t>
  </si>
  <si>
    <t>29-625-7057</t>
  </si>
  <si>
    <t>Nesovice</t>
  </si>
  <si>
    <t>Arts &amp; Crafts</t>
  </si>
  <si>
    <t>58-623-8404</t>
  </si>
  <si>
    <t>Pasirhuni</t>
  </si>
  <si>
    <t>56-506-4709</t>
  </si>
  <si>
    <t>Glendale</t>
  </si>
  <si>
    <t>25-839-8670</t>
  </si>
  <si>
    <t>Tála</t>
  </si>
  <si>
    <t>Health Supplements</t>
  </si>
  <si>
    <t>89-194-0596</t>
  </si>
  <si>
    <t>Marseille</t>
  </si>
  <si>
    <t>55-163-1389</t>
  </si>
  <si>
    <t>Nasielsk</t>
  </si>
  <si>
    <t>28-225-4286</t>
  </si>
  <si>
    <t>Genderfluid</t>
  </si>
  <si>
    <t>Paris 06</t>
  </si>
  <si>
    <t>14-305-8712</t>
  </si>
  <si>
    <t>Bronnitsy</t>
  </si>
  <si>
    <t>85-738-6864</t>
  </si>
  <si>
    <t>Inayauan</t>
  </si>
  <si>
    <t>17-198-5155</t>
  </si>
  <si>
    <t>Qianjin</t>
  </si>
  <si>
    <t>15-354-9904</t>
  </si>
  <si>
    <t>Bagahanlad</t>
  </si>
  <si>
    <t>Groceries</t>
  </si>
  <si>
    <t>35-198-9248</t>
  </si>
  <si>
    <t>Rzewnie</t>
  </si>
  <si>
    <t>03-950-6074</t>
  </si>
  <si>
    <t>Strabychovo</t>
  </si>
  <si>
    <t>19-999-0134</t>
  </si>
  <si>
    <t>Hongqi</t>
  </si>
  <si>
    <t>57-989-1487</t>
  </si>
  <si>
    <t>Oeoh</t>
  </si>
  <si>
    <t>07-816-2673</t>
  </si>
  <si>
    <t>Topol’noye</t>
  </si>
  <si>
    <t>70-761-3550</t>
  </si>
  <si>
    <t>Kovářov</t>
  </si>
  <si>
    <t>38-242-3251</t>
  </si>
  <si>
    <t>Majdal Banī Fāḑil</t>
  </si>
  <si>
    <t>95-525-0842</t>
  </si>
  <si>
    <t>Delta del Tigre</t>
  </si>
  <si>
    <t>37-101-4922</t>
  </si>
  <si>
    <t>Santa Cruz La Laguna</t>
  </si>
  <si>
    <t>37-128-5425</t>
  </si>
  <si>
    <t>Manchester</t>
  </si>
  <si>
    <t>27-439-9545</t>
  </si>
  <si>
    <t>Norrköping</t>
  </si>
  <si>
    <t>37-126-7954</t>
  </si>
  <si>
    <t>Sośno</t>
  </si>
  <si>
    <t>Clothing</t>
  </si>
  <si>
    <t>82-990-0504</t>
  </si>
  <si>
    <t>Pélla</t>
  </si>
  <si>
    <t>21-734-0212</t>
  </si>
  <si>
    <t>Namur</t>
  </si>
  <si>
    <t>Beauty &amp; Personal Care</t>
  </si>
  <si>
    <t>76-148-9413</t>
  </si>
  <si>
    <t>Non-binary</t>
  </si>
  <si>
    <t>Benevides</t>
  </si>
  <si>
    <t>53-639-3774</t>
  </si>
  <si>
    <t>Qinghaihu</t>
  </si>
  <si>
    <t>Travel &amp; Leisure (Flights</t>
  </si>
  <si>
    <t>20-817-9584</t>
  </si>
  <si>
    <t>Alfeizerão</t>
  </si>
  <si>
    <t>18-655-3670</t>
  </si>
  <si>
    <t>Prostřední Bečva</t>
  </si>
  <si>
    <t>72-431-5021</t>
  </si>
  <si>
    <t>Oeiras</t>
  </si>
  <si>
    <t>07-479-3919</t>
  </si>
  <si>
    <t>Kýthnos</t>
  </si>
  <si>
    <t>17-032-6274</t>
  </si>
  <si>
    <t>Rizal</t>
  </si>
  <si>
    <t>64-166-9097</t>
  </si>
  <si>
    <t>Fullerton</t>
  </si>
  <si>
    <t>39-499-3854</t>
  </si>
  <si>
    <t>Huaidao</t>
  </si>
  <si>
    <t>39-636-5871</t>
  </si>
  <si>
    <t>Bilice</t>
  </si>
  <si>
    <t>71-667-2334</t>
  </si>
  <si>
    <t>Polygender</t>
  </si>
  <si>
    <t>Isla Verde</t>
  </si>
  <si>
    <t>35-192-9050</t>
  </si>
  <si>
    <t>Hunkuyi</t>
  </si>
  <si>
    <t>91-440-0011</t>
  </si>
  <si>
    <t>Shiree</t>
  </si>
  <si>
    <t>20-830-4758</t>
  </si>
  <si>
    <t>Strezhevoy</t>
  </si>
  <si>
    <t>84-337-1016</t>
  </si>
  <si>
    <t>Longxing</t>
  </si>
  <si>
    <t>09-346-4992</t>
  </si>
  <si>
    <t>Jesús Menéndez</t>
  </si>
  <si>
    <t>75-083-3608</t>
  </si>
  <si>
    <t>Hongguang</t>
  </si>
  <si>
    <t>29-779-7209</t>
  </si>
  <si>
    <t>Pilaya</t>
  </si>
  <si>
    <t>12-409-5166</t>
  </si>
  <si>
    <t>Camp Ithier</t>
  </si>
  <si>
    <t>07-024-4995</t>
  </si>
  <si>
    <t>Holboo</t>
  </si>
  <si>
    <t>74-478-5950</t>
  </si>
  <si>
    <t>Luxi</t>
  </si>
  <si>
    <t>31-395-1286</t>
  </si>
  <si>
    <t>Ostashkov</t>
  </si>
  <si>
    <t>60-838-4334</t>
  </si>
  <si>
    <t>Hongshanzui</t>
  </si>
  <si>
    <t>71-197-8227</t>
  </si>
  <si>
    <t>Tocoa</t>
  </si>
  <si>
    <t>15-530-3861</t>
  </si>
  <si>
    <t>Bayan Tuohai</t>
  </si>
  <si>
    <t>30-567-4471</t>
  </si>
  <si>
    <t>Parumasan</t>
  </si>
  <si>
    <t>04-465-1819</t>
  </si>
  <si>
    <t>Karpogory</t>
  </si>
  <si>
    <t>Jewelry &amp; Accessories</t>
  </si>
  <si>
    <t>69-692-0614</t>
  </si>
  <si>
    <t>Shāhzādpur</t>
  </si>
  <si>
    <t>12-839-8066</t>
  </si>
  <si>
    <t>Muaratiga</t>
  </si>
  <si>
    <t>05-465-8765</t>
  </si>
  <si>
    <t>Gjegjan</t>
  </si>
  <si>
    <t>81-580-3810</t>
  </si>
  <si>
    <t>Créteil</t>
  </si>
  <si>
    <t>74-353-6312</t>
  </si>
  <si>
    <t>Pameungpeuk</t>
  </si>
  <si>
    <t>78-824-1887</t>
  </si>
  <si>
    <t>Junshan</t>
  </si>
  <si>
    <t>31-218-0024</t>
  </si>
  <si>
    <t>Lewotola</t>
  </si>
  <si>
    <t>15-711-4107</t>
  </si>
  <si>
    <t>Laocheng</t>
  </si>
  <si>
    <t>76-672-1193</t>
  </si>
  <si>
    <t>Guacarí</t>
  </si>
  <si>
    <t>46-503-5589</t>
  </si>
  <si>
    <t>Sancang</t>
  </si>
  <si>
    <t>87-499-6916</t>
  </si>
  <si>
    <t>Ndewel</t>
  </si>
  <si>
    <t>30-520-8656</t>
  </si>
  <si>
    <t>San Patricio</t>
  </si>
  <si>
    <t>36-323-3504</t>
  </si>
  <si>
    <t>Fengtai</t>
  </si>
  <si>
    <t>93-810-4051</t>
  </si>
  <si>
    <t>Agender</t>
  </si>
  <si>
    <t>Ḑawrān ad Daydah</t>
  </si>
  <si>
    <t>66-515-3648</t>
  </si>
  <si>
    <t>Magdalena</t>
  </si>
  <si>
    <t>09-216-1957</t>
  </si>
  <si>
    <t>Leśnica</t>
  </si>
  <si>
    <t>23-253-2565</t>
  </si>
  <si>
    <t>Hinlayagan Ilaud</t>
  </si>
  <si>
    <t>74-509-4985</t>
  </si>
  <si>
    <t>Forshaga</t>
  </si>
  <si>
    <t>05-857-1572</t>
  </si>
  <si>
    <t>Rakszawa</t>
  </si>
  <si>
    <t>26-521-8328</t>
  </si>
  <si>
    <t>Fengjiang</t>
  </si>
  <si>
    <t>31-147-6197</t>
  </si>
  <si>
    <t>Jiangcun</t>
  </si>
  <si>
    <t>90-093-0469</t>
  </si>
  <si>
    <t>Ōkuchi</t>
  </si>
  <si>
    <t>38-935-1865</t>
  </si>
  <si>
    <t>Novoukrainskiy</t>
  </si>
  <si>
    <t>75-953-8663</t>
  </si>
  <si>
    <t>Acobambilla</t>
  </si>
  <si>
    <t>38-478-2681</t>
  </si>
  <si>
    <t>Kyonju</t>
  </si>
  <si>
    <t>70-895-5298</t>
  </si>
  <si>
    <t>Pomar</t>
  </si>
  <si>
    <t>02-653-5884</t>
  </si>
  <si>
    <t>Zalţan</t>
  </si>
  <si>
    <t>11-719-8800</t>
  </si>
  <si>
    <t>Trélazé</t>
  </si>
  <si>
    <t>59-355-5251</t>
  </si>
  <si>
    <t>Messina</t>
  </si>
  <si>
    <t>82-572-9091</t>
  </si>
  <si>
    <t>Mrągowo</t>
  </si>
  <si>
    <t>86-044-1071</t>
  </si>
  <si>
    <t>Ngawi</t>
  </si>
  <si>
    <t>08-733-0300</t>
  </si>
  <si>
    <t>Oslo</t>
  </si>
  <si>
    <t>70-108-1493</t>
  </si>
  <si>
    <t>Dobrica</t>
  </si>
  <si>
    <t>46-230-8307</t>
  </si>
  <si>
    <t>La Roche-sur-Yon</t>
  </si>
  <si>
    <t>74-431-0242</t>
  </si>
  <si>
    <t>Point Pedro</t>
  </si>
  <si>
    <t>78-272-6417</t>
  </si>
  <si>
    <t>13-792-4356</t>
  </si>
  <si>
    <t>Tianbao</t>
  </si>
  <si>
    <t>04-563-9091</t>
  </si>
  <si>
    <t>Puqian</t>
  </si>
  <si>
    <t>79-592-5396</t>
  </si>
  <si>
    <t>Binalbagan</t>
  </si>
  <si>
    <t>39-952-4459</t>
  </si>
  <si>
    <t>Tessalit</t>
  </si>
  <si>
    <t>67-935-7964</t>
  </si>
  <si>
    <t>Nikolayevsk</t>
  </si>
  <si>
    <t>26-828-2720</t>
  </si>
  <si>
    <t>Dashuipo</t>
  </si>
  <si>
    <t>57-410-7415</t>
  </si>
  <si>
    <t>Týn nad Vltavou</t>
  </si>
  <si>
    <t>62-989-8214</t>
  </si>
  <si>
    <t>Kaum Kaler</t>
  </si>
  <si>
    <t>73-827-2774</t>
  </si>
  <si>
    <t>Gandapura</t>
  </si>
  <si>
    <t>19-643-1879</t>
  </si>
  <si>
    <t>Kawangkoan</t>
  </si>
  <si>
    <t>57-345-3921</t>
  </si>
  <si>
    <t>Mondorf-les-Bains</t>
  </si>
  <si>
    <t>98-817-6731</t>
  </si>
  <si>
    <t>Manwakh</t>
  </si>
  <si>
    <t>31-788-0864</t>
  </si>
  <si>
    <t>Karlstad</t>
  </si>
  <si>
    <t>27-806-4972</t>
  </si>
  <si>
    <t>Obong</t>
  </si>
  <si>
    <t>48-343-1220</t>
  </si>
  <si>
    <t>Kolsko</t>
  </si>
  <si>
    <t>15-640-6493</t>
  </si>
  <si>
    <t>Dālbandīn</t>
  </si>
  <si>
    <t>64-846-7450</t>
  </si>
  <si>
    <t>Genderqueer</t>
  </si>
  <si>
    <t>Shazi</t>
  </si>
  <si>
    <t>58-788-8938</t>
  </si>
  <si>
    <t>Hachiōji</t>
  </si>
  <si>
    <t>52-240-3825</t>
  </si>
  <si>
    <t>Jolo</t>
  </si>
  <si>
    <t>60-618-2561</t>
  </si>
  <si>
    <t>Pedra Azul</t>
  </si>
  <si>
    <t>94-969-6819</t>
  </si>
  <si>
    <t>Gustavsberg</t>
  </si>
  <si>
    <t>76-982-8107</t>
  </si>
  <si>
    <t>La Mohammedia</t>
  </si>
  <si>
    <t>52-779-8972</t>
  </si>
  <si>
    <t>Florida</t>
  </si>
  <si>
    <t>40-520-3271</t>
  </si>
  <si>
    <t>Zhongcheng</t>
  </si>
  <si>
    <t>79-884-5600</t>
  </si>
  <si>
    <t>Goiatuba</t>
  </si>
  <si>
    <t>80-607-9947</t>
  </si>
  <si>
    <t>Krajan Kidul Rojopolo</t>
  </si>
  <si>
    <t>87-290-8263</t>
  </si>
  <si>
    <t>Metchosin</t>
  </si>
  <si>
    <t>99-316-9993</t>
  </si>
  <si>
    <t>Staritsa</t>
  </si>
  <si>
    <t>54-164-2243</t>
  </si>
  <si>
    <t>Benito Juarez</t>
  </si>
  <si>
    <t>14-784-5606</t>
  </si>
  <si>
    <t>Maní</t>
  </si>
  <si>
    <t>47-992-7446</t>
  </si>
  <si>
    <t>Vitali</t>
  </si>
  <si>
    <t>37-513-5073</t>
  </si>
  <si>
    <t>Mizque</t>
  </si>
  <si>
    <t>93-473-7248</t>
  </si>
  <si>
    <t>Zgornje Pirniče</t>
  </si>
  <si>
    <t>72-830-1211</t>
  </si>
  <si>
    <t>Cipolletti</t>
  </si>
  <si>
    <t>87-934-6762</t>
  </si>
  <si>
    <t>Sollefteå</t>
  </si>
  <si>
    <t>71-975-9564</t>
  </si>
  <si>
    <t>Klonowa</t>
  </si>
  <si>
    <t>40-232-5631</t>
  </si>
  <si>
    <t>Suvorov</t>
  </si>
  <si>
    <t>22-414-4955</t>
  </si>
  <si>
    <t>Dragash</t>
  </si>
  <si>
    <t>99-089-1930</t>
  </si>
  <si>
    <t>Freiburg im Breisgau</t>
  </si>
  <si>
    <t>62-198-2511</t>
  </si>
  <si>
    <t>Macau</t>
  </si>
  <si>
    <t>21-297-1223</t>
  </si>
  <si>
    <t>Pancas</t>
  </si>
  <si>
    <t>10-961-9336</t>
  </si>
  <si>
    <t>Dayapan</t>
  </si>
  <si>
    <t>71-473-2656</t>
  </si>
  <si>
    <t>Gordon Town</t>
  </si>
  <si>
    <t>84-954-2973</t>
  </si>
  <si>
    <t>Proptisht</t>
  </si>
  <si>
    <t>22-382-9636</t>
  </si>
  <si>
    <t>Kamal</t>
  </si>
  <si>
    <t>89-724-2536</t>
  </si>
  <si>
    <t>Kouvola</t>
  </si>
  <si>
    <t>85-391-1888</t>
  </si>
  <si>
    <t>Zhongdong</t>
  </si>
  <si>
    <t>84-934-2483</t>
  </si>
  <si>
    <t>Betong</t>
  </si>
  <si>
    <t>96-229-1698</t>
  </si>
  <si>
    <t>Jinping</t>
  </si>
  <si>
    <t>36-948-6994</t>
  </si>
  <si>
    <t>Mgachi</t>
  </si>
  <si>
    <t>43-172-9431</t>
  </si>
  <si>
    <t>Lameira</t>
  </si>
  <si>
    <t>53-690-5759</t>
  </si>
  <si>
    <t>Medicine Hat</t>
  </si>
  <si>
    <t>00-496-3067</t>
  </si>
  <si>
    <t>10-330-6387</t>
  </si>
  <si>
    <t>Yeniköy</t>
  </si>
  <si>
    <t>87-590-8963</t>
  </si>
  <si>
    <t>Peer</t>
  </si>
  <si>
    <t>47-931-2642</t>
  </si>
  <si>
    <t>Belūsovka</t>
  </si>
  <si>
    <t>76-501-6422</t>
  </si>
  <si>
    <t>Houston</t>
  </si>
  <si>
    <t>39-274-2175</t>
  </si>
  <si>
    <t>Hengdian</t>
  </si>
  <si>
    <t>62-493-5282</t>
  </si>
  <si>
    <t>Shuigou</t>
  </si>
  <si>
    <t>18-841-7253</t>
  </si>
  <si>
    <t>Xingxi</t>
  </si>
  <si>
    <t>18-097-5707</t>
  </si>
  <si>
    <t>Dhībīn</t>
  </si>
  <si>
    <t>83-792-5141</t>
  </si>
  <si>
    <t>Chengguan</t>
  </si>
  <si>
    <t>65-036-2410</t>
  </si>
  <si>
    <t>Paris 09</t>
  </si>
  <si>
    <t>67-593-9579</t>
  </si>
  <si>
    <t>Rozhdestveno</t>
  </si>
  <si>
    <t>33-484-6674</t>
  </si>
  <si>
    <t>Porangatu</t>
  </si>
  <si>
    <t>65-249-5416</t>
  </si>
  <si>
    <t>Shalkar</t>
  </si>
  <si>
    <t>17-328-4678</t>
  </si>
  <si>
    <t>Quimbaya</t>
  </si>
  <si>
    <t>00-733-8770</t>
  </si>
  <si>
    <t>Narok</t>
  </si>
  <si>
    <t>47-501-3435</t>
  </si>
  <si>
    <t>Gimcheon</t>
  </si>
  <si>
    <t>46-779-7065</t>
  </si>
  <si>
    <t>Visaginas</t>
  </si>
  <si>
    <t>91-603-1565</t>
  </si>
  <si>
    <t>Shostka</t>
  </si>
  <si>
    <t>35-122-5020</t>
  </si>
  <si>
    <t>Pukekohe East</t>
  </si>
  <si>
    <t>63-684-4073</t>
  </si>
  <si>
    <t>Blokdesa Situgede</t>
  </si>
  <si>
    <t>74-483-2893</t>
  </si>
  <si>
    <t>Yueyang</t>
  </si>
  <si>
    <t>72-728-4406</t>
  </si>
  <si>
    <t>Liutan</t>
  </si>
  <si>
    <t>13-588-2488</t>
  </si>
  <si>
    <t>Huanggang</t>
  </si>
  <si>
    <t>79-861-6506</t>
  </si>
  <si>
    <t>Baturité</t>
  </si>
  <si>
    <t>66-974-6707</t>
  </si>
  <si>
    <t>Mi’ersi</t>
  </si>
  <si>
    <t>95-112-6724</t>
  </si>
  <si>
    <t>Xuedian</t>
  </si>
  <si>
    <t>27-262-6874</t>
  </si>
  <si>
    <t>Yuyapichis</t>
  </si>
  <si>
    <t>92-908-5062</t>
  </si>
  <si>
    <t>Shiroishi</t>
  </si>
  <si>
    <t>70-014-6406</t>
  </si>
  <si>
    <t>Kobe</t>
  </si>
  <si>
    <t>52-908-9971</t>
  </si>
  <si>
    <t>Gulou</t>
  </si>
  <si>
    <t>57-623-5362</t>
  </si>
  <si>
    <t>Jilin</t>
  </si>
  <si>
    <t>48-315-0196</t>
  </si>
  <si>
    <t>Balboa</t>
  </si>
  <si>
    <t>71-959-3896</t>
  </si>
  <si>
    <t>Cipari</t>
  </si>
  <si>
    <t>29-987-3969</t>
  </si>
  <si>
    <t>Orlando</t>
  </si>
  <si>
    <t>78-613-1546</t>
  </si>
  <si>
    <t>Torsby</t>
  </si>
  <si>
    <t>43-664-4451</t>
  </si>
  <si>
    <t>San Pablo</t>
  </si>
  <si>
    <t>34-095-3364</t>
  </si>
  <si>
    <t>Daszewice</t>
  </si>
  <si>
    <t>72-393-6893</t>
  </si>
  <si>
    <t>Villa Concepción del Tío</t>
  </si>
  <si>
    <t>73-707-2809</t>
  </si>
  <si>
    <t>Hacienda La Calera</t>
  </si>
  <si>
    <t>04-609-7885</t>
  </si>
  <si>
    <t>73-139-4306</t>
  </si>
  <si>
    <t>Puerto López</t>
  </si>
  <si>
    <t>23-794-8196</t>
  </si>
  <si>
    <t>Xinchengzi</t>
  </si>
  <si>
    <t>66-050-6391</t>
  </si>
  <si>
    <t>Tecpán Guatemala</t>
  </si>
  <si>
    <t>22-311-5460</t>
  </si>
  <si>
    <t>51-917-0766</t>
  </si>
  <si>
    <t>Araci</t>
  </si>
  <si>
    <t>53-013-1026</t>
  </si>
  <si>
    <t>Duyure</t>
  </si>
  <si>
    <t>29-779-3457</t>
  </si>
  <si>
    <t>Huangni</t>
  </si>
  <si>
    <t>18-047-5540</t>
  </si>
  <si>
    <t>Kuala Lumpur</t>
  </si>
  <si>
    <t>89-438-5310</t>
  </si>
  <si>
    <t>Seleuš</t>
  </si>
  <si>
    <t>23-985-3535</t>
  </si>
  <si>
    <t>Monrovia</t>
  </si>
  <si>
    <t>67-939-2463</t>
  </si>
  <si>
    <t>Kristinehamn</t>
  </si>
  <si>
    <t>03-623-6767</t>
  </si>
  <si>
    <t>Huancabamba</t>
  </si>
  <si>
    <t>86-749-6914</t>
  </si>
  <si>
    <t>San José Acatempa</t>
  </si>
  <si>
    <t>03-977-8103</t>
  </si>
  <si>
    <t>Quebrada Canoa</t>
  </si>
  <si>
    <t>03-827-4021</t>
  </si>
  <si>
    <t>Moate</t>
  </si>
  <si>
    <t>68-507-4747</t>
  </si>
  <si>
    <t>Kubangwaru</t>
  </si>
  <si>
    <t>73-942-8440</t>
  </si>
  <si>
    <t>Марино</t>
  </si>
  <si>
    <t>21-821-6398</t>
  </si>
  <si>
    <t>Xinquan</t>
  </si>
  <si>
    <t>64-641-7874</t>
  </si>
  <si>
    <t>Providence</t>
  </si>
  <si>
    <t>53-459-7870</t>
  </si>
  <si>
    <t>Autun</t>
  </si>
  <si>
    <t>36-240-3240</t>
  </si>
  <si>
    <t>Shilin</t>
  </si>
  <si>
    <t>54-936-4361</t>
  </si>
  <si>
    <t>Paris 17</t>
  </si>
  <si>
    <t>67-209-0990</t>
  </si>
  <si>
    <t>Stoczek Łukowski</t>
  </si>
  <si>
    <t>19-667-0201</t>
  </si>
  <si>
    <t>Ormstown</t>
  </si>
  <si>
    <t>36-274-5269</t>
  </si>
  <si>
    <t>Ponte</t>
  </si>
  <si>
    <t>09-948-3150</t>
  </si>
  <si>
    <t>Boshkengash</t>
  </si>
  <si>
    <t>19-873-9468</t>
  </si>
  <si>
    <t>Đạ Tẻh</t>
  </si>
  <si>
    <t>37-748-4988</t>
  </si>
  <si>
    <t>Radā‘</t>
  </si>
  <si>
    <t>08-755-1170</t>
  </si>
  <si>
    <t>Sinarwangi</t>
  </si>
  <si>
    <t>07-402-7433</t>
  </si>
  <si>
    <t>Dagup</t>
  </si>
  <si>
    <t>60-073-3575</t>
  </si>
  <si>
    <t>Ełk</t>
  </si>
  <si>
    <t>97-237-3483</t>
  </si>
  <si>
    <t>Moju</t>
  </si>
  <si>
    <t>93-675-1619</t>
  </si>
  <si>
    <t>Vília</t>
  </si>
  <si>
    <t>43-884-2577</t>
  </si>
  <si>
    <t>Prince Rupert</t>
  </si>
  <si>
    <t>33-200-7615</t>
  </si>
  <si>
    <t>Jiangmen</t>
  </si>
  <si>
    <t>63-631-8261</t>
  </si>
  <si>
    <t>Alung</t>
  </si>
  <si>
    <t>34-016-7909</t>
  </si>
  <si>
    <t>Osorno</t>
  </si>
  <si>
    <t>82-304-6495</t>
  </si>
  <si>
    <t>Labo</t>
  </si>
  <si>
    <t>70-207-6999</t>
  </si>
  <si>
    <t>Dakingari</t>
  </si>
  <si>
    <t>71-780-8195</t>
  </si>
  <si>
    <t>Selasari</t>
  </si>
  <si>
    <t>93-356-8589</t>
  </si>
  <si>
    <t>Besko</t>
  </si>
  <si>
    <t>92-142-9480</t>
  </si>
  <si>
    <t>Aubergenville</t>
  </si>
  <si>
    <t>53-042-5685</t>
  </si>
  <si>
    <t>Sula</t>
  </si>
  <si>
    <t>35-853-2222</t>
  </si>
  <si>
    <t>Valongo</t>
  </si>
  <si>
    <t>83-670-9273</t>
  </si>
  <si>
    <t>Al Khānkah</t>
  </si>
  <si>
    <t>37-783-6086</t>
  </si>
  <si>
    <t>Mértola</t>
  </si>
  <si>
    <t>79-902-8144</t>
  </si>
  <si>
    <t>Rates</t>
  </si>
  <si>
    <t>41-009-7879</t>
  </si>
  <si>
    <t>Anyang</t>
  </si>
  <si>
    <t>89-302-8461</t>
  </si>
  <si>
    <t>Nymburk</t>
  </si>
  <si>
    <t>23-066-1915</t>
  </si>
  <si>
    <t>39-090-0124</t>
  </si>
  <si>
    <t>Tafo</t>
  </si>
  <si>
    <t>41-854-0707</t>
  </si>
  <si>
    <t>Cibaregbeg</t>
  </si>
  <si>
    <t>04-352-1558</t>
  </si>
  <si>
    <t>Wang Yang</t>
  </si>
  <si>
    <t>93-867-8303</t>
  </si>
  <si>
    <t>Liangnong</t>
  </si>
  <si>
    <t>31-088-6950</t>
  </si>
  <si>
    <t>Hengshi</t>
  </si>
  <si>
    <t>43-616-8365</t>
  </si>
  <si>
    <t>Kandangan</t>
  </si>
  <si>
    <t>71-876-9118</t>
  </si>
  <si>
    <t>Naranjal</t>
  </si>
  <si>
    <t>18-263-0366</t>
  </si>
  <si>
    <t>Abiko</t>
  </si>
  <si>
    <t>25-502-1415</t>
  </si>
  <si>
    <t>Longhuashan</t>
  </si>
  <si>
    <t>50-000-9588</t>
  </si>
  <si>
    <t>Zhovkva</t>
  </si>
  <si>
    <t>32-338-5967</t>
  </si>
  <si>
    <t>Lebak</t>
  </si>
  <si>
    <t>19-311-9149</t>
  </si>
  <si>
    <t>Gereshk</t>
  </si>
  <si>
    <t>94-212-7169</t>
  </si>
  <si>
    <t>Yonghe</t>
  </si>
  <si>
    <t>17-246-6194</t>
  </si>
  <si>
    <t>Dabai</t>
  </si>
  <si>
    <t>26-672-1285</t>
  </si>
  <si>
    <t>Moutnice</t>
  </si>
  <si>
    <t>00-265-0556</t>
  </si>
  <si>
    <t>Qiryat Yam</t>
  </si>
  <si>
    <t>76-397-3294</t>
  </si>
  <si>
    <t>Pirané</t>
  </si>
  <si>
    <t>43-612-8079</t>
  </si>
  <si>
    <t>Colima</t>
  </si>
  <si>
    <t>17-213-2834</t>
  </si>
  <si>
    <t>Marshintsy</t>
  </si>
  <si>
    <t>36-214-1586</t>
  </si>
  <si>
    <t>Halinów</t>
  </si>
  <si>
    <t>32-414-1466</t>
  </si>
  <si>
    <t>Hallsberg</t>
  </si>
  <si>
    <t>12-699-6543</t>
  </si>
  <si>
    <t>Celso Ramos</t>
  </si>
  <si>
    <t>83-427-3218</t>
  </si>
  <si>
    <t>White River</t>
  </si>
  <si>
    <t>61-663-9008</t>
  </si>
  <si>
    <t>Taishihe</t>
  </si>
  <si>
    <t>86-917-7481</t>
  </si>
  <si>
    <t>Shanghu</t>
  </si>
  <si>
    <t>66-086-2306</t>
  </si>
  <si>
    <t>Brandsen</t>
  </si>
  <si>
    <t>43-671-9834</t>
  </si>
  <si>
    <t>Ranot</t>
  </si>
  <si>
    <t>90-888-8726</t>
  </si>
  <si>
    <t>Saint-Jouan-des-Guérets</t>
  </si>
  <si>
    <t>23-085-0811</t>
  </si>
  <si>
    <t>Da’an</t>
  </si>
  <si>
    <t>85-192-9218</t>
  </si>
  <si>
    <t>Kisovec</t>
  </si>
  <si>
    <t>82-671-7236</t>
  </si>
  <si>
    <t>Ābdānān</t>
  </si>
  <si>
    <t>42-674-3987</t>
  </si>
  <si>
    <t>Dafeng</t>
  </si>
  <si>
    <t>41-934-7739</t>
  </si>
  <si>
    <t>Campo Maior</t>
  </si>
  <si>
    <t>48-825-0400</t>
  </si>
  <si>
    <t>Sävedalen</t>
  </si>
  <si>
    <t>30-133-5120</t>
  </si>
  <si>
    <t>Brikcha</t>
  </si>
  <si>
    <t>29-827-8515</t>
  </si>
  <si>
    <t>Xidianzi</t>
  </si>
  <si>
    <t>91-724-4633</t>
  </si>
  <si>
    <t>La Unión</t>
  </si>
  <si>
    <t>10-328-5732</t>
  </si>
  <si>
    <t>Kliteh</t>
  </si>
  <si>
    <t>38-912-1128</t>
  </si>
  <si>
    <t>Béja</t>
  </si>
  <si>
    <t>07-751-9620</t>
  </si>
  <si>
    <t>Ferreira do Alentejo</t>
  </si>
  <si>
    <t>81-877-9170</t>
  </si>
  <si>
    <t>Gegernoong</t>
  </si>
  <si>
    <t>19-885-2597</t>
  </si>
  <si>
    <t>La Montañita</t>
  </si>
  <si>
    <t>82-389-2029</t>
  </si>
  <si>
    <t>Sarishābāri</t>
  </si>
  <si>
    <t>97-463-0048</t>
  </si>
  <si>
    <t>Mangge</t>
  </si>
  <si>
    <t>91-572-6135</t>
  </si>
  <si>
    <t>Chabařovice</t>
  </si>
  <si>
    <t>10-232-0685</t>
  </si>
  <si>
    <t>Yangping</t>
  </si>
  <si>
    <t>77-761-7475</t>
  </si>
  <si>
    <t>Berezna</t>
  </si>
  <si>
    <t>78-826-3039</t>
  </si>
  <si>
    <t>Vidual</t>
  </si>
  <si>
    <t>86-668-1045</t>
  </si>
  <si>
    <t>14-603-9698</t>
  </si>
  <si>
    <t>Hultsfred</t>
  </si>
  <si>
    <t>23-752-2213</t>
  </si>
  <si>
    <t>Níkaia</t>
  </si>
  <si>
    <t>71-486-8561</t>
  </si>
  <si>
    <t>Macayug</t>
  </si>
  <si>
    <t>76-382-7162</t>
  </si>
  <si>
    <t>Mahanoro</t>
  </si>
  <si>
    <t>28-947-4295</t>
  </si>
  <si>
    <t>Mozdok</t>
  </si>
  <si>
    <t>84-765-0748</t>
  </si>
  <si>
    <t>Hoolt</t>
  </si>
  <si>
    <t>54-207-8349</t>
  </si>
  <si>
    <t>San Luis</t>
  </si>
  <si>
    <t>20-419-0341</t>
  </si>
  <si>
    <t>Pergan</t>
  </si>
  <si>
    <t>52-005-9914</t>
  </si>
  <si>
    <t>Kanoni</t>
  </si>
  <si>
    <t>34-846-7805</t>
  </si>
  <si>
    <t>Gromadka</t>
  </si>
  <si>
    <t>26-596-5461</t>
  </si>
  <si>
    <t>Payapa</t>
  </si>
  <si>
    <t>20-157-8631</t>
  </si>
  <si>
    <t>Rat Burana</t>
  </si>
  <si>
    <t>91-199-9097</t>
  </si>
  <si>
    <t>Trhové Sviny</t>
  </si>
  <si>
    <t>55-846-2579</t>
  </si>
  <si>
    <t>Kiev</t>
  </si>
  <si>
    <t>83-455-7266</t>
  </si>
  <si>
    <t>67-599-9267</t>
  </si>
  <si>
    <t>Lomintsevskiy</t>
  </si>
  <si>
    <t>41-501-9276</t>
  </si>
  <si>
    <t>Monchegorsk</t>
  </si>
  <si>
    <t>99-509-4653</t>
  </si>
  <si>
    <t>Olavarría</t>
  </si>
  <si>
    <t>31-284-5722</t>
  </si>
  <si>
    <t>Jianshan</t>
  </si>
  <si>
    <t>88-000-9227</t>
  </si>
  <si>
    <t>Shreveport</t>
  </si>
  <si>
    <t>52-726-9328</t>
  </si>
  <si>
    <t>Pingzhuang</t>
  </si>
  <si>
    <t>60-198-5417</t>
  </si>
  <si>
    <t>00-107-4749</t>
  </si>
  <si>
    <t>Merlo</t>
  </si>
  <si>
    <t>88-428-8409</t>
  </si>
  <si>
    <t>Ziniaré</t>
  </si>
  <si>
    <t>21-313-7424</t>
  </si>
  <si>
    <t>Zduńska Wola</t>
  </si>
  <si>
    <t>79-973-7862</t>
  </si>
  <si>
    <t>Mount Ayliff</t>
  </si>
  <si>
    <t>81-814-3498</t>
  </si>
  <si>
    <t>Pīrgaaj</t>
  </si>
  <si>
    <t>34-375-8138</t>
  </si>
  <si>
    <t>Zbraslavice</t>
  </si>
  <si>
    <t>05-067-9686</t>
  </si>
  <si>
    <t>Xilu</t>
  </si>
  <si>
    <t>61-951-7929</t>
  </si>
  <si>
    <t>Bamut</t>
  </si>
  <si>
    <t>53-667-0793</t>
  </si>
  <si>
    <t>La Tour-du-Pin</t>
  </si>
  <si>
    <t>61-212-1117</t>
  </si>
  <si>
    <t>Pader Palwo</t>
  </si>
  <si>
    <t>09-443-7536</t>
  </si>
  <si>
    <t>Maurisu</t>
  </si>
  <si>
    <t>27-463-5671</t>
  </si>
  <si>
    <t>Gorzyce</t>
  </si>
  <si>
    <t>53-380-3968</t>
  </si>
  <si>
    <t>Qingyun</t>
  </si>
  <si>
    <t>42-969-0735</t>
  </si>
  <si>
    <t>Jiuxian</t>
  </si>
  <si>
    <t>12-440-5464</t>
  </si>
  <si>
    <t>Ndungu</t>
  </si>
  <si>
    <t>33-467-2534</t>
  </si>
  <si>
    <t>Emiliano Zapata</t>
  </si>
  <si>
    <t>35-418-0288</t>
  </si>
  <si>
    <t>Spasskoye</t>
  </si>
  <si>
    <t>33-787-2143</t>
  </si>
  <si>
    <t>Gierłoż</t>
  </si>
  <si>
    <t>58-528-6262</t>
  </si>
  <si>
    <t>Sobue</t>
  </si>
  <si>
    <t>31-060-2716</t>
  </si>
  <si>
    <t>High Point</t>
  </si>
  <si>
    <t>81-515-5823</t>
  </si>
  <si>
    <t>Qiankeng</t>
  </si>
  <si>
    <t>90-858-0453</t>
  </si>
  <si>
    <t>Pandean</t>
  </si>
  <si>
    <t>28-874-8938</t>
  </si>
  <si>
    <t>Phong Điền</t>
  </si>
  <si>
    <t>89-625-5542</t>
  </si>
  <si>
    <t>Mirów</t>
  </si>
  <si>
    <t>07-966-8728</t>
  </si>
  <si>
    <t>Franceville</t>
  </si>
  <si>
    <t>94-408-2581</t>
  </si>
  <si>
    <t>Bordeaux</t>
  </si>
  <si>
    <t>55-301-9368</t>
  </si>
  <si>
    <t>Zamora</t>
  </si>
  <si>
    <t>72-336-1992</t>
  </si>
  <si>
    <t>Jubaoshan</t>
  </si>
  <si>
    <t>06-008-2805</t>
  </si>
  <si>
    <t>Shādegān</t>
  </si>
  <si>
    <t>77-178-6086</t>
  </si>
  <si>
    <t>Gueltat Zemmour</t>
  </si>
  <si>
    <t>28-832-2885</t>
  </si>
  <si>
    <t>Mosal’sk</t>
  </si>
  <si>
    <t>75-210-7391</t>
  </si>
  <si>
    <t>Kokstad</t>
  </si>
  <si>
    <t>60-470-3563</t>
  </si>
  <si>
    <t>Malasin</t>
  </si>
  <si>
    <t>24-241-7171</t>
  </si>
  <si>
    <t>Huaqiu</t>
  </si>
  <si>
    <t>53-784-1855</t>
  </si>
  <si>
    <t>Loket</t>
  </si>
  <si>
    <t>83-561-3374</t>
  </si>
  <si>
    <t>Santa Maria do Souto</t>
  </si>
  <si>
    <t>96-121-0629</t>
  </si>
  <si>
    <t>Yanshang</t>
  </si>
  <si>
    <t>00-275-9990</t>
  </si>
  <si>
    <t>Tempuran</t>
  </si>
  <si>
    <t>36-593-2907</t>
  </si>
  <si>
    <t>Karafao</t>
  </si>
  <si>
    <t>22-692-3470</t>
  </si>
  <si>
    <t>São Cristóvão</t>
  </si>
  <si>
    <t>90-322-7329</t>
  </si>
  <si>
    <t>Buensuseso</t>
  </si>
  <si>
    <t>28-395-9872</t>
  </si>
  <si>
    <t>Blantyre</t>
  </si>
  <si>
    <t>79-297-1061</t>
  </si>
  <si>
    <t>Kozel’shchyna</t>
  </si>
  <si>
    <t>93-649-9356</t>
  </si>
  <si>
    <t>Cibuah</t>
  </si>
  <si>
    <t>27-543-7069</t>
  </si>
  <si>
    <t>Cockburn Town</t>
  </si>
  <si>
    <t>96-079-9597</t>
  </si>
  <si>
    <t>Maslog</t>
  </si>
  <si>
    <t>38-940-4942</t>
  </si>
  <si>
    <t>Faqqū‘ah</t>
  </si>
  <si>
    <t>82-014-2564</t>
  </si>
  <si>
    <t>Yelyzavethradka</t>
  </si>
  <si>
    <t>70-699-5799</t>
  </si>
  <si>
    <t>Jackson</t>
  </si>
  <si>
    <t>53-240-2040</t>
  </si>
  <si>
    <t>Itaguaí</t>
  </si>
  <si>
    <t>27-742-2776</t>
  </si>
  <si>
    <t>Fteliá</t>
  </si>
  <si>
    <t>55-620-7906</t>
  </si>
  <si>
    <t>Kiambu</t>
  </si>
  <si>
    <t>04-213-4617</t>
  </si>
  <si>
    <t>Xibër-Murrizë</t>
  </si>
  <si>
    <t>79-384-7469</t>
  </si>
  <si>
    <t>Xudat</t>
  </si>
  <si>
    <t>30-839-5589</t>
  </si>
  <si>
    <t>Yaodu</t>
  </si>
  <si>
    <t>76-848-9229</t>
  </si>
  <si>
    <t>Saint-Gratien</t>
  </si>
  <si>
    <t>98-559-6096</t>
  </si>
  <si>
    <t>Totora</t>
  </si>
  <si>
    <t>56-810-2066</t>
  </si>
  <si>
    <t>Göteborg</t>
  </si>
  <si>
    <t>55-580-7707</t>
  </si>
  <si>
    <t>Čáslav</t>
  </si>
  <si>
    <t>18-605-0795</t>
  </si>
  <si>
    <t>Rudnogorsk</t>
  </si>
  <si>
    <t>86-268-2904</t>
  </si>
  <si>
    <t>Pindiga</t>
  </si>
  <si>
    <t>75-847-7630</t>
  </si>
  <si>
    <t>Adela</t>
  </si>
  <si>
    <t>76-910-2337</t>
  </si>
  <si>
    <t>Krajan Baru</t>
  </si>
  <si>
    <t>56-719-7145</t>
  </si>
  <si>
    <t>Jinqiao</t>
  </si>
  <si>
    <t>14-025-2335</t>
  </si>
  <si>
    <t>Barg-e Matāl</t>
  </si>
  <si>
    <t>10-300-8072</t>
  </si>
  <si>
    <t>Argenteuil</t>
  </si>
  <si>
    <t>73-698-2326</t>
  </si>
  <si>
    <t>Daying</t>
  </si>
  <si>
    <t>01-023-2094</t>
  </si>
  <si>
    <t>Ngrejo</t>
  </si>
  <si>
    <t>65-359-4645</t>
  </si>
  <si>
    <t>Xieba</t>
  </si>
  <si>
    <t>33-405-7978</t>
  </si>
  <si>
    <t>Sigli</t>
  </si>
  <si>
    <t>09-783-7921</t>
  </si>
  <si>
    <t>Aristóbulo del Valle</t>
  </si>
  <si>
    <t>76-561-2427</t>
  </si>
  <si>
    <t>Cane</t>
  </si>
  <si>
    <t>82-467-3300</t>
  </si>
  <si>
    <t>Podhum</t>
  </si>
  <si>
    <t>92-946-7398</t>
  </si>
  <si>
    <t>Vilar</t>
  </si>
  <si>
    <t>59-891-2990</t>
  </si>
  <si>
    <t>Portela</t>
  </si>
  <si>
    <t>22-579-3978</t>
  </si>
  <si>
    <t>Arendal</t>
  </si>
  <si>
    <t>22-352-0576</t>
  </si>
  <si>
    <t>Nabīnagar</t>
  </si>
  <si>
    <t>28-676-0614</t>
  </si>
  <si>
    <t>La Ravoire</t>
  </si>
  <si>
    <t>07-211-9364</t>
  </si>
  <si>
    <t>Dostoyevka</t>
  </si>
  <si>
    <t>98-238-6733</t>
  </si>
  <si>
    <t>Liuzhou</t>
  </si>
  <si>
    <t>72-006-3769</t>
  </si>
  <si>
    <t>São Mateus do Maranhão</t>
  </si>
  <si>
    <t>75-845-3143</t>
  </si>
  <si>
    <t>Rumbek</t>
  </si>
  <si>
    <t>26-028-2671</t>
  </si>
  <si>
    <t>Cigedang</t>
  </si>
  <si>
    <t>55-876-7407</t>
  </si>
  <si>
    <t>Muaralabuh</t>
  </si>
  <si>
    <t>47-720-9520</t>
  </si>
  <si>
    <t>Chełmiec</t>
  </si>
  <si>
    <t>42-207-5005</t>
  </si>
  <si>
    <t>Santa Marta</t>
  </si>
  <si>
    <t>47-266-2261</t>
  </si>
  <si>
    <t>Brändö</t>
  </si>
  <si>
    <t>77-642-7686</t>
  </si>
  <si>
    <t>Liangshuihe</t>
  </si>
  <si>
    <t>37-468-8133</t>
  </si>
  <si>
    <t>Cimara</t>
  </si>
  <si>
    <t>00-335-5034</t>
  </si>
  <si>
    <t>Sanxing</t>
  </si>
  <si>
    <t>95-148-1769</t>
  </si>
  <si>
    <t>Linao</t>
  </si>
  <si>
    <t>72-324-1243</t>
  </si>
  <si>
    <t>Bairan</t>
  </si>
  <si>
    <t>62-687-5354</t>
  </si>
  <si>
    <t>Abaetetuba</t>
  </si>
  <si>
    <t>54-634-0814</t>
  </si>
  <si>
    <t>Pasirjaya</t>
  </si>
  <si>
    <t>64-769-5737</t>
  </si>
  <si>
    <t>Acheng</t>
  </si>
  <si>
    <t>62-892-2088</t>
  </si>
  <si>
    <t>Huakoulongtan</t>
  </si>
  <si>
    <t>53-951-2529</t>
  </si>
  <si>
    <t>Burgastai</t>
  </si>
  <si>
    <t>00-264-3797</t>
  </si>
  <si>
    <t>Chavarría</t>
  </si>
  <si>
    <t>88-445-9235</t>
  </si>
  <si>
    <t>Demuk</t>
  </si>
  <si>
    <t>65-539-9955</t>
  </si>
  <si>
    <t>Sertolovo</t>
  </si>
  <si>
    <t>89-730-1134</t>
  </si>
  <si>
    <t>Jixian</t>
  </si>
  <si>
    <t>74-051-7865</t>
  </si>
  <si>
    <t>Deqing</t>
  </si>
  <si>
    <t>40-450-4266</t>
  </si>
  <si>
    <t>Sala</t>
  </si>
  <si>
    <t>78-796-5651</t>
  </si>
  <si>
    <t>Dłutów</t>
  </si>
  <si>
    <t>78-163-4800</t>
  </si>
  <si>
    <t>Regimin</t>
  </si>
  <si>
    <t>90-272-5701</t>
  </si>
  <si>
    <t>Semiletka</t>
  </si>
  <si>
    <t>14-118-5229</t>
  </si>
  <si>
    <t>Dayr Sharaf</t>
  </si>
  <si>
    <t>24-662-2119</t>
  </si>
  <si>
    <t>Adani</t>
  </si>
  <si>
    <t>61-794-8438</t>
  </si>
  <si>
    <t>Rakhiv</t>
  </si>
  <si>
    <t>21-959-5766</t>
  </si>
  <si>
    <t>Ma'an</t>
  </si>
  <si>
    <t>42-518-2602</t>
  </si>
  <si>
    <t>Navoiy</t>
  </si>
  <si>
    <t>35-850-8676</t>
  </si>
  <si>
    <t>Sishilichengzi</t>
  </si>
  <si>
    <t>07-958-2231</t>
  </si>
  <si>
    <t>Tigaherang</t>
  </si>
  <si>
    <t>78-503-0416</t>
  </si>
  <si>
    <t>Villa Dolores</t>
  </si>
  <si>
    <t>46-167-7999</t>
  </si>
  <si>
    <t>Poá</t>
  </si>
  <si>
    <t>93-989-8649</t>
  </si>
  <si>
    <t>Shibushi</t>
  </si>
  <si>
    <t>98-130-8811</t>
  </si>
  <si>
    <t>Tilburg</t>
  </si>
  <si>
    <t>18-614-2070</t>
  </si>
  <si>
    <t>Ugra</t>
  </si>
  <si>
    <t>80-277-3242</t>
  </si>
  <si>
    <t>Montreuil</t>
  </si>
  <si>
    <t>44-949-9040</t>
  </si>
  <si>
    <t>Garibaldi</t>
  </si>
  <si>
    <t>04-545-9162</t>
  </si>
  <si>
    <t>Tiang</t>
  </si>
  <si>
    <t>51-320-2801</t>
  </si>
  <si>
    <t>Mouquim</t>
  </si>
  <si>
    <t>50-510-5119</t>
  </si>
  <si>
    <t>Montecristi</t>
  </si>
  <si>
    <t>63-964-6954</t>
  </si>
  <si>
    <t>Prince Albert</t>
  </si>
  <si>
    <t>55-569-9247</t>
  </si>
  <si>
    <t>02-911-0447</t>
  </si>
  <si>
    <t>Zaječov</t>
  </si>
  <si>
    <t>77-626-7240</t>
  </si>
  <si>
    <t>Liushun</t>
  </si>
  <si>
    <t>75-915-9803</t>
  </si>
  <si>
    <t>Sancha</t>
  </si>
  <si>
    <t>78-905-2660</t>
  </si>
  <si>
    <t>Damnoen Saduak</t>
  </si>
  <si>
    <t>02-677-6735</t>
  </si>
  <si>
    <t>Cianorte</t>
  </si>
  <si>
    <t>20-460-9796</t>
  </si>
  <si>
    <t>Liuzuo</t>
  </si>
  <si>
    <t>57-587-4005</t>
  </si>
  <si>
    <t>99-477-8256</t>
  </si>
  <si>
    <t>Kāshmar</t>
  </si>
  <si>
    <t>03-992-3728</t>
  </si>
  <si>
    <t>‘Arad</t>
  </si>
  <si>
    <t>24-878-4507</t>
  </si>
  <si>
    <t>Lenart v Slov. Goricah</t>
  </si>
  <si>
    <t>22-106-8347</t>
  </si>
  <si>
    <t>Bigaa</t>
  </si>
  <si>
    <t>81-479-0790</t>
  </si>
  <si>
    <t>Guadalupe</t>
  </si>
  <si>
    <t>03-023-9932</t>
  </si>
  <si>
    <t>Xiaruyue</t>
  </si>
  <si>
    <t>36-632-2460</t>
  </si>
  <si>
    <t>Gweedore</t>
  </si>
  <si>
    <t>32-799-7704</t>
  </si>
  <si>
    <t>Przelewice</t>
  </si>
  <si>
    <t>09-369-0588</t>
  </si>
  <si>
    <t>Dalumangcob</t>
  </si>
  <si>
    <t>87-727-6434</t>
  </si>
  <si>
    <t>Cravo Norte</t>
  </si>
  <si>
    <t>18-793-9543</t>
  </si>
  <si>
    <t>Montería</t>
  </si>
  <si>
    <t>63-625-5757</t>
  </si>
  <si>
    <t>Mikun’</t>
  </si>
  <si>
    <t>93-413-4758</t>
  </si>
  <si>
    <t>Samamiya</t>
  </si>
  <si>
    <t>15-663-7994</t>
  </si>
  <si>
    <t>Tanahmerah</t>
  </si>
  <si>
    <t>29-319-4519</t>
  </si>
  <si>
    <t>Örebro</t>
  </si>
  <si>
    <t>40-347-2903</t>
  </si>
  <si>
    <t>Kefar Yona</t>
  </si>
  <si>
    <t>18-452-1635</t>
  </si>
  <si>
    <t>Pasto</t>
  </si>
  <si>
    <t>47-710-5471</t>
  </si>
  <si>
    <t>Huangtan</t>
  </si>
  <si>
    <t>88-167-7129</t>
  </si>
  <si>
    <t>Il’inskiy</t>
  </si>
  <si>
    <t>86-771-9082</t>
  </si>
  <si>
    <t>Ugljevik</t>
  </si>
  <si>
    <t>46-678-4172</t>
  </si>
  <si>
    <t>Na Chaluai</t>
  </si>
  <si>
    <t>14-249-1256</t>
  </si>
  <si>
    <t>Marolambo</t>
  </si>
  <si>
    <t>75-617-1460</t>
  </si>
  <si>
    <t>10-247-0192</t>
  </si>
  <si>
    <t>Cali</t>
  </si>
  <si>
    <t>94-120-9525</t>
  </si>
  <si>
    <t>Tamana</t>
  </si>
  <si>
    <t>22-234-9315</t>
  </si>
  <si>
    <t>Miyazu</t>
  </si>
  <si>
    <t>37-560-7247</t>
  </si>
  <si>
    <t>Gryfów Śląski</t>
  </si>
  <si>
    <t>91-857-0797</t>
  </si>
  <si>
    <t>Pinagsibaan</t>
  </si>
  <si>
    <t>19-344-0102</t>
  </si>
  <si>
    <t>Jardin</t>
  </si>
  <si>
    <t>48-609-7715</t>
  </si>
  <si>
    <t>Aguilares</t>
  </si>
  <si>
    <t>13-571-6506</t>
  </si>
  <si>
    <t>Muslyumovo</t>
  </si>
  <si>
    <t>47-073-6440</t>
  </si>
  <si>
    <t>Taiyuan</t>
  </si>
  <si>
    <t>50-303-1693</t>
  </si>
  <si>
    <t>Chatturat</t>
  </si>
  <si>
    <t>69-157-9577</t>
  </si>
  <si>
    <t>Paisha</t>
  </si>
  <si>
    <t>09-513-4923</t>
  </si>
  <si>
    <t>Kadugadung</t>
  </si>
  <si>
    <t>82-975-8569</t>
  </si>
  <si>
    <t>Paris 15</t>
  </si>
  <si>
    <t>70-774-7728</t>
  </si>
  <si>
    <t>Dualing</t>
  </si>
  <si>
    <t>13-015-8097</t>
  </si>
  <si>
    <t>Adelaide</t>
  </si>
  <si>
    <t>68-391-7279</t>
  </si>
  <si>
    <t>Pingshi</t>
  </si>
  <si>
    <t>28-764-3337</t>
  </si>
  <si>
    <t>Renshan</t>
  </si>
  <si>
    <t>00-285-9607</t>
  </si>
  <si>
    <t>Sobinka</t>
  </si>
  <si>
    <t>04-832-3559</t>
  </si>
  <si>
    <t>Narol</t>
  </si>
  <si>
    <t>27-613-5005</t>
  </si>
  <si>
    <t>Fresno</t>
  </si>
  <si>
    <t>49-825-3438</t>
  </si>
  <si>
    <t>Vabalninkas</t>
  </si>
  <si>
    <t>31-783-9785</t>
  </si>
  <si>
    <t>Jambuwerkrajan</t>
  </si>
  <si>
    <t>58-059-8187</t>
  </si>
  <si>
    <t>Ozubulu</t>
  </si>
  <si>
    <t>74-882-6648</t>
  </si>
  <si>
    <t>Nakhchivan</t>
  </si>
  <si>
    <t>03-180-9200</t>
  </si>
  <si>
    <t>Curumaní</t>
  </si>
  <si>
    <t>46-578-1425</t>
  </si>
  <si>
    <t>Praia</t>
  </si>
  <si>
    <t>13-588-5783</t>
  </si>
  <si>
    <t>25-085-7917</t>
  </si>
  <si>
    <t>Pallisa</t>
  </si>
  <si>
    <t>66-085-1226</t>
  </si>
  <si>
    <t>San Pascual</t>
  </si>
  <si>
    <t>37-037-1765</t>
  </si>
  <si>
    <t>‘Aşīrah ash Shamālīyah</t>
  </si>
  <si>
    <t>48-630-6410</t>
  </si>
  <si>
    <t>Dom Pedrito</t>
  </si>
  <si>
    <t>50-471-0212</t>
  </si>
  <si>
    <t>San Sebastián de Yalí</t>
  </si>
  <si>
    <t>48-642-5768</t>
  </si>
  <si>
    <t>Shchëkino</t>
  </si>
  <si>
    <t>15-152-9751</t>
  </si>
  <si>
    <t>Turkestan</t>
  </si>
  <si>
    <t>23-451-9920</t>
  </si>
  <si>
    <t>Rzeczenica</t>
  </si>
  <si>
    <t>09-775-4058</t>
  </si>
  <si>
    <t>Perzów</t>
  </si>
  <si>
    <t>43-595-0966</t>
  </si>
  <si>
    <t>Sabon Gari-Nangere</t>
  </si>
  <si>
    <t>56-592-0089</t>
  </si>
  <si>
    <t>Hengshui</t>
  </si>
  <si>
    <t>29-374-1297</t>
  </si>
  <si>
    <t>Nantes</t>
  </si>
  <si>
    <t>80-728-6133</t>
  </si>
  <si>
    <t>Tamorot</t>
  </si>
  <si>
    <t>58-502-7490</t>
  </si>
  <si>
    <t>Sinchao</t>
  </si>
  <si>
    <t>23-537-0742</t>
  </si>
  <si>
    <t>Anding</t>
  </si>
  <si>
    <t>22-483-3115</t>
  </si>
  <si>
    <t>Rukem</t>
  </si>
  <si>
    <t>57-372-5969</t>
  </si>
  <si>
    <t>Bogovarovo</t>
  </si>
  <si>
    <t>37-283-9076</t>
  </si>
  <si>
    <t>Valbo</t>
  </si>
  <si>
    <t>39-075-3518</t>
  </si>
  <si>
    <t>Jaguaruana</t>
  </si>
  <si>
    <t>84-315-7189</t>
  </si>
  <si>
    <t>Ţāqchah Khānah</t>
  </si>
  <si>
    <t>75-964-5589</t>
  </si>
  <si>
    <t>Lipovci</t>
  </si>
  <si>
    <t>06-594-3417</t>
  </si>
  <si>
    <t>Panagyurishte</t>
  </si>
  <si>
    <t>08-297-3351</t>
  </si>
  <si>
    <t>Thị Trấn Than Uyên</t>
  </si>
  <si>
    <t>05-546-5128</t>
  </si>
  <si>
    <t>Clichy</t>
  </si>
  <si>
    <t>79-759-6726</t>
  </si>
  <si>
    <t>Kłoczew</t>
  </si>
  <si>
    <t>12-851-1771</t>
  </si>
  <si>
    <t>Zhukovo</t>
  </si>
  <si>
    <t>79-960-1714</t>
  </si>
  <si>
    <t>Nyköping</t>
  </si>
  <si>
    <t>30-417-6981</t>
  </si>
  <si>
    <t>Jianmin</t>
  </si>
  <si>
    <t>91-532-5399</t>
  </si>
  <si>
    <t>Bucaramanga</t>
  </si>
  <si>
    <t>89-997-9041</t>
  </si>
  <si>
    <t>Kudanding</t>
  </si>
  <si>
    <t>26-235-6745</t>
  </si>
  <si>
    <t>Kyoto</t>
  </si>
  <si>
    <t>99-080-9462</t>
  </si>
  <si>
    <t>Saraburi</t>
  </si>
  <si>
    <t>87-056-8987</t>
  </si>
  <si>
    <t>Negeriagung</t>
  </si>
  <si>
    <t>06-160-8063</t>
  </si>
  <si>
    <t>Latacunga</t>
  </si>
  <si>
    <t>73-434-2308</t>
  </si>
  <si>
    <t>Guanzhou</t>
  </si>
  <si>
    <t>84-260-6464</t>
  </si>
  <si>
    <t>Tabuc Pontevedra</t>
  </si>
  <si>
    <t>00-149-4481</t>
  </si>
  <si>
    <t>Kabale</t>
  </si>
  <si>
    <t>05-710-6109</t>
  </si>
  <si>
    <t>Malveira</t>
  </si>
  <si>
    <t>84-724-8407</t>
  </si>
  <si>
    <t>Veiga</t>
  </si>
  <si>
    <t>45-795-1873</t>
  </si>
  <si>
    <t>Jagistay</t>
  </si>
  <si>
    <t>06-647-3248</t>
  </si>
  <si>
    <t>Yuannan</t>
  </si>
  <si>
    <t>06-767-5206</t>
  </si>
  <si>
    <t>Mount Darwin</t>
  </si>
  <si>
    <t>94-288-4423</t>
  </si>
  <si>
    <t>Qal‘eh-ye Khvājeh</t>
  </si>
  <si>
    <t>49-891-9711</t>
  </si>
  <si>
    <t>08-806-0588</t>
  </si>
  <si>
    <t>Al Qarārah</t>
  </si>
  <si>
    <t>94-746-2001</t>
  </si>
  <si>
    <t>Fandriana</t>
  </si>
  <si>
    <t>38-943-5744</t>
  </si>
  <si>
    <t>Carregueira</t>
  </si>
  <si>
    <t>98-535-8497</t>
  </si>
  <si>
    <t>Lincheng</t>
  </si>
  <si>
    <t>33-243-8793</t>
  </si>
  <si>
    <t>Semenivka</t>
  </si>
  <si>
    <t>99-581-5577</t>
  </si>
  <si>
    <t>Yläne</t>
  </si>
  <si>
    <t>64-180-2404</t>
  </si>
  <si>
    <t>Cendagah</t>
  </si>
  <si>
    <t>73-097-0986</t>
  </si>
  <si>
    <t>Fīrūzābād</t>
  </si>
  <si>
    <t>88-051-0567</t>
  </si>
  <si>
    <t>Trondheim</t>
  </si>
  <si>
    <t>44-715-9594</t>
  </si>
  <si>
    <t>Yakovlevo</t>
  </si>
  <si>
    <t>84-188-6577</t>
  </si>
  <si>
    <t>Katav-Ivanovsk</t>
  </si>
  <si>
    <t>19-116-4723</t>
  </si>
  <si>
    <t>Voznesenskoye</t>
  </si>
  <si>
    <t>21-783-9242</t>
  </si>
  <si>
    <t>Voskhod</t>
  </si>
  <si>
    <t>95-528-2313</t>
  </si>
  <si>
    <t>Gudja</t>
  </si>
  <si>
    <t>94-682-4886</t>
  </si>
  <si>
    <t>Gawul</t>
  </si>
  <si>
    <t>55-944-9669</t>
  </si>
  <si>
    <t>Sobeok</t>
  </si>
  <si>
    <t>32-314-2958</t>
  </si>
  <si>
    <t>Nanhuang</t>
  </si>
  <si>
    <t>67-697-2331</t>
  </si>
  <si>
    <t>Tanudan</t>
  </si>
  <si>
    <t>28-855-1639</t>
  </si>
  <si>
    <t>Jiaozuo</t>
  </si>
  <si>
    <t>38-069-8615</t>
  </si>
  <si>
    <t>Takāb</t>
  </si>
  <si>
    <t>58-233-5963</t>
  </si>
  <si>
    <t>Gualeguay</t>
  </si>
  <si>
    <t>02-004-0620</t>
  </si>
  <si>
    <t>Lagoa Seca</t>
  </si>
  <si>
    <t>78-822-9328</t>
  </si>
  <si>
    <t>Bugarama</t>
  </si>
  <si>
    <t>73-359-1998</t>
  </si>
  <si>
    <t>Dicamay</t>
  </si>
  <si>
    <t>84-459-7736</t>
  </si>
  <si>
    <t>Xiluodu</t>
  </si>
  <si>
    <t>07-395-5818</t>
  </si>
  <si>
    <t>Ḩabābah</t>
  </si>
  <si>
    <t>07-560-6637</t>
  </si>
  <si>
    <t>Lobuk</t>
  </si>
  <si>
    <t>61-926-1691</t>
  </si>
  <si>
    <t>Waiwukak</t>
  </si>
  <si>
    <t>68-129-1060</t>
  </si>
  <si>
    <t>Abaeté</t>
  </si>
  <si>
    <t>04-052-5592</t>
  </si>
  <si>
    <t>Xiaqiao</t>
  </si>
  <si>
    <t>41-215-6092</t>
  </si>
  <si>
    <t>Zubūbah</t>
  </si>
  <si>
    <t>89-833-7175</t>
  </si>
  <si>
    <t>Kęsowo</t>
  </si>
  <si>
    <t>08-117-9893</t>
  </si>
  <si>
    <t>Colombo</t>
  </si>
  <si>
    <t>24-109-2173</t>
  </si>
  <si>
    <t>Messíni</t>
  </si>
  <si>
    <t>79-939-2140</t>
  </si>
  <si>
    <t>Yishui</t>
  </si>
  <si>
    <t>95-999-0984</t>
  </si>
  <si>
    <t>Nanyaojie</t>
  </si>
  <si>
    <t>64-799-3174</t>
  </si>
  <si>
    <t>Buzen</t>
  </si>
  <si>
    <t>27-018-2262</t>
  </si>
  <si>
    <t>Bom Jesus do Itabapoana</t>
  </si>
  <si>
    <t>38-881-0766</t>
  </si>
  <si>
    <t>Centenario</t>
  </si>
  <si>
    <t>17-344-8603</t>
  </si>
  <si>
    <t>Al Jīzah</t>
  </si>
  <si>
    <t>51-387-9144</t>
  </si>
  <si>
    <t>Thị Trấn Cẩm Thủy</t>
  </si>
  <si>
    <t>42-101-8525</t>
  </si>
  <si>
    <t>Curahkalak Tengah</t>
  </si>
  <si>
    <t>69-157-6752</t>
  </si>
  <si>
    <t>Ebu</t>
  </si>
  <si>
    <t>27-843-5553</t>
  </si>
  <si>
    <t>Tío Pujio</t>
  </si>
  <si>
    <t>04-468-5487</t>
  </si>
  <si>
    <t>08-584-8296</t>
  </si>
  <si>
    <t>Shaxi</t>
  </si>
  <si>
    <t>81-014-4502</t>
  </si>
  <si>
    <t>Kelīshād va Sūdarjān</t>
  </si>
  <si>
    <t>65-167-9819</t>
  </si>
  <si>
    <t>19-925-2376</t>
  </si>
  <si>
    <t>Segodim</t>
  </si>
  <si>
    <t>03-669-7519</t>
  </si>
  <si>
    <t>Yinying</t>
  </si>
  <si>
    <t>00-520-4376</t>
  </si>
  <si>
    <t>Harembo</t>
  </si>
  <si>
    <t>62-701-1037</t>
  </si>
  <si>
    <t>Lazarevac</t>
  </si>
  <si>
    <t>87-806-4478</t>
  </si>
  <si>
    <t>04-809-8989</t>
  </si>
  <si>
    <t>Zhongcun</t>
  </si>
  <si>
    <t>39-867-1989</t>
  </si>
  <si>
    <t>Gaopeng</t>
  </si>
  <si>
    <t>45-584-7333</t>
  </si>
  <si>
    <t>Tabonok</t>
  </si>
  <si>
    <t>85-885-6579</t>
  </si>
  <si>
    <t>Tirana</t>
  </si>
  <si>
    <t>65-457-2840</t>
  </si>
  <si>
    <t>Maralal</t>
  </si>
  <si>
    <t>82-726-1255</t>
  </si>
  <si>
    <t>Xinjiang</t>
  </si>
  <si>
    <t>90-602-3583</t>
  </si>
  <si>
    <t>Mocho</t>
  </si>
  <si>
    <t>02-711-1034</t>
  </si>
  <si>
    <t>Likhoy</t>
  </si>
  <si>
    <t>27-347-7437</t>
  </si>
  <si>
    <t>Mineiros</t>
  </si>
  <si>
    <t>95-675-7816</t>
  </si>
  <si>
    <t>Noisy-le-Grand</t>
  </si>
  <si>
    <t>87-418-1400</t>
  </si>
  <si>
    <t>Taoyuan</t>
  </si>
  <si>
    <t>73-991-0066</t>
  </si>
  <si>
    <t>San Marcos de Colón</t>
  </si>
  <si>
    <t>62-273-8089</t>
  </si>
  <si>
    <t>Pokrovka</t>
  </si>
  <si>
    <t>51-220-3072</t>
  </si>
  <si>
    <t>Shuntian</t>
  </si>
  <si>
    <t>17-648-0171</t>
  </si>
  <si>
    <t>João Câmara</t>
  </si>
  <si>
    <t>11-975-9054</t>
  </si>
  <si>
    <t>Cunha</t>
  </si>
  <si>
    <t>75-518-2831</t>
  </si>
  <si>
    <t>Fengyi</t>
  </si>
  <si>
    <t>13-297-9777</t>
  </si>
  <si>
    <t>Myshkin</t>
  </si>
  <si>
    <t>81-604-7906</t>
  </si>
  <si>
    <t>Tewulike</t>
  </si>
  <si>
    <t>87-518-0375</t>
  </si>
  <si>
    <t>Bistrinci</t>
  </si>
  <si>
    <t>53-437-2629</t>
  </si>
  <si>
    <t>Chenguang</t>
  </si>
  <si>
    <t>46-681-0764</t>
  </si>
  <si>
    <t>Muara</t>
  </si>
  <si>
    <t>43-990-6454</t>
  </si>
  <si>
    <t>Qorveh</t>
  </si>
  <si>
    <t>55-570-3804</t>
  </si>
  <si>
    <t>Bom Despacho</t>
  </si>
  <si>
    <t>29-067-4901</t>
  </si>
  <si>
    <t>Arhust</t>
  </si>
  <si>
    <t>93-957-6269</t>
  </si>
  <si>
    <t>Thaton</t>
  </si>
  <si>
    <t>81-225-6647</t>
  </si>
  <si>
    <t>Changbai</t>
  </si>
  <si>
    <t>64-706-7841</t>
  </si>
  <si>
    <t>Kragan</t>
  </si>
  <si>
    <t>47-178-9529</t>
  </si>
  <si>
    <t>Bida</t>
  </si>
  <si>
    <t>63-808-3641</t>
  </si>
  <si>
    <t>Pointe Michel</t>
  </si>
  <si>
    <t>85-738-8909</t>
  </si>
  <si>
    <t>Juyuan</t>
  </si>
  <si>
    <t>40-224-1057</t>
  </si>
  <si>
    <t>Sabugo</t>
  </si>
  <si>
    <t>24-853-1635</t>
  </si>
  <si>
    <t>Huangjin</t>
  </si>
  <si>
    <t>61-627-1822</t>
  </si>
  <si>
    <t>Huquan</t>
  </si>
  <si>
    <t>89-392-5002</t>
  </si>
  <si>
    <t>Xinqiao</t>
  </si>
  <si>
    <t>71-573-6085</t>
  </si>
  <si>
    <t>Trzemeszno</t>
  </si>
  <si>
    <t>91-810-3612</t>
  </si>
  <si>
    <t>Dashkawka</t>
  </si>
  <si>
    <t>07-323-0255</t>
  </si>
  <si>
    <t>Sakura</t>
  </si>
  <si>
    <t>81-054-5343</t>
  </si>
  <si>
    <t>Lianghu</t>
  </si>
  <si>
    <t>14-854-9545</t>
  </si>
  <si>
    <t>Karabash</t>
  </si>
  <si>
    <t>52-150-4629</t>
  </si>
  <si>
    <t>Maomiaoji</t>
  </si>
  <si>
    <t>48-918-4473</t>
  </si>
  <si>
    <t>Pingtian</t>
  </si>
  <si>
    <t>06-764-5496</t>
  </si>
  <si>
    <t>Tišina</t>
  </si>
  <si>
    <t>67-036-4295</t>
  </si>
  <si>
    <t>Montceau-les-Mines</t>
  </si>
  <si>
    <t>35-880-9374</t>
  </si>
  <si>
    <t>Karengan</t>
  </si>
  <si>
    <t>08-614-6177</t>
  </si>
  <si>
    <t>Sungai Raya</t>
  </si>
  <si>
    <t>35-879-0014</t>
  </si>
  <si>
    <t>Zwedru</t>
  </si>
  <si>
    <t>91-570-2695</t>
  </si>
  <si>
    <t>Ţahţā</t>
  </si>
  <si>
    <t>54-193-3526</t>
  </si>
  <si>
    <t>Masaran</t>
  </si>
  <si>
    <t>55-237-7991</t>
  </si>
  <si>
    <t>Huangtang</t>
  </si>
  <si>
    <t>90-569-7391</t>
  </si>
  <si>
    <t>Skoútari</t>
  </si>
  <si>
    <t>88-395-8741</t>
  </si>
  <si>
    <t>Jelat</t>
  </si>
  <si>
    <t>06-638-0433</t>
  </si>
  <si>
    <t>Doibang</t>
  </si>
  <si>
    <t>84-208-7045</t>
  </si>
  <si>
    <t>Kazimierz Dolny</t>
  </si>
  <si>
    <t>71-568-0867</t>
  </si>
  <si>
    <t>Margasari</t>
  </si>
  <si>
    <t>18-925-1867</t>
  </si>
  <si>
    <t>Garça</t>
  </si>
  <si>
    <t>69-394-1424</t>
  </si>
  <si>
    <t>Muff</t>
  </si>
  <si>
    <t>91-695-8237</t>
  </si>
  <si>
    <t>Kryva Hora</t>
  </si>
  <si>
    <t>68-458-0904</t>
  </si>
  <si>
    <t>Pyra</t>
  </si>
  <si>
    <t>28-862-5550</t>
  </si>
  <si>
    <t>General Lavalle</t>
  </si>
  <si>
    <t>85-666-7449</t>
  </si>
  <si>
    <t>Zhongzhang</t>
  </si>
  <si>
    <t>30-987-7421</t>
  </si>
  <si>
    <t>Estacion</t>
  </si>
  <si>
    <t>39-107-6852</t>
  </si>
  <si>
    <t>Xinglongchang</t>
  </si>
  <si>
    <t>85-467-6564</t>
  </si>
  <si>
    <t>San Nicolas</t>
  </si>
  <si>
    <t>82-692-9306</t>
  </si>
  <si>
    <t>Ropa</t>
  </si>
  <si>
    <t>18-593-8611</t>
  </si>
  <si>
    <t>San Diego</t>
  </si>
  <si>
    <t>93-093-0556</t>
  </si>
  <si>
    <t>Pan-an</t>
  </si>
  <si>
    <t>59-080-5779</t>
  </si>
  <si>
    <t>Shu</t>
  </si>
  <si>
    <t>64-915-2968</t>
  </si>
  <si>
    <t>94-495-3402</t>
  </si>
  <si>
    <t>Mojogajeh</t>
  </si>
  <si>
    <t>84-458-6432</t>
  </si>
  <si>
    <t>Mawu</t>
  </si>
  <si>
    <t>46-452-3822</t>
  </si>
  <si>
    <t>Genting</t>
  </si>
  <si>
    <t>54-877-5699</t>
  </si>
  <si>
    <t>Madan</t>
  </si>
  <si>
    <t>15-146-4456</t>
  </si>
  <si>
    <t>Hexiangqiao</t>
  </si>
  <si>
    <t>76-620-2994</t>
  </si>
  <si>
    <t>Na Muen</t>
  </si>
  <si>
    <t>60-834-3348</t>
  </si>
  <si>
    <t>Gafargaon</t>
  </si>
  <si>
    <t>77-742-5663</t>
  </si>
  <si>
    <t>Qingban</t>
  </si>
  <si>
    <t>05-167-0833</t>
  </si>
  <si>
    <t>Labège</t>
  </si>
  <si>
    <t>86-182-9556</t>
  </si>
  <si>
    <t>Port Elizabeth</t>
  </si>
  <si>
    <t>14-415-2802</t>
  </si>
  <si>
    <t>Sauri</t>
  </si>
  <si>
    <t>49-469-9163</t>
  </si>
  <si>
    <t>Desakolot</t>
  </si>
  <si>
    <t>67-937-6624</t>
  </si>
  <si>
    <t>Huambo</t>
  </si>
  <si>
    <t>91-761-9492</t>
  </si>
  <si>
    <t>Luoting</t>
  </si>
  <si>
    <t>19-184-7665</t>
  </si>
  <si>
    <t>Stepnogorsk</t>
  </si>
  <si>
    <t>19-383-9741</t>
  </si>
  <si>
    <t>Zarechnyy</t>
  </si>
  <si>
    <t>15-625-4047</t>
  </si>
  <si>
    <t>81-820-4735</t>
  </si>
  <si>
    <t>Banjar Medura</t>
  </si>
  <si>
    <t>71-436-6908</t>
  </si>
  <si>
    <t>Arnprior</t>
  </si>
  <si>
    <t>73-145-5784</t>
  </si>
  <si>
    <t>Donglu</t>
  </si>
  <si>
    <t>50-637-1630</t>
  </si>
  <si>
    <t>Inderka</t>
  </si>
  <si>
    <t>44-938-7475</t>
  </si>
  <si>
    <t>Tochio-honchō</t>
  </si>
  <si>
    <t>55-279-3045</t>
  </si>
  <si>
    <t>Pasadena</t>
  </si>
  <si>
    <t>59-997-3903</t>
  </si>
  <si>
    <t>Barishāl</t>
  </si>
  <si>
    <t>12-029-9344</t>
  </si>
  <si>
    <t>Kihurio</t>
  </si>
  <si>
    <t>41-130-2570</t>
  </si>
  <si>
    <t>Oekero</t>
  </si>
  <si>
    <t>25-285-7453</t>
  </si>
  <si>
    <t>Cluses</t>
  </si>
  <si>
    <t>47-225-8686</t>
  </si>
  <si>
    <t>Wrząsowice</t>
  </si>
  <si>
    <t>33-519-4214</t>
  </si>
  <si>
    <t>Hengfeng</t>
  </si>
  <si>
    <t>03-991-2098</t>
  </si>
  <si>
    <t>Bor</t>
  </si>
  <si>
    <t>30-735-8744</t>
  </si>
  <si>
    <t>Nawu</t>
  </si>
  <si>
    <t>13-848-5757</t>
  </si>
  <si>
    <t>Longotea</t>
  </si>
  <si>
    <t>21-300-2001</t>
  </si>
  <si>
    <t>Ḩabīl al Jabr</t>
  </si>
  <si>
    <t>38-587-1781</t>
  </si>
  <si>
    <t>Gueset</t>
  </si>
  <si>
    <t>66-557-1474</t>
  </si>
  <si>
    <t>Līkak</t>
  </si>
  <si>
    <t>03-422-8710</t>
  </si>
  <si>
    <t>Yuanguping</t>
  </si>
  <si>
    <t>39-731-8532</t>
  </si>
  <si>
    <t>Colón</t>
  </si>
  <si>
    <t>80-830-3184</t>
  </si>
  <si>
    <t>Lyon</t>
  </si>
  <si>
    <t>97-505-8416</t>
  </si>
  <si>
    <t>Chamical</t>
  </si>
  <si>
    <t>98-585-4742</t>
  </si>
  <si>
    <t>Ágios Andréas</t>
  </si>
  <si>
    <t>51-302-9537</t>
  </si>
  <si>
    <t>Cibeusi</t>
  </si>
  <si>
    <t>88-313-2633</t>
  </si>
  <si>
    <t>Itsandzéni</t>
  </si>
  <si>
    <t>61-286-0069</t>
  </si>
  <si>
    <t>Kosh-Agach</t>
  </si>
  <si>
    <t>35-907-0586</t>
  </si>
  <si>
    <t>Kuafeu</t>
  </si>
  <si>
    <t>30-522-1574</t>
  </si>
  <si>
    <t>Xincheng</t>
  </si>
  <si>
    <t>43-715-8777</t>
  </si>
  <si>
    <t>Minneapolis</t>
  </si>
  <si>
    <t>94-692-4313</t>
  </si>
  <si>
    <t>Péfki</t>
  </si>
  <si>
    <t>96-915-4091</t>
  </si>
  <si>
    <t>Ḩawallī</t>
  </si>
  <si>
    <t>67-073-5578</t>
  </si>
  <si>
    <t>27-010-9462</t>
  </si>
  <si>
    <t>Imielin</t>
  </si>
  <si>
    <t>19-689-4556</t>
  </si>
  <si>
    <t>Przeworsk</t>
  </si>
  <si>
    <t>53-143-6147</t>
  </si>
  <si>
    <t>Amsterdam Nieuw West</t>
  </si>
  <si>
    <t>02-725-7664</t>
  </si>
  <si>
    <t>Klishkivtsi</t>
  </si>
  <si>
    <t>54-439-4748</t>
  </si>
  <si>
    <t>Borova</t>
  </si>
  <si>
    <t>66-949-9895</t>
  </si>
  <si>
    <t>Vendargues</t>
  </si>
  <si>
    <t>20-648-1010</t>
  </si>
  <si>
    <t>Zilang</t>
  </si>
  <si>
    <t>79-939-5393</t>
  </si>
  <si>
    <t>Camalote</t>
  </si>
  <si>
    <t>89-249-8369</t>
  </si>
  <si>
    <t>Julayjilah</t>
  </si>
  <si>
    <t>85-366-1482</t>
  </si>
  <si>
    <t>Badajoz</t>
  </si>
  <si>
    <t>34-874-7357</t>
  </si>
  <si>
    <t>Fort Wayne</t>
  </si>
  <si>
    <t>11-820-5039</t>
  </si>
  <si>
    <t>Galán</t>
  </si>
  <si>
    <t>73-846-1423</t>
  </si>
  <si>
    <t>Saint Joseph</t>
  </si>
  <si>
    <t>90-363-8040</t>
  </si>
  <si>
    <t>Hospitalet De Llobregat, L'</t>
  </si>
  <si>
    <t>65-533-1660</t>
  </si>
  <si>
    <t>Palma De Mallorca</t>
  </si>
  <si>
    <t>98-376-8787</t>
  </si>
  <si>
    <t>Pho Duc</t>
  </si>
  <si>
    <t>18-938-9896</t>
  </si>
  <si>
    <t>Łeba</t>
  </si>
  <si>
    <t>04-829-7037</t>
  </si>
  <si>
    <t>Yaguaraparo</t>
  </si>
  <si>
    <t>93-455-0576</t>
  </si>
  <si>
    <t>Novoorsk</t>
  </si>
  <si>
    <t>84-637-9188</t>
  </si>
  <si>
    <t>Wuyang</t>
  </si>
  <si>
    <t>81-111-7832</t>
  </si>
  <si>
    <t>Pelasgía</t>
  </si>
  <si>
    <t>77-401-8183</t>
  </si>
  <si>
    <t>Phúc Thọ</t>
  </si>
  <si>
    <t>01-484-8220</t>
  </si>
  <si>
    <t>Vsevolozhsk</t>
  </si>
  <si>
    <t>11-121-0709</t>
  </si>
  <si>
    <t>Kara Suu</t>
  </si>
  <si>
    <t>36-649-0081</t>
  </si>
  <si>
    <t>Beigucheng</t>
  </si>
  <si>
    <t>61-176-8712</t>
  </si>
  <si>
    <t>Cerro</t>
  </si>
  <si>
    <t>75-526-2611</t>
  </si>
  <si>
    <t>Yamaga</t>
  </si>
  <si>
    <t>72-339-1854</t>
  </si>
  <si>
    <t>Sacramento</t>
  </si>
  <si>
    <t>80-360-6324</t>
  </si>
  <si>
    <t>Foso</t>
  </si>
  <si>
    <t>24-591-4327</t>
  </si>
  <si>
    <t>Nowe Brzesko</t>
  </si>
  <si>
    <t>58-487-8848</t>
  </si>
  <si>
    <t>Konārak</t>
  </si>
  <si>
    <t>61-453-3503</t>
  </si>
  <si>
    <t>Qingshandi</t>
  </si>
  <si>
    <t>63-680-7694</t>
  </si>
  <si>
    <t>Mbala</t>
  </si>
  <si>
    <t>51-431-7150</t>
  </si>
  <si>
    <t>Shiqiao</t>
  </si>
  <si>
    <t>23-039-9347</t>
  </si>
  <si>
    <t>Yatsuomachi-higashikumisaka</t>
  </si>
  <si>
    <t>18-832-6916</t>
  </si>
  <si>
    <t>Czarna Dąbrówka</t>
  </si>
  <si>
    <t>29-438-8126</t>
  </si>
  <si>
    <t>Pasirmadang</t>
  </si>
  <si>
    <t>68-201-1633</t>
  </si>
  <si>
    <t>Maño</t>
  </si>
  <si>
    <t>07-314-2945</t>
  </si>
  <si>
    <t>Tiwi</t>
  </si>
  <si>
    <t>64-490-6975</t>
  </si>
  <si>
    <t>Ahar</t>
  </si>
  <si>
    <t>91-789-3191</t>
  </si>
  <si>
    <t>Dake</t>
  </si>
  <si>
    <t>83-714-9649</t>
  </si>
  <si>
    <t>Harstad</t>
  </si>
  <si>
    <t>33-203-4230</t>
  </si>
  <si>
    <t>Perbaungan</t>
  </si>
  <si>
    <t>90-918-2833</t>
  </si>
  <si>
    <t>Soroti</t>
  </si>
  <si>
    <t>53-409-1176</t>
  </si>
  <si>
    <t>Caruaru</t>
  </si>
  <si>
    <t>52-491-3386</t>
  </si>
  <si>
    <t>Kamiennik</t>
  </si>
  <si>
    <t>10-870-3357</t>
  </si>
  <si>
    <t>Boundiali</t>
  </si>
  <si>
    <t>41-816-7753</t>
  </si>
  <si>
    <t>Götene</t>
  </si>
  <si>
    <t>68-296-5978</t>
  </si>
  <si>
    <t>Kadumelati</t>
  </si>
  <si>
    <t>03-874-9055</t>
  </si>
  <si>
    <t>Amparo</t>
  </si>
  <si>
    <t>28-123-8406</t>
  </si>
  <si>
    <t>Shimen</t>
  </si>
  <si>
    <t>01-089-2223</t>
  </si>
  <si>
    <t>Philadelphia</t>
  </si>
  <si>
    <t>23-758-1012</t>
  </si>
  <si>
    <t>Myingyan</t>
  </si>
  <si>
    <t>34-788-8387</t>
  </si>
  <si>
    <t>Qingqu</t>
  </si>
  <si>
    <t>53-865-9342</t>
  </si>
  <si>
    <t>Poste de Flacq</t>
  </si>
  <si>
    <t>79-052-8470</t>
  </si>
  <si>
    <t>Ţawr al Bāḩah</t>
  </si>
  <si>
    <t>86-359-7320</t>
  </si>
  <si>
    <t>Phu Loc</t>
  </si>
  <si>
    <t>27-111-2242</t>
  </si>
  <si>
    <t>Jembangan</t>
  </si>
  <si>
    <t>84-538-0238</t>
  </si>
  <si>
    <t>Harhorin</t>
  </si>
  <si>
    <t>04-660-2742</t>
  </si>
  <si>
    <t>Meijiang</t>
  </si>
  <si>
    <t>96-496-9833</t>
  </si>
  <si>
    <t>Lañgub</t>
  </si>
  <si>
    <t>27-672-6081</t>
  </si>
  <si>
    <t>Bangbayang</t>
  </si>
  <si>
    <t>66-033-0540</t>
  </si>
  <si>
    <t>Stěbořice</t>
  </si>
  <si>
    <t>99-643-9845</t>
  </si>
  <si>
    <t>Banturkrajan</t>
  </si>
  <si>
    <t>27-571-9402</t>
  </si>
  <si>
    <t>São Torcato</t>
  </si>
  <si>
    <t>10-430-5821</t>
  </si>
  <si>
    <t>Kapan</t>
  </si>
  <si>
    <t>36-835-7445</t>
  </si>
  <si>
    <t>Văn Giang</t>
  </si>
  <si>
    <t>41-602-4042</t>
  </si>
  <si>
    <t>63-743-6962</t>
  </si>
  <si>
    <t>Tanushimarumachi-toyoki</t>
  </si>
  <si>
    <t>66-772-9922</t>
  </si>
  <si>
    <t>Kazo</t>
  </si>
  <si>
    <t>23-246-5927</t>
  </si>
  <si>
    <t>Rawa Mazowiecka</t>
  </si>
  <si>
    <t>74-022-7557</t>
  </si>
  <si>
    <t>Wŏnsan</t>
  </si>
  <si>
    <t>78-214-5658</t>
  </si>
  <si>
    <t>Villavicencio</t>
  </si>
  <si>
    <t>25-286-8786</t>
  </si>
  <si>
    <t>Berlin</t>
  </si>
  <si>
    <t>55-955-9889</t>
  </si>
  <si>
    <t>Wailang</t>
  </si>
  <si>
    <t>34-237-3943</t>
  </si>
  <si>
    <t>Fangshan</t>
  </si>
  <si>
    <t>19-386-9088</t>
  </si>
  <si>
    <t>Tallahassee</t>
  </si>
  <si>
    <t>16-583-2801</t>
  </si>
  <si>
    <t>Anchorage</t>
  </si>
  <si>
    <t>83-752-5439</t>
  </si>
  <si>
    <t>Mulhouse</t>
  </si>
  <si>
    <t>25-485-2023</t>
  </si>
  <si>
    <t>Tangkilsari</t>
  </si>
  <si>
    <t>90-822-7664</t>
  </si>
  <si>
    <t>San Carlos</t>
  </si>
  <si>
    <t>22-039-6819</t>
  </si>
  <si>
    <t>Queluz</t>
  </si>
  <si>
    <t>50-395-1941</t>
  </si>
  <si>
    <t>Särkisalo</t>
  </si>
  <si>
    <t>99-771-9310</t>
  </si>
  <si>
    <t>Vitoria-Gasteiz</t>
  </si>
  <si>
    <t>18-518-0140</t>
  </si>
  <si>
    <t>Coro</t>
  </si>
  <si>
    <t>57-000-8646</t>
  </si>
  <si>
    <t>Purwa</t>
  </si>
  <si>
    <t>81-926-9297</t>
  </si>
  <si>
    <t>Gävle</t>
  </si>
  <si>
    <t>53-070-2625</t>
  </si>
  <si>
    <t>Embu Guaçu</t>
  </si>
  <si>
    <t>63-217-7638</t>
  </si>
  <si>
    <t>64-120-6212</t>
  </si>
  <si>
    <t>Fubin</t>
  </si>
  <si>
    <t>01-404-3425</t>
  </si>
  <si>
    <t>Talshand</t>
  </si>
  <si>
    <t>68-971-6148</t>
  </si>
  <si>
    <t>Palampal</t>
  </si>
  <si>
    <t>22-053-4627</t>
  </si>
  <si>
    <t>Kamárai</t>
  </si>
  <si>
    <t>09-258-0424</t>
  </si>
  <si>
    <t>Ettelbruck</t>
  </si>
  <si>
    <t>56-782-9001</t>
  </si>
  <si>
    <t>Cawayan</t>
  </si>
  <si>
    <t>05-506-7216</t>
  </si>
  <si>
    <t>Don Carlos</t>
  </si>
  <si>
    <t>47-356-9730</t>
  </si>
  <si>
    <t>42-898-6421</t>
  </si>
  <si>
    <t>Cervantes</t>
  </si>
  <si>
    <t>17-364-8685</t>
  </si>
  <si>
    <t>Ebebiyin</t>
  </si>
  <si>
    <t>13-618-9438</t>
  </si>
  <si>
    <t>Chuquitira</t>
  </si>
  <si>
    <t>32-457-2982</t>
  </si>
  <si>
    <t>Proletarsk</t>
  </si>
  <si>
    <t>43-386-2489</t>
  </si>
  <si>
    <t>Naghalin</t>
  </si>
  <si>
    <t>67-438-2378</t>
  </si>
  <si>
    <t>Honolulu</t>
  </si>
  <si>
    <t>65-431-1264</t>
  </si>
  <si>
    <t>Dhalie</t>
  </si>
  <si>
    <t>73-367-8478</t>
  </si>
  <si>
    <t>Giesteira</t>
  </si>
  <si>
    <t>84-162-8799</t>
  </si>
  <si>
    <t>Khilok</t>
  </si>
  <si>
    <t>51-546-9992</t>
  </si>
  <si>
    <t>89-189-3295</t>
  </si>
  <si>
    <t>Vereshchagino</t>
  </si>
  <si>
    <t>45-776-7217</t>
  </si>
  <si>
    <t>Binagadi</t>
  </si>
  <si>
    <t>71-354-5174</t>
  </si>
  <si>
    <t>Tsuen Wan</t>
  </si>
  <si>
    <t>05-975-6985</t>
  </si>
  <si>
    <t>Banjar Batanpoh</t>
  </si>
  <si>
    <t>42-859-2475</t>
  </si>
  <si>
    <t>Yenakiyeve</t>
  </si>
  <si>
    <t>34-094-1923</t>
  </si>
  <si>
    <t>San Ramon</t>
  </si>
  <si>
    <t>57-797-8139</t>
  </si>
  <si>
    <t>Sakété</t>
  </si>
  <si>
    <t>21-048-8669</t>
  </si>
  <si>
    <t>Pantenan</t>
  </si>
  <si>
    <t>30-038-8752</t>
  </si>
  <si>
    <t>Antrukan</t>
  </si>
  <si>
    <t>06-237-7338</t>
  </si>
  <si>
    <t>Dhahab</t>
  </si>
  <si>
    <t>71-817-5422</t>
  </si>
  <si>
    <t>Vetluga</t>
  </si>
  <si>
    <t>68-512-0568</t>
  </si>
  <si>
    <t>Wolfsberg</t>
  </si>
  <si>
    <t>18-633-9387</t>
  </si>
  <si>
    <t>San Bautista</t>
  </si>
  <si>
    <t>08-977-4418</t>
  </si>
  <si>
    <t>Reuleuet</t>
  </si>
  <si>
    <t>97-738-8095</t>
  </si>
  <si>
    <t>Lonpao Dajah</t>
  </si>
  <si>
    <t>15-421-1255</t>
  </si>
  <si>
    <t>Nanqiao</t>
  </si>
  <si>
    <t>92-142-4328</t>
  </si>
  <si>
    <t>06-357-6548</t>
  </si>
  <si>
    <t>Ishikawa</t>
  </si>
  <si>
    <t>59-261-4453</t>
  </si>
  <si>
    <t>Oguma</t>
  </si>
  <si>
    <t>35-644-3184</t>
  </si>
  <si>
    <t>Těšany</t>
  </si>
  <si>
    <t>30-528-9105</t>
  </si>
  <si>
    <t>Aksha</t>
  </si>
  <si>
    <t>14-709-8547</t>
  </si>
  <si>
    <t>Lahan Sai</t>
  </si>
  <si>
    <t>80-508-9866</t>
  </si>
  <si>
    <t>Estância</t>
  </si>
  <si>
    <t>27-100-0661</t>
  </si>
  <si>
    <t>Las Lomas</t>
  </si>
  <si>
    <t>68-488-7343</t>
  </si>
  <si>
    <t>Xiamayu</t>
  </si>
  <si>
    <t>63-304-1852</t>
  </si>
  <si>
    <t>Iñapari</t>
  </si>
  <si>
    <t>53-843-5619</t>
  </si>
  <si>
    <t>Orsay</t>
  </si>
  <si>
    <t>44-786-7696</t>
  </si>
  <si>
    <t>Zhongying</t>
  </si>
  <si>
    <t>45-631-4619</t>
  </si>
  <si>
    <t>Bayḩān</t>
  </si>
  <si>
    <t>11-850-1953</t>
  </si>
  <si>
    <t>Beizhakou</t>
  </si>
  <si>
    <t>20-421-2544</t>
  </si>
  <si>
    <t>Kyŏngsŏng</t>
  </si>
  <si>
    <t>37-100-8709</t>
  </si>
  <si>
    <t>Turinsk</t>
  </si>
  <si>
    <t>78-361-5100</t>
  </si>
  <si>
    <t>As Sawdā</t>
  </si>
  <si>
    <t>67-676-5945</t>
  </si>
  <si>
    <t>Legaspi</t>
  </si>
  <si>
    <t>67-639-5838</t>
  </si>
  <si>
    <t>Shimorskoye</t>
  </si>
  <si>
    <t>51-415-1931</t>
  </si>
  <si>
    <t>Kościelec</t>
  </si>
  <si>
    <t>96-764-3843</t>
  </si>
  <si>
    <t>Yongfu</t>
  </si>
  <si>
    <t>16-730-2056</t>
  </si>
  <si>
    <t>Vinkkilä</t>
  </si>
  <si>
    <t>22-157-2494</t>
  </si>
  <si>
    <t>Revolucion Verde</t>
  </si>
  <si>
    <t>29-341-6463</t>
  </si>
  <si>
    <t>Newton</t>
  </si>
  <si>
    <t>64-906-4475</t>
  </si>
  <si>
    <t>Nantang</t>
  </si>
  <si>
    <t>36-340-8494</t>
  </si>
  <si>
    <t>Perugia</t>
  </si>
  <si>
    <t>77-031-4898</t>
  </si>
  <si>
    <t>Tancheng</t>
  </si>
  <si>
    <t>86-097-9642</t>
  </si>
  <si>
    <t>Leon Postigo</t>
  </si>
  <si>
    <t>64-090-3433</t>
  </si>
  <si>
    <t>Bollène</t>
  </si>
  <si>
    <t>96-140-1936</t>
  </si>
  <si>
    <t>Baihe</t>
  </si>
  <si>
    <t>38-830-6976</t>
  </si>
  <si>
    <t>Puqi</t>
  </si>
  <si>
    <t>82-864-1154</t>
  </si>
  <si>
    <t>Pedraza</t>
  </si>
  <si>
    <t>79-711-6779</t>
  </si>
  <si>
    <t>22-860-9860</t>
  </si>
  <si>
    <t>Pasinan Barat</t>
  </si>
  <si>
    <t>72-590-6161</t>
  </si>
  <si>
    <t>Saltpond</t>
  </si>
  <si>
    <t>76-213-5806</t>
  </si>
  <si>
    <t>Rende</t>
  </si>
  <si>
    <t>66-894-5431</t>
  </si>
  <si>
    <t>Zarasai</t>
  </si>
  <si>
    <t>20-939-3906</t>
  </si>
  <si>
    <t>Nanchangshan</t>
  </si>
  <si>
    <t>86-390-9555</t>
  </si>
  <si>
    <t>Pegões</t>
  </si>
  <si>
    <t>91-602-0761</t>
  </si>
  <si>
    <t>Espírito Santo do Pinhal</t>
  </si>
  <si>
    <t>62-974-7965</t>
  </si>
  <si>
    <t>Újezd</t>
  </si>
  <si>
    <t>21-232-1397</t>
  </si>
  <si>
    <t>Bhadrapur</t>
  </si>
  <si>
    <t>31-364-4144</t>
  </si>
  <si>
    <t>Kostrovo</t>
  </si>
  <si>
    <t>99-945-7193</t>
  </si>
  <si>
    <t>Lemery</t>
  </si>
  <si>
    <t>91-053-3261</t>
  </si>
  <si>
    <t>Youcheng</t>
  </si>
  <si>
    <t>50-447-5171</t>
  </si>
  <si>
    <t>Napoli</t>
  </si>
  <si>
    <t>89-754-7244</t>
  </si>
  <si>
    <t>El Caño</t>
  </si>
  <si>
    <t>56-072-7011</t>
  </si>
  <si>
    <t>Heemstede</t>
  </si>
  <si>
    <t>74-281-3421</t>
  </si>
  <si>
    <t>Panyam</t>
  </si>
  <si>
    <t>86-068-2133</t>
  </si>
  <si>
    <t>Faraulep</t>
  </si>
  <si>
    <t>03-102-0288</t>
  </si>
  <si>
    <t>San Isidro</t>
  </si>
  <si>
    <t>74-033-1145</t>
  </si>
  <si>
    <t>Mranggen</t>
  </si>
  <si>
    <t>24-272-6205</t>
  </si>
  <si>
    <t>Cigadog</t>
  </si>
  <si>
    <t>90-170-1951</t>
  </si>
  <si>
    <t>Caitang</t>
  </si>
  <si>
    <t>73-259-8940</t>
  </si>
  <si>
    <t>Masoyila</t>
  </si>
  <si>
    <t>77-796-5786</t>
  </si>
  <si>
    <t>Beiyuan</t>
  </si>
  <si>
    <t>23-949-1954</t>
  </si>
  <si>
    <t>Kariya</t>
  </si>
  <si>
    <t>51-313-7293</t>
  </si>
  <si>
    <t>Malakhovka</t>
  </si>
  <si>
    <t>62-797-9254</t>
  </si>
  <si>
    <t>At-Bashi</t>
  </si>
  <si>
    <t>27-941-4995</t>
  </si>
  <si>
    <t>Sankeyushu</t>
  </si>
  <si>
    <t>01-799-2615</t>
  </si>
  <si>
    <t>Limoges</t>
  </si>
  <si>
    <t>82-133-0444</t>
  </si>
  <si>
    <t>Hägersten</t>
  </si>
  <si>
    <t>43-920-9499</t>
  </si>
  <si>
    <t>Tarata</t>
  </si>
  <si>
    <t>17-551-9779</t>
  </si>
  <si>
    <t>Marabahan</t>
  </si>
  <si>
    <t>49-037-2300</t>
  </si>
  <si>
    <t>Eslāmābād</t>
  </si>
  <si>
    <t>95-876-9757</t>
  </si>
  <si>
    <t>Emar</t>
  </si>
  <si>
    <t>47-947-4888</t>
  </si>
  <si>
    <t>Baisha</t>
  </si>
  <si>
    <t>83-003-2165</t>
  </si>
  <si>
    <t>27-619-9264</t>
  </si>
  <si>
    <t>49-476-1729</t>
  </si>
  <si>
    <t>Skórzec</t>
  </si>
  <si>
    <t>64-803-7087</t>
  </si>
  <si>
    <t>São João dos Inhamuns</t>
  </si>
  <si>
    <t>01-925-4021</t>
  </si>
  <si>
    <t>Tambaksari</t>
  </si>
  <si>
    <t>51-116-5937</t>
  </si>
  <si>
    <t>Lazarat</t>
  </si>
  <si>
    <t>72-454-2741</t>
  </si>
  <si>
    <t>Belene</t>
  </si>
  <si>
    <t>96-484-1000</t>
  </si>
  <si>
    <t>Xiangshan</t>
  </si>
  <si>
    <t>07-834-3350</t>
  </si>
  <si>
    <t>11-802-5604</t>
  </si>
  <si>
    <t>Zengfu</t>
  </si>
  <si>
    <t>41-750-4105</t>
  </si>
  <si>
    <t>Tingsryd</t>
  </si>
  <si>
    <t>31-491-8457</t>
  </si>
  <si>
    <t>Tipaz</t>
  </si>
  <si>
    <t>86-257-9581</t>
  </si>
  <si>
    <t>Wādī as Salqā</t>
  </si>
  <si>
    <t>22-981-6595</t>
  </si>
  <si>
    <t>Wasagu</t>
  </si>
  <si>
    <t>54-002-5845</t>
  </si>
  <si>
    <t>Wangsi</t>
  </si>
  <si>
    <t>31-927-7787</t>
  </si>
  <si>
    <t>Esmeralda</t>
  </si>
  <si>
    <t>46-098-9737</t>
  </si>
  <si>
    <t>Chivilcoy</t>
  </si>
  <si>
    <t>27-017-7173</t>
  </si>
  <si>
    <t>São Miguel do Araguaia</t>
  </si>
  <si>
    <t>53-102-9949</t>
  </si>
  <si>
    <t>Libei</t>
  </si>
  <si>
    <t>02-676-9312</t>
  </si>
  <si>
    <t>28-969-7540</t>
  </si>
  <si>
    <t>Kuçovë</t>
  </si>
  <si>
    <t>30-083-9565</t>
  </si>
  <si>
    <t>Bokong Timur</t>
  </si>
  <si>
    <t>30-975-0306</t>
  </si>
  <si>
    <t>Gaowu</t>
  </si>
  <si>
    <t>14-364-4904</t>
  </si>
  <si>
    <t>Guéret</t>
  </si>
  <si>
    <t>08-652-2085</t>
  </si>
  <si>
    <t>Postřekov</t>
  </si>
  <si>
    <t>67-037-2087</t>
  </si>
  <si>
    <t>Gobojango</t>
  </si>
  <si>
    <t>09-737-8354</t>
  </si>
  <si>
    <t>Tandahimba</t>
  </si>
  <si>
    <t>12-417-5609</t>
  </si>
  <si>
    <t>Iwade</t>
  </si>
  <si>
    <t>25-096-6830</t>
  </si>
  <si>
    <t>La Guata</t>
  </si>
  <si>
    <t>91-558-5922</t>
  </si>
  <si>
    <t>Saint-Brieuc</t>
  </si>
  <si>
    <t>25-560-4506</t>
  </si>
  <si>
    <t>Paya Dapur</t>
  </si>
  <si>
    <t>33-609-0598</t>
  </si>
  <si>
    <t>Xinzha</t>
  </si>
  <si>
    <t>45-337-1798</t>
  </si>
  <si>
    <t>Al Qārah</t>
  </si>
  <si>
    <t>34-265-8558</t>
  </si>
  <si>
    <t>Antipolo</t>
  </si>
  <si>
    <t>67-323-7406</t>
  </si>
  <si>
    <t>Yuyangguan</t>
  </si>
  <si>
    <t>40-149-8247</t>
  </si>
  <si>
    <t>Qiman</t>
  </si>
  <si>
    <t>37-361-8691</t>
  </si>
  <si>
    <t>Maguwon</t>
  </si>
  <si>
    <t>17-763-9416</t>
  </si>
  <si>
    <t>Tsibulev</t>
  </si>
  <si>
    <t>56-453-8263</t>
  </si>
  <si>
    <t>San Antonio Aguas Calientes</t>
  </si>
  <si>
    <t>19-560-0717</t>
  </si>
  <si>
    <t>Pombas</t>
  </si>
  <si>
    <t>40-199-1803</t>
  </si>
  <si>
    <t>Ku‘aydinah</t>
  </si>
  <si>
    <t>09-332-0236</t>
  </si>
  <si>
    <t>San Marcos</t>
  </si>
  <si>
    <t>83-982-5300</t>
  </si>
  <si>
    <t>Chum Phae</t>
  </si>
  <si>
    <t>46-662-1571</t>
  </si>
  <si>
    <t>La Laja</t>
  </si>
  <si>
    <t>20-699-9217</t>
  </si>
  <si>
    <t>San Juan del Cesar</t>
  </si>
  <si>
    <t>26-150-0209</t>
  </si>
  <si>
    <t>Taiyigong</t>
  </si>
  <si>
    <t>94-985-5336</t>
  </si>
  <si>
    <t>97-715-3606</t>
  </si>
  <si>
    <t>Tayabamba</t>
  </si>
  <si>
    <t>02-100-4320</t>
  </si>
  <si>
    <t>Majennang</t>
  </si>
  <si>
    <t>16-070-0138</t>
  </si>
  <si>
    <t>Njeru</t>
  </si>
  <si>
    <t>82-474-5074</t>
  </si>
  <si>
    <t>Ambatolaona</t>
  </si>
  <si>
    <t>36-444-5336</t>
  </si>
  <si>
    <t>Jianggang</t>
  </si>
  <si>
    <t>54-680-5344</t>
  </si>
  <si>
    <t>Langkou</t>
  </si>
  <si>
    <t>16-364-8096</t>
  </si>
  <si>
    <t>Horní Suchá</t>
  </si>
  <si>
    <t>62-644-8183</t>
  </si>
  <si>
    <t>Haradok</t>
  </si>
  <si>
    <t>59-971-0799</t>
  </si>
  <si>
    <t>Vichuga</t>
  </si>
  <si>
    <t>64-031-2046</t>
  </si>
  <si>
    <t>Luci</t>
  </si>
  <si>
    <t>87-079-0237</t>
  </si>
  <si>
    <t>Guolemude</t>
  </si>
  <si>
    <t>78-091-8662</t>
  </si>
  <si>
    <t>Prengtale</t>
  </si>
  <si>
    <t>62-720-2922</t>
  </si>
  <si>
    <t>Cabanas</t>
  </si>
  <si>
    <t>47-528-3961</t>
  </si>
  <si>
    <t>Faīẕābād</t>
  </si>
  <si>
    <t>21-808-2293</t>
  </si>
  <si>
    <t>Sukumo</t>
  </si>
  <si>
    <t>22-022-9256</t>
  </si>
  <si>
    <t>Fenglu</t>
  </si>
  <si>
    <t>96-772-7220</t>
  </si>
  <si>
    <t>Tanjungbalai</t>
  </si>
  <si>
    <t>25-866-7286</t>
  </si>
  <si>
    <t>Carrefour</t>
  </si>
  <si>
    <t>72-694-4159</t>
  </si>
  <si>
    <t>10-079-8237</t>
  </si>
  <si>
    <t>Hejiang</t>
  </si>
  <si>
    <t>47-460-8015</t>
  </si>
  <si>
    <t>Yaizu</t>
  </si>
  <si>
    <t>06-061-0023</t>
  </si>
  <si>
    <t>Kembé</t>
  </si>
  <si>
    <t>80-487-2550</t>
  </si>
  <si>
    <t>Novokayakent</t>
  </si>
  <si>
    <t>23-617-2637</t>
  </si>
  <si>
    <t>Hekou</t>
  </si>
  <si>
    <t>60-005-5187</t>
  </si>
  <si>
    <t>Bailadores</t>
  </si>
  <si>
    <t>24-371-5870</t>
  </si>
  <si>
    <t>Masuda</t>
  </si>
  <si>
    <t>02-055-8248</t>
  </si>
  <si>
    <t>Martanesh</t>
  </si>
  <si>
    <t>54-238-5459</t>
  </si>
  <si>
    <t>Xinzhou</t>
  </si>
  <si>
    <t>85-922-0190</t>
  </si>
  <si>
    <t>Nanfeng</t>
  </si>
  <si>
    <t>48-271-1908</t>
  </si>
  <si>
    <t>Oke Ila</t>
  </si>
  <si>
    <t>46-978-3874</t>
  </si>
  <si>
    <t>Rio Pardo</t>
  </si>
  <si>
    <t>53-595-7635</t>
  </si>
  <si>
    <t>Pingtang</t>
  </si>
  <si>
    <t>08-185-6608</t>
  </si>
  <si>
    <t>Podbrdo</t>
  </si>
  <si>
    <t>20-562-2569</t>
  </si>
  <si>
    <t>Aramayuan</t>
  </si>
  <si>
    <t>41-366-4205</t>
  </si>
  <si>
    <t>Paquera</t>
  </si>
  <si>
    <t>77-241-7621</t>
  </si>
  <si>
    <t>Warudoyong</t>
  </si>
  <si>
    <t>53-091-2176</t>
  </si>
  <si>
    <t>Béziers</t>
  </si>
  <si>
    <t>48-203-9118</t>
  </si>
  <si>
    <t>Dongzhou</t>
  </si>
  <si>
    <t>sumif</t>
  </si>
  <si>
    <t>sumifs</t>
  </si>
  <si>
    <t>index match</t>
  </si>
  <si>
    <t>vlookup</t>
  </si>
  <si>
    <t xml:space="preserve"> </t>
  </si>
  <si>
    <t>sum</t>
  </si>
  <si>
    <t xml:space="preserve">count </t>
  </si>
  <si>
    <t>average</t>
  </si>
  <si>
    <t>Row Labels</t>
  </si>
  <si>
    <t>Grand Total</t>
  </si>
  <si>
    <t>Sum of Purchase_Amount</t>
  </si>
  <si>
    <t>Count of Customer_ID</t>
  </si>
  <si>
    <t>Total Purchase_Amount</t>
  </si>
  <si>
    <t>Total Product_Rating</t>
  </si>
  <si>
    <t>Total Brand_Loyalty</t>
  </si>
  <si>
    <t>min</t>
  </si>
  <si>
    <t xml:space="preserve">max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</si>
</sst>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5"/>
        <bgColor indexed="64"/>
      </patternFill>
    </fill>
  </fills>
  <borders count="1">
    <border>
      <left/>
      <right/>
      <top/>
      <bottom/>
      <diagonal/>
    </border>
  </borders>
  <cellStyleXfs count="1">
    <xf numFmtId="0" fontId="0" fillId="0" borderId="0"/>
  </cellStyleXfs>
  <cellXfs count="12">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0" fillId="2" borderId="0" xfId="0" applyFill="1"/>
    <xf numFmtId="0" fontId="0" fillId="0" borderId="0" xfId="0" pivotButton="1"/>
    <xf numFmtId="0" fontId="0" fillId="0" borderId="0" xfId="0" applyAlignment="1">
      <alignment horizontal="left"/>
    </xf>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cellXfs>
  <cellStyles count="1">
    <cellStyle name="Normal" xfId="0" builtinId="0"/>
  </cellStyles>
  <dxfs count="71">
    <dxf>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patternType="solid">
          <bgColor theme="3" tint="0.749992370372631"/>
        </patternFill>
      </fill>
    </dxf>
    <dxf>
      <fill>
        <patternFill patternType="solid">
          <bgColor theme="3" tint="0.749992370372631"/>
        </patternFill>
      </fill>
    </dxf>
    <dxf>
      <fill>
        <patternFill patternType="solid">
          <bgColor theme="3" tint="0.749992370372631"/>
        </patternFill>
      </fill>
    </dxf>
    <dxf>
      <fill>
        <patternFill patternType="solid">
          <bgColor theme="5" tint="0.59999389629810485"/>
        </patternFill>
      </fill>
    </dxf>
    <dxf>
      <fill>
        <patternFill patternType="solid">
          <bgColor theme="5" tint="0.59999389629810485"/>
        </patternFill>
      </fill>
    </dxf>
    <dxf>
      <fill>
        <patternFill patternType="solid">
          <bgColor theme="5" tint="0.59999389629810485"/>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18" Type="http://schemas.microsoft.com/office/2017/06/relationships/rdRichValueTypes" Target="richData/rdRichValueTyp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17" Type="http://schemas.microsoft.com/office/2017/06/relationships/rdRichValueStructure" Target="richData/rdrichvaluestructure.xml"/><Relationship Id="rId2" Type="http://schemas.openxmlformats.org/officeDocument/2006/relationships/worksheet" Target="worksheets/sheet2.xml"/><Relationship Id="rId16" Type="http://schemas.microsoft.com/office/2017/06/relationships/rdRichValue" Target="richData/rdrichvalue.xml"/><Relationship Id="rId20"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5.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[pending.xlsx]pivot table !PivotTable2</c:name>
    <c:fmtId val="6"/>
  </c:pivotSource>
  <c:chart>
    <c:title>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lumMod val="9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053258967629045"/>
          <c:y val="0.29050707203266257"/>
          <c:w val="0.72310148731408574"/>
          <c:h val="0.46902486147564887"/>
        </c:manualLayout>
      </c:layout>
      <c:barChart>
        <c:barDir val="col"/>
        <c:grouping val="clustered"/>
        <c:varyColors val="0"/>
        <c:ser>
          <c:idx val="0"/>
          <c:order val="0"/>
          <c:tx>
            <c:strRef>
              <c:f>'pivot table '!$C$2</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strRef>
              <c:f>'pivot table '!$B$3:$B$5</c:f>
              <c:strCache>
                <c:ptCount val="2"/>
                <c:pt idx="0">
                  <c:v>High</c:v>
                </c:pt>
                <c:pt idx="1">
                  <c:v>Middle</c:v>
                </c:pt>
              </c:strCache>
            </c:strRef>
          </c:cat>
          <c:val>
            <c:numRef>
              <c:f>'pivot table '!$C$3:$C$5</c:f>
              <c:numCache>
                <c:formatCode>General</c:formatCode>
                <c:ptCount val="2"/>
                <c:pt idx="0">
                  <c:v>46973.93</c:v>
                </c:pt>
                <c:pt idx="1">
                  <c:v>44630.299999999974</c:v>
                </c:pt>
              </c:numCache>
            </c:numRef>
          </c:val>
          <c:extLst>
            <c:ext xmlns:c16="http://schemas.microsoft.com/office/drawing/2014/chart" uri="{C3380CC4-5D6E-409C-BE32-E72D297353CC}">
              <c16:uniqueId val="{00000000-32AB-4093-A9BB-D03729F0C879}"/>
            </c:ext>
          </c:extLst>
        </c:ser>
        <c:dLbls>
          <c:showLegendKey val="0"/>
          <c:showVal val="0"/>
          <c:showCatName val="0"/>
          <c:showSerName val="0"/>
          <c:showPercent val="0"/>
          <c:showBubbleSize val="0"/>
        </c:dLbls>
        <c:gapWidth val="355"/>
        <c:overlap val="-70"/>
        <c:axId val="1981802384"/>
        <c:axId val="1992401200"/>
      </c:barChart>
      <c:catAx>
        <c:axId val="198180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992401200"/>
        <c:crosses val="autoZero"/>
        <c:auto val="1"/>
        <c:lblAlgn val="ctr"/>
        <c:lblOffset val="100"/>
        <c:noMultiLvlLbl val="0"/>
      </c:catAx>
      <c:valAx>
        <c:axId val="1992401200"/>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981802384"/>
        <c:crosses val="autoZero"/>
        <c:crossBetween val="between"/>
      </c:valAx>
      <c:dTable>
        <c:showHorzBorder val="1"/>
        <c:showVertBorder val="1"/>
        <c:showOutline val="1"/>
        <c:showKeys val="1"/>
        <c:spPr>
          <a:noFill/>
          <a:ln w="25400">
            <a:noFill/>
          </a:ln>
          <a:effectLst/>
        </c:spPr>
        <c:txPr>
          <a:bodyPr rot="0" spcFirstLastPara="1" vertOverflow="ellipsis" vert="horz" wrap="square" anchor="ctr" anchorCtr="1"/>
          <a:lstStyle/>
          <a:p>
            <a:pPr rtl="0">
              <a:defRPr sz="900" b="0" i="0" u="none" strike="noStrike" kern="1200" baseline="0">
                <a:solidFill>
                  <a:schemeClr val="bg1">
                    <a:lumMod val="9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a:glow rad="165100">
        <a:schemeClr val="accent1">
          <a:satMod val="175000"/>
          <a:alpha val="40000"/>
        </a:schemeClr>
      </a:glow>
      <a:softEdge rad="0"/>
    </a:effectLst>
    <a:scene3d>
      <a:camera prst="orthographicFront"/>
      <a:lightRig rig="freezing" dir="t">
        <a:rot lat="0" lon="0" rev="1800000"/>
      </a:lightRig>
    </a:scene3d>
    <a:sp3d prstMaterial="metal">
      <a:bevelT w="19050"/>
    </a:sp3d>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[pending.xlsx]pivot table !PivotTable3</c:name>
    <c:fmtId val="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accent1">
              <a:lumMod val="20000"/>
              <a:lumOff val="80000"/>
            </a:schemeClr>
          </a:solidFill>
          <a:ln>
            <a:noFill/>
          </a:ln>
          <a:effectLst/>
          <a:sp3d/>
        </c:spPr>
        <c:marker>
          <c:symbol val="circle"/>
          <c:size val="5"/>
          <c:spPr>
            <a:solidFill>
              <a:schemeClr val="accent1"/>
            </a:solidFill>
            <a:ln w="22225">
              <a:solidFill>
                <a:schemeClr val="lt1"/>
              </a:solidFill>
              <a:round/>
            </a:ln>
            <a:effectLst/>
          </c:spPr>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20000"/>
              <a:lumOff val="80000"/>
            </a:schemeClr>
          </a:solidFill>
          <a:ln>
            <a:noFill/>
          </a:ln>
          <a:effectLst/>
          <a:sp3d/>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20000"/>
              <a:lumOff val="80000"/>
            </a:schemeClr>
          </a:solidFill>
          <a:ln>
            <a:noFill/>
          </a:ln>
          <a:effectLst/>
          <a:sp3d/>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40"/>
      <c:depthPercent val="100"/>
      <c:rAngAx val="0"/>
    </c:view3D>
    <c:floor>
      <c:thickness val="0"/>
      <c:spPr>
        <a:solidFill>
          <a:schemeClr val="accent1">
            <a:alpha val="30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558092738407699"/>
          <c:y val="0.30597003499562553"/>
          <c:w val="0.75083092738407697"/>
          <c:h val="0.53246609798775157"/>
        </c:manualLayout>
      </c:layout>
      <c:bar3DChart>
        <c:barDir val="col"/>
        <c:grouping val="standard"/>
        <c:varyColors val="0"/>
        <c:ser>
          <c:idx val="0"/>
          <c:order val="0"/>
          <c:tx>
            <c:strRef>
              <c:f>'pivot table '!$G$2</c:f>
              <c:strCache>
                <c:ptCount val="1"/>
                <c:pt idx="0">
                  <c:v>Total</c:v>
                </c:pt>
              </c:strCache>
            </c:strRef>
          </c:tx>
          <c:spPr>
            <a:solidFill>
              <a:schemeClr val="accent1">
                <a:lumMod val="20000"/>
                <a:lumOff val="80000"/>
              </a:schemeClr>
            </a:solidFill>
            <a:ln>
              <a:noFill/>
            </a:ln>
            <a:effectLst/>
            <a:sp3d/>
          </c:spPr>
          <c:invertIfNegative val="0"/>
          <c:cat>
            <c:strRef>
              <c:f>'pivot table '!$F$3:$F$7</c:f>
              <c:strCache>
                <c:ptCount val="4"/>
                <c:pt idx="0">
                  <c:v>Divorced</c:v>
                </c:pt>
                <c:pt idx="1">
                  <c:v>Married</c:v>
                </c:pt>
                <c:pt idx="2">
                  <c:v>Single</c:v>
                </c:pt>
                <c:pt idx="3">
                  <c:v>Widowed</c:v>
                </c:pt>
              </c:strCache>
            </c:strRef>
          </c:cat>
          <c:val>
            <c:numRef>
              <c:f>'pivot table '!$G$3:$G$7</c:f>
              <c:numCache>
                <c:formatCode>General</c:formatCode>
                <c:ptCount val="4"/>
                <c:pt idx="0">
                  <c:v>24877.11</c:v>
                </c:pt>
                <c:pt idx="1">
                  <c:v>20303.760000000002</c:v>
                </c:pt>
                <c:pt idx="2">
                  <c:v>24795.399999999998</c:v>
                </c:pt>
                <c:pt idx="3">
                  <c:v>21627.960000000003</c:v>
                </c:pt>
              </c:numCache>
            </c:numRef>
          </c:val>
          <c:extLst>
            <c:ext xmlns:c16="http://schemas.microsoft.com/office/drawing/2014/chart" uri="{C3380CC4-5D6E-409C-BE32-E72D297353CC}">
              <c16:uniqueId val="{00000000-5C7C-4B58-82DE-83AFF889D580}"/>
            </c:ext>
          </c:extLst>
        </c:ser>
        <c:dLbls>
          <c:showLegendKey val="0"/>
          <c:showVal val="0"/>
          <c:showCatName val="0"/>
          <c:showSerName val="0"/>
          <c:showPercent val="0"/>
          <c:showBubbleSize val="0"/>
        </c:dLbls>
        <c:gapWidth val="154"/>
        <c:gapDepth val="0"/>
        <c:shape val="box"/>
        <c:axId val="710287152"/>
        <c:axId val="1992385360"/>
        <c:axId val="1976451920"/>
      </c:bar3DChart>
      <c:catAx>
        <c:axId val="710287152"/>
        <c:scaling>
          <c:orientation val="minMax"/>
        </c:scaling>
        <c:delete val="0"/>
        <c:axPos val="b"/>
        <c:majorGridlines>
          <c:spPr>
            <a:ln w="9525" cap="flat" cmpd="sng" algn="ctr">
              <a:solidFill>
                <a:schemeClr val="lt1">
                  <a:lumMod val="60000"/>
                  <a:lumOff val="4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all" spc="150" normalizeH="0" baseline="0">
                <a:solidFill>
                  <a:schemeClr val="lt1"/>
                </a:solidFill>
                <a:latin typeface="+mn-lt"/>
                <a:ea typeface="+mn-ea"/>
                <a:cs typeface="+mn-cs"/>
              </a:defRPr>
            </a:pPr>
            <a:endParaRPr lang="en-US"/>
          </a:p>
        </c:txPr>
        <c:crossAx val="1992385360"/>
        <c:crosses val="autoZero"/>
        <c:auto val="1"/>
        <c:lblAlgn val="ctr"/>
        <c:lblOffset val="100"/>
        <c:noMultiLvlLbl val="0"/>
      </c:catAx>
      <c:valAx>
        <c:axId val="1992385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0287152"/>
        <c:crosses val="autoZero"/>
        <c:crossBetween val="between"/>
      </c:valAx>
      <c:serAx>
        <c:axId val="1976451920"/>
        <c:scaling>
          <c:orientation val="minMax"/>
        </c:scaling>
        <c:delete val="0"/>
        <c:axPos val="b"/>
        <c:majorGridlines>
          <c:spPr>
            <a:ln w="9525" cap="flat" cmpd="sng" algn="ctr">
              <a:solidFill>
                <a:schemeClr val="lt1">
                  <a:lumMod val="60000"/>
                  <a:lumOff val="40000"/>
                </a:schemeClr>
              </a:solidFill>
              <a:round/>
            </a:ln>
            <a:effectLst/>
          </c:spPr>
        </c:majorGridlines>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9238536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a:glow rad="139700">
        <a:schemeClr val="accent3">
          <a:satMod val="175000"/>
          <a:alpha val="40000"/>
        </a:schemeClr>
      </a:glow>
    </a:effectLst>
    <a:scene3d>
      <a:camera prst="orthographicFront"/>
      <a:lightRig rig="threePt" dir="t"/>
    </a:scene3d>
    <a:sp3d>
      <a:bevelT w="139700" prst="cross"/>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[pending.xlsx]pivot table !PivotTable1</c:name>
    <c:fmtId val="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s>
    <c:plotArea>
      <c:layout/>
      <c:ofPieChart>
        <c:ofPieType val="bar"/>
        <c:varyColors val="1"/>
        <c:ser>
          <c:idx val="0"/>
          <c:order val="0"/>
          <c:tx>
            <c:strRef>
              <c:f>'pivot table '!$C$10</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E2C-4B2A-857F-49438810DAF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E2C-4B2A-857F-49438810DAF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E2C-4B2A-857F-49438810DAF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E2C-4B2A-857F-49438810DAF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 '!$B$11:$B$14</c:f>
              <c:strCache>
                <c:ptCount val="3"/>
                <c:pt idx="0">
                  <c:v>Bachelor's</c:v>
                </c:pt>
                <c:pt idx="1">
                  <c:v>High School</c:v>
                </c:pt>
                <c:pt idx="2">
                  <c:v>Master's</c:v>
                </c:pt>
              </c:strCache>
            </c:strRef>
          </c:cat>
          <c:val>
            <c:numRef>
              <c:f>'pivot table '!$C$11:$C$14</c:f>
              <c:numCache>
                <c:formatCode>General</c:formatCode>
                <c:ptCount val="3"/>
                <c:pt idx="0">
                  <c:v>33454.950000000004</c:v>
                </c:pt>
                <c:pt idx="1">
                  <c:v>28008.429999999997</c:v>
                </c:pt>
                <c:pt idx="2">
                  <c:v>30140.850000000009</c:v>
                </c:pt>
              </c:numCache>
            </c:numRef>
          </c:val>
          <c:extLst>
            <c:ext xmlns:c16="http://schemas.microsoft.com/office/drawing/2014/chart" uri="{C3380CC4-5D6E-409C-BE32-E72D297353CC}">
              <c16:uniqueId val="{00000008-DE2C-4B2A-857F-49438810DAF0}"/>
            </c:ext>
          </c:extLst>
        </c:ser>
        <c:dLbls>
          <c:dLblPos val="ctr"/>
          <c:showLegendKey val="0"/>
          <c:showVal val="0"/>
          <c:showCatName val="0"/>
          <c:showSerName val="0"/>
          <c:showPercent val="0"/>
          <c:showBubbleSize val="0"/>
          <c:showLeaderLines val="0"/>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solidFill>
        <a:schemeClr val="dk1">
          <a:lumMod val="25000"/>
          <a:lumOff val="75000"/>
        </a:schemeClr>
      </a:solidFill>
      <a:round/>
    </a:ln>
    <a:effectLst>
      <a:glow rad="114300">
        <a:schemeClr val="accent3">
          <a:satMod val="175000"/>
          <a:alpha val="45000"/>
        </a:schemeClr>
      </a:glow>
      <a:softEdge rad="63500"/>
    </a:effectLst>
    <a:scene3d>
      <a:camera prst="orthographicFront"/>
      <a:lightRig rig="chilly" dir="t"/>
    </a:scene3d>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[pending.xlsx]pivot table !PivotTable4</c:name>
    <c:fmtId val="8"/>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table '!$G$10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 '!$F$11:$F$12</c:f>
              <c:strCache>
                <c:ptCount val="1"/>
                <c:pt idx="0">
                  <c:v>Online</c:v>
                </c:pt>
              </c:strCache>
            </c:strRef>
          </c:cat>
          <c:val>
            <c:numRef>
              <c:f>'pivot table '!$G$11:$G$12</c:f>
              <c:numCache>
                <c:formatCode>General</c:formatCode>
                <c:ptCount val="1"/>
                <c:pt idx="0">
                  <c:v>91604.230000000054</c:v>
                </c:pt>
              </c:numCache>
            </c:numRef>
          </c:val>
          <c:extLst>
            <c:ext xmlns:c16="http://schemas.microsoft.com/office/drawing/2014/chart" uri="{C3380CC4-5D6E-409C-BE32-E72D297353CC}">
              <c16:uniqueId val="{00000000-E517-4E9D-BA0E-8EAAEF036B4E}"/>
            </c:ext>
          </c:extLst>
        </c:ser>
        <c:dLbls>
          <c:showLegendKey val="0"/>
          <c:showVal val="1"/>
          <c:showCatName val="0"/>
          <c:showSerName val="0"/>
          <c:showPercent val="0"/>
          <c:showBubbleSize val="0"/>
        </c:dLbls>
        <c:gapWidth val="79"/>
        <c:shape val="box"/>
        <c:axId val="971794416"/>
        <c:axId val="1992392560"/>
        <c:axId val="0"/>
      </c:bar3DChart>
      <c:catAx>
        <c:axId val="9717944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992392560"/>
        <c:crosses val="autoZero"/>
        <c:auto val="1"/>
        <c:lblAlgn val="ctr"/>
        <c:lblOffset val="100"/>
        <c:noMultiLvlLbl val="0"/>
      </c:catAx>
      <c:valAx>
        <c:axId val="1992392560"/>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97179441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65000"/>
      </a:schemeClr>
    </a:solidFill>
    <a:ln w="9525" cap="flat" cmpd="sng" algn="ctr">
      <a:solidFill>
        <a:schemeClr val="tx1">
          <a:lumMod val="15000"/>
          <a:lumOff val="85000"/>
        </a:schemeClr>
      </a:solidFill>
      <a:round/>
    </a:ln>
    <a:effectLst>
      <a:glow rad="101600">
        <a:schemeClr val="accent3">
          <a:satMod val="175000"/>
          <a:alpha val="40000"/>
        </a:schemeClr>
      </a:glow>
      <a:outerShdw blurRad="50800" dist="38100" dir="900000" sx="102000" sy="102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5">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lumMod val="20000"/>
          <a:lumOff val="80000"/>
        </a:schemeClr>
      </a:solidFill>
    </cs:spPr>
  </cs:dataPoint>
  <cs:dataPoint3D>
    <cs:lnRef idx="0"/>
    <cs:fillRef idx="0">
      <cs:styleClr val="auto"/>
    </cs:fillRef>
    <cs:effectRef idx="0"/>
    <cs:fontRef idx="minor">
      <a:schemeClr val="dk1"/>
    </cs:fontRef>
    <cs:spPr>
      <a:solidFill>
        <a:schemeClr val="phClr">
          <a:lumMod val="20000"/>
          <a:lumOff val="80000"/>
        </a:schemeClr>
      </a:solidFill>
      <a:sp3d/>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styleClr val="0"/>
    </cs:fillRef>
    <cs:effectRef idx="0"/>
    <cs:fontRef idx="minor">
      <a:schemeClr val="dk1"/>
    </cs:fontRef>
    <cs:spPr>
      <a:solidFill>
        <a:schemeClr val="phClr">
          <a:alpha val="30000"/>
        </a:schemeClr>
      </a:solidFill>
      <a:sp3d/>
    </cs:spPr>
  </cs:floor>
  <cs:gridlineMajor>
    <cs:lnRef idx="0">
      <cs:styleClr val="0"/>
    </cs:lnRef>
    <cs:fillRef idx="0"/>
    <cs:effectRef idx="0"/>
    <cs:fontRef idx="minor">
      <a:schemeClr val="dk1"/>
    </cs:fontRef>
    <cs:spPr>
      <a:ln w="9525" cap="flat" cmpd="sng" algn="ctr">
        <a:solidFill>
          <a:schemeClr val="lt1">
            <a:lumMod val="60000"/>
            <a:lumOff val="40000"/>
          </a:schemeClr>
        </a:solidFill>
        <a:round/>
      </a:ln>
    </cs:spPr>
  </cs:gridlineMajor>
  <cs:gridlineMinor>
    <cs:lnRef idx="0">
      <cs:styleClr val="0"/>
    </cs:lnRef>
    <cs:fillRef idx="0"/>
    <cs:effectRef idx="0"/>
    <cs:fontRef idx="minor">
      <a:schemeClr val="dk1"/>
    </cs:fontRef>
    <cs:spPr>
      <a:ln>
        <a:solidFill>
          <a:schemeClr val="lt1">
            <a:lumMod val="50000"/>
            <a:lumOff val="5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emf"/><Relationship Id="rId7" Type="http://schemas.openxmlformats.org/officeDocument/2006/relationships/chart" Target="../charts/chart2.xml"/><Relationship Id="rId12" Type="http://schemas.openxmlformats.org/officeDocument/2006/relationships/image" Target="../media/image8.png"/><Relationship Id="rId2" Type="http://schemas.openxmlformats.org/officeDocument/2006/relationships/image" Target="../media/image2.emf"/><Relationship Id="rId1" Type="http://schemas.openxmlformats.org/officeDocument/2006/relationships/image" Target="../media/image1.jpg"/><Relationship Id="rId6" Type="http://schemas.openxmlformats.org/officeDocument/2006/relationships/chart" Target="../charts/chart1.xml"/><Relationship Id="rId11" Type="http://schemas.openxmlformats.org/officeDocument/2006/relationships/image" Target="../media/image7.png"/><Relationship Id="rId5" Type="http://schemas.openxmlformats.org/officeDocument/2006/relationships/image" Target="../media/image5.emf"/><Relationship Id="rId10" Type="http://schemas.openxmlformats.org/officeDocument/2006/relationships/image" Target="../media/image6.png"/><Relationship Id="rId4" Type="http://schemas.openxmlformats.org/officeDocument/2006/relationships/image" Target="../media/image4.emf"/><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1416844</xdr:colOff>
      <xdr:row>2</xdr:row>
      <xdr:rowOff>9525</xdr:rowOff>
    </xdr:from>
    <xdr:to>
      <xdr:col>6</xdr:col>
      <xdr:colOff>66675</xdr:colOff>
      <xdr:row>16</xdr:row>
      <xdr:rowOff>9525</xdr:rowOff>
    </xdr:to>
    <mc:AlternateContent xmlns:mc="http://schemas.openxmlformats.org/markup-compatibility/2006" xmlns:a14="http://schemas.microsoft.com/office/drawing/2010/main">
      <mc:Choice Requires="a14">
        <xdr:graphicFrame macro="">
          <xdr:nvGraphicFramePr>
            <xdr:cNvPr id="12" name="Marital_Status">
              <a:extLst>
                <a:ext uri="{FF2B5EF4-FFF2-40B4-BE49-F238E27FC236}">
                  <a16:creationId xmlns:a16="http://schemas.microsoft.com/office/drawing/2014/main" id="{57741E4C-E483-B5D6-39DC-FE0D5373F8CD}"/>
                </a:ext>
              </a:extLst>
            </xdr:cNvPr>
            <xdr:cNvGraphicFramePr/>
          </xdr:nvGraphicFramePr>
          <xdr:xfrm>
            <a:off x="0" y="0"/>
            <a:ext cx="0" cy="0"/>
          </xdr:xfrm>
          <a:graphic>
            <a:graphicData uri="http://schemas.microsoft.com/office/drawing/2010/slicer">
              <sle:slicer xmlns:sle="http://schemas.microsoft.com/office/drawing/2010/slicer" name="Marital_Status"/>
            </a:graphicData>
          </a:graphic>
        </xdr:graphicFrame>
      </mc:Choice>
      <mc:Fallback xmlns="">
        <xdr:sp macro="" textlink="">
          <xdr:nvSpPr>
            <xdr:cNvPr id="0" name=""/>
            <xdr:cNvSpPr>
              <a:spLocks noTextEdit="1"/>
            </xdr:cNvSpPr>
          </xdr:nvSpPr>
          <xdr:spPr>
            <a:xfrm>
              <a:off x="3905250" y="390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273844</xdr:colOff>
      <xdr:row>4</xdr:row>
      <xdr:rowOff>104775</xdr:rowOff>
    </xdr:from>
    <xdr:to>
      <xdr:col>6</xdr:col>
      <xdr:colOff>554832</xdr:colOff>
      <xdr:row>18</xdr:row>
      <xdr:rowOff>104775</xdr:rowOff>
    </xdr:to>
    <mc:AlternateContent xmlns:mc="http://schemas.openxmlformats.org/markup-compatibility/2006" xmlns:a14="http://schemas.microsoft.com/office/drawing/2010/main">
      <mc:Choice Requires="a14">
        <xdr:graphicFrame macro="">
          <xdr:nvGraphicFramePr>
            <xdr:cNvPr id="13" name="Education_Level">
              <a:extLst>
                <a:ext uri="{FF2B5EF4-FFF2-40B4-BE49-F238E27FC236}">
                  <a16:creationId xmlns:a16="http://schemas.microsoft.com/office/drawing/2014/main" id="{BC282C4A-6E5D-D064-4810-E892F48E94F2}"/>
                </a:ext>
              </a:extLst>
            </xdr:cNvPr>
            <xdr:cNvGraphicFramePr/>
          </xdr:nvGraphicFramePr>
          <xdr:xfrm>
            <a:off x="0" y="0"/>
            <a:ext cx="0" cy="0"/>
          </xdr:xfrm>
          <a:graphic>
            <a:graphicData uri="http://schemas.microsoft.com/office/drawing/2010/slicer">
              <sle:slicer xmlns:sle="http://schemas.microsoft.com/office/drawing/2010/slicer" name="Education_Level"/>
            </a:graphicData>
          </a:graphic>
        </xdr:graphicFrame>
      </mc:Choice>
      <mc:Fallback xmlns="">
        <xdr:sp macro="" textlink="">
          <xdr:nvSpPr>
            <xdr:cNvPr id="0" name=""/>
            <xdr:cNvSpPr>
              <a:spLocks noTextEdit="1"/>
            </xdr:cNvSpPr>
          </xdr:nvSpPr>
          <xdr:spPr>
            <a:xfrm>
              <a:off x="4393407" y="8667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142875</xdr:colOff>
      <xdr:row>7</xdr:row>
      <xdr:rowOff>9525</xdr:rowOff>
    </xdr:from>
    <xdr:to>
      <xdr:col>6</xdr:col>
      <xdr:colOff>1031081</xdr:colOff>
      <xdr:row>21</xdr:row>
      <xdr:rowOff>9525</xdr:rowOff>
    </xdr:to>
    <mc:AlternateContent xmlns:mc="http://schemas.openxmlformats.org/markup-compatibility/2006" xmlns:a14="http://schemas.microsoft.com/office/drawing/2010/main">
      <mc:Choice Requires="a14">
        <xdr:graphicFrame macro="">
          <xdr:nvGraphicFramePr>
            <xdr:cNvPr id="14" name="Occupation">
              <a:extLst>
                <a:ext uri="{FF2B5EF4-FFF2-40B4-BE49-F238E27FC236}">
                  <a16:creationId xmlns:a16="http://schemas.microsoft.com/office/drawing/2014/main" id="{8C1C3E27-FDA0-7335-9322-E8B0D0D8AA8F}"/>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4869656" y="13430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607218</xdr:colOff>
      <xdr:row>9</xdr:row>
      <xdr:rowOff>152400</xdr:rowOff>
    </xdr:from>
    <xdr:to>
      <xdr:col>6</xdr:col>
      <xdr:colOff>1495424</xdr:colOff>
      <xdr:row>23</xdr:row>
      <xdr:rowOff>152400</xdr:rowOff>
    </xdr:to>
    <mc:AlternateContent xmlns:mc="http://schemas.openxmlformats.org/markup-compatibility/2006" xmlns:a14="http://schemas.microsoft.com/office/drawing/2010/main">
      <mc:Choice Requires="a14">
        <xdr:graphicFrame macro="">
          <xdr:nvGraphicFramePr>
            <xdr:cNvPr id="15" name="Purchase_Amount">
              <a:extLst>
                <a:ext uri="{FF2B5EF4-FFF2-40B4-BE49-F238E27FC236}">
                  <a16:creationId xmlns:a16="http://schemas.microsoft.com/office/drawing/2014/main" id="{8D52ABF2-1D83-9033-CE82-404516390DF1}"/>
                </a:ext>
              </a:extLst>
            </xdr:cNvPr>
            <xdr:cNvGraphicFramePr/>
          </xdr:nvGraphicFramePr>
          <xdr:xfrm>
            <a:off x="0" y="0"/>
            <a:ext cx="0" cy="0"/>
          </xdr:xfrm>
          <a:graphic>
            <a:graphicData uri="http://schemas.microsoft.com/office/drawing/2010/slicer">
              <sle:slicer xmlns:sle="http://schemas.microsoft.com/office/drawing/2010/slicer" name="Purchase_Amount"/>
            </a:graphicData>
          </a:graphic>
        </xdr:graphicFrame>
      </mc:Choice>
      <mc:Fallback xmlns="">
        <xdr:sp macro="" textlink="">
          <xdr:nvSpPr>
            <xdr:cNvPr id="0" name=""/>
            <xdr:cNvSpPr>
              <a:spLocks noTextEdit="1"/>
            </xdr:cNvSpPr>
          </xdr:nvSpPr>
          <xdr:spPr>
            <a:xfrm>
              <a:off x="5333999" y="18669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1095375</xdr:colOff>
      <xdr:row>12</xdr:row>
      <xdr:rowOff>9525</xdr:rowOff>
    </xdr:from>
    <xdr:to>
      <xdr:col>7</xdr:col>
      <xdr:colOff>200025</xdr:colOff>
      <xdr:row>26</xdr:row>
      <xdr:rowOff>9525</xdr:rowOff>
    </xdr:to>
    <mc:AlternateContent xmlns:mc="http://schemas.openxmlformats.org/markup-compatibility/2006" xmlns:a14="http://schemas.microsoft.com/office/drawing/2010/main">
      <mc:Choice Requires="a14">
        <xdr:graphicFrame macro="">
          <xdr:nvGraphicFramePr>
            <xdr:cNvPr id="16" name="Purchase_Channel">
              <a:extLst>
                <a:ext uri="{FF2B5EF4-FFF2-40B4-BE49-F238E27FC236}">
                  <a16:creationId xmlns:a16="http://schemas.microsoft.com/office/drawing/2014/main" id="{66A48BDE-3407-9A88-20A6-EAFAF62FA4F4}"/>
                </a:ext>
              </a:extLst>
            </xdr:cNvPr>
            <xdr:cNvGraphicFramePr/>
          </xdr:nvGraphicFramePr>
          <xdr:xfrm>
            <a:off x="0" y="0"/>
            <a:ext cx="0" cy="0"/>
          </xdr:xfrm>
          <a:graphic>
            <a:graphicData uri="http://schemas.microsoft.com/office/drawing/2010/slicer">
              <sle:slicer xmlns:sle="http://schemas.microsoft.com/office/drawing/2010/slicer" name="Purchase_Channel"/>
            </a:graphicData>
          </a:graphic>
        </xdr:graphicFrame>
      </mc:Choice>
      <mc:Fallback xmlns="">
        <xdr:sp macro="" textlink="">
          <xdr:nvSpPr>
            <xdr:cNvPr id="0" name=""/>
            <xdr:cNvSpPr>
              <a:spLocks noTextEdit="1"/>
            </xdr:cNvSpPr>
          </xdr:nvSpPr>
          <xdr:spPr>
            <a:xfrm>
              <a:off x="5669756" y="22955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247715</xdr:colOff>
      <xdr:row>0</xdr:row>
      <xdr:rowOff>0</xdr:rowOff>
    </xdr:from>
    <xdr:to>
      <xdr:col>26</xdr:col>
      <xdr:colOff>262598</xdr:colOff>
      <xdr:row>69</xdr:row>
      <xdr:rowOff>89958</xdr:rowOff>
    </xdr:to>
    <xdr:sp macro="" textlink="">
      <xdr:nvSpPr>
        <xdr:cNvPr id="6" name="Rectangle 5" descr="Cardboard boxes">
          <a:extLst>
            <a:ext uri="{FF2B5EF4-FFF2-40B4-BE49-F238E27FC236}">
              <a16:creationId xmlns:a16="http://schemas.microsoft.com/office/drawing/2014/main" id="{24BD2FB8-B283-FB74-342B-B87DFD7889E2}"/>
            </a:ext>
          </a:extLst>
        </xdr:cNvPr>
        <xdr:cNvSpPr/>
      </xdr:nvSpPr>
      <xdr:spPr>
        <a:xfrm>
          <a:off x="247715" y="0"/>
          <a:ext cx="17969508" cy="14877521"/>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a:ln>
          <a:solidFill>
            <a:schemeClr val="accent2"/>
          </a:solidFill>
        </a:ln>
        <a:effectLst>
          <a:glow rad="1016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366686</xdr:colOff>
      <xdr:row>6</xdr:row>
      <xdr:rowOff>104180</xdr:rowOff>
    </xdr:from>
    <xdr:to>
      <xdr:col>5</xdr:col>
      <xdr:colOff>518884</xdr:colOff>
      <xdr:row>68</xdr:row>
      <xdr:rowOff>89297</xdr:rowOff>
    </xdr:to>
    <xdr:sp macro="" textlink="">
      <xdr:nvSpPr>
        <xdr:cNvPr id="7" name="Rectangle: Rounded Corners 6">
          <a:extLst>
            <a:ext uri="{FF2B5EF4-FFF2-40B4-BE49-F238E27FC236}">
              <a16:creationId xmlns:a16="http://schemas.microsoft.com/office/drawing/2014/main" id="{B1EC3F90-B0A6-5651-17F7-656741E639EB}"/>
            </a:ext>
          </a:extLst>
        </xdr:cNvPr>
        <xdr:cNvSpPr/>
      </xdr:nvSpPr>
      <xdr:spPr>
        <a:xfrm>
          <a:off x="366686" y="1198542"/>
          <a:ext cx="3192092" cy="11293521"/>
        </a:xfrm>
        <a:prstGeom prst="roundRect">
          <a:avLst/>
        </a:prstGeom>
        <a:solidFill>
          <a:schemeClr val="accent2">
            <a:lumMod val="40000"/>
            <a:lumOff val="60000"/>
          </a:schemeClr>
        </a:solidFill>
        <a:ln>
          <a:solidFill>
            <a:schemeClr val="accent2"/>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327421</xdr:colOff>
      <xdr:row>1</xdr:row>
      <xdr:rowOff>85990</xdr:rowOff>
    </xdr:from>
    <xdr:to>
      <xdr:col>25</xdr:col>
      <xdr:colOff>224118</xdr:colOff>
      <xdr:row>5</xdr:row>
      <xdr:rowOff>115756</xdr:rowOff>
    </xdr:to>
    <xdr:sp macro="" textlink="">
      <xdr:nvSpPr>
        <xdr:cNvPr id="8" name="Rectangle: Rounded Corners 7">
          <a:extLst>
            <a:ext uri="{FF2B5EF4-FFF2-40B4-BE49-F238E27FC236}">
              <a16:creationId xmlns:a16="http://schemas.microsoft.com/office/drawing/2014/main" id="{23AAFD30-5592-1167-5EDD-EBABA20B398C}"/>
            </a:ext>
          </a:extLst>
        </xdr:cNvPr>
        <xdr:cNvSpPr/>
      </xdr:nvSpPr>
      <xdr:spPr>
        <a:xfrm>
          <a:off x="3370129" y="271198"/>
          <a:ext cx="12067531" cy="770600"/>
        </a:xfrm>
        <a:prstGeom prst="roundRect">
          <a:avLst/>
        </a:prstGeom>
        <a:solidFill>
          <a:schemeClr val="accent2"/>
        </a:solidFill>
        <a:ln>
          <a:solidFill>
            <a:schemeClr val="accent4">
              <a:lumMod val="40000"/>
              <a:lumOff val="60000"/>
            </a:schemeClr>
          </a:solidFill>
        </a:ln>
        <a:effectLst>
          <a:glow rad="101600">
            <a:schemeClr val="accent4">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u="none">
              <a:latin typeface="Felix Titling" panose="04060505060202020A04" pitchFamily="82" charset="0"/>
            </a:rPr>
            <a:t>coustomer support data</a:t>
          </a:r>
        </a:p>
      </xdr:txBody>
    </xdr:sp>
    <xdr:clientData/>
  </xdr:twoCellAnchor>
  <xdr:twoCellAnchor>
    <xdr:from>
      <xdr:col>6</xdr:col>
      <xdr:colOff>226322</xdr:colOff>
      <xdr:row>10</xdr:row>
      <xdr:rowOff>130866</xdr:rowOff>
    </xdr:from>
    <xdr:to>
      <xdr:col>10</xdr:col>
      <xdr:colOff>107259</xdr:colOff>
      <xdr:row>15</xdr:row>
      <xdr:rowOff>11805</xdr:rowOff>
    </xdr:to>
    <xdr:sp macro="" textlink="">
      <xdr:nvSpPr>
        <xdr:cNvPr id="9" name="Rectangle: Rounded Corners 8">
          <a:extLst>
            <a:ext uri="{FF2B5EF4-FFF2-40B4-BE49-F238E27FC236}">
              <a16:creationId xmlns:a16="http://schemas.microsoft.com/office/drawing/2014/main" id="{D69783C9-6119-0B20-3361-B3F3CBE580B7}"/>
            </a:ext>
          </a:extLst>
        </xdr:cNvPr>
        <xdr:cNvSpPr/>
      </xdr:nvSpPr>
      <xdr:spPr>
        <a:xfrm>
          <a:off x="3872098" y="2101556"/>
          <a:ext cx="2311454" cy="866283"/>
        </a:xfrm>
        <a:custGeom>
          <a:avLst/>
          <a:gdLst>
            <a:gd name="csX0" fmla="*/ 0 w 2321718"/>
            <a:gd name="csY0" fmla="*/ 141389 h 848320"/>
            <a:gd name="csX1" fmla="*/ 141389 w 2321718"/>
            <a:gd name="csY1" fmla="*/ 0 h 848320"/>
            <a:gd name="csX2" fmla="*/ 1838025 w 2321718"/>
            <a:gd name="csY2" fmla="*/ 0 h 848320"/>
            <a:gd name="csX3" fmla="*/ 1979414 w 2321718"/>
            <a:gd name="csY3" fmla="*/ 141389 h 848320"/>
            <a:gd name="csX4" fmla="*/ 2321718 w 2321718"/>
            <a:gd name="csY4" fmla="*/ 267890 h 848320"/>
            <a:gd name="csX5" fmla="*/ 1979414 w 2321718"/>
            <a:gd name="csY5" fmla="*/ 706931 h 848320"/>
            <a:gd name="csX6" fmla="*/ 1838025 w 2321718"/>
            <a:gd name="csY6" fmla="*/ 848320 h 848320"/>
            <a:gd name="csX7" fmla="*/ 141389 w 2321718"/>
            <a:gd name="csY7" fmla="*/ 848320 h 848320"/>
            <a:gd name="csX8" fmla="*/ 0 w 2321718"/>
            <a:gd name="csY8" fmla="*/ 706931 h 848320"/>
            <a:gd name="csX9" fmla="*/ 0 w 2321718"/>
            <a:gd name="csY9" fmla="*/ 141389 h 84832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Lst>
          <a:rect l="l" t="t" r="r" b="b"/>
          <a:pathLst>
            <a:path w="2321718" h="848320">
              <a:moveTo>
                <a:pt x="0" y="141389"/>
              </a:moveTo>
              <a:cubicBezTo>
                <a:pt x="0" y="63302"/>
                <a:pt x="63302" y="0"/>
                <a:pt x="141389" y="0"/>
              </a:cubicBezTo>
              <a:lnTo>
                <a:pt x="1838025" y="0"/>
              </a:lnTo>
              <a:cubicBezTo>
                <a:pt x="1916112" y="0"/>
                <a:pt x="1979414" y="63302"/>
                <a:pt x="1979414" y="141389"/>
              </a:cubicBezTo>
              <a:cubicBezTo>
                <a:pt x="1979414" y="282775"/>
                <a:pt x="2321718" y="126504"/>
                <a:pt x="2321718" y="267890"/>
              </a:cubicBezTo>
              <a:cubicBezTo>
                <a:pt x="2321718" y="315018"/>
                <a:pt x="1979414" y="659803"/>
                <a:pt x="1979414" y="706931"/>
              </a:cubicBezTo>
              <a:cubicBezTo>
                <a:pt x="1979414" y="785018"/>
                <a:pt x="1916112" y="848320"/>
                <a:pt x="1838025" y="848320"/>
              </a:cubicBezTo>
              <a:lnTo>
                <a:pt x="141389" y="848320"/>
              </a:lnTo>
              <a:cubicBezTo>
                <a:pt x="63302" y="848320"/>
                <a:pt x="0" y="785018"/>
                <a:pt x="0" y="706931"/>
              </a:cubicBezTo>
              <a:lnTo>
                <a:pt x="0" y="141389"/>
              </a:lnTo>
              <a:close/>
            </a:path>
          </a:pathLst>
        </a:custGeom>
        <a:solidFill>
          <a:schemeClr val="bg1">
            <a:lumMod val="95000"/>
          </a:schemeClr>
        </a:solidFill>
        <a:ln>
          <a:solidFill>
            <a:schemeClr val="accent2"/>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182167</xdr:colOff>
      <xdr:row>10</xdr:row>
      <xdr:rowOff>184218</xdr:rowOff>
    </xdr:from>
    <xdr:to>
      <xdr:col>15</xdr:col>
      <xdr:colOff>77986</xdr:colOff>
      <xdr:row>15</xdr:row>
      <xdr:rowOff>61564</xdr:rowOff>
    </xdr:to>
    <xdr:sp macro="" textlink="">
      <xdr:nvSpPr>
        <xdr:cNvPr id="10" name="Rectangle: Rounded Corners 9">
          <a:extLst>
            <a:ext uri="{FF2B5EF4-FFF2-40B4-BE49-F238E27FC236}">
              <a16:creationId xmlns:a16="http://schemas.microsoft.com/office/drawing/2014/main" id="{09C014D3-60EE-4481-B406-0D3267306C99}"/>
            </a:ext>
          </a:extLst>
        </xdr:cNvPr>
        <xdr:cNvSpPr/>
      </xdr:nvSpPr>
      <xdr:spPr>
        <a:xfrm>
          <a:off x="6866089" y="2154908"/>
          <a:ext cx="2326337" cy="862690"/>
        </a:xfrm>
        <a:custGeom>
          <a:avLst/>
          <a:gdLst>
            <a:gd name="csX0" fmla="*/ 0 w 2336601"/>
            <a:gd name="csY0" fmla="*/ 141389 h 848320"/>
            <a:gd name="csX1" fmla="*/ 141389 w 2336601"/>
            <a:gd name="csY1" fmla="*/ 0 h 848320"/>
            <a:gd name="csX2" fmla="*/ 1838025 w 2336601"/>
            <a:gd name="csY2" fmla="*/ 0 h 848320"/>
            <a:gd name="csX3" fmla="*/ 1979414 w 2336601"/>
            <a:gd name="csY3" fmla="*/ 141389 h 848320"/>
            <a:gd name="csX4" fmla="*/ 2336601 w 2336601"/>
            <a:gd name="csY4" fmla="*/ 275329 h 848320"/>
            <a:gd name="csX5" fmla="*/ 1838025 w 2336601"/>
            <a:gd name="csY5" fmla="*/ 848320 h 848320"/>
            <a:gd name="csX6" fmla="*/ 141389 w 2336601"/>
            <a:gd name="csY6" fmla="*/ 848320 h 848320"/>
            <a:gd name="csX7" fmla="*/ 0 w 2336601"/>
            <a:gd name="csY7" fmla="*/ 706931 h 848320"/>
            <a:gd name="csX8" fmla="*/ 0 w 2336601"/>
            <a:gd name="csY8" fmla="*/ 141389 h 84832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336601" h="848320">
              <a:moveTo>
                <a:pt x="0" y="141389"/>
              </a:moveTo>
              <a:cubicBezTo>
                <a:pt x="0" y="63302"/>
                <a:pt x="63302" y="0"/>
                <a:pt x="141389" y="0"/>
              </a:cubicBezTo>
              <a:lnTo>
                <a:pt x="1838025" y="0"/>
              </a:lnTo>
              <a:cubicBezTo>
                <a:pt x="1916112" y="0"/>
                <a:pt x="1979414" y="63302"/>
                <a:pt x="1979414" y="141389"/>
              </a:cubicBezTo>
              <a:cubicBezTo>
                <a:pt x="1979414" y="329903"/>
                <a:pt x="2336601" y="86815"/>
                <a:pt x="2336601" y="275329"/>
              </a:cubicBezTo>
              <a:cubicBezTo>
                <a:pt x="2336601" y="353416"/>
                <a:pt x="1916112" y="848320"/>
                <a:pt x="1838025" y="848320"/>
              </a:cubicBezTo>
              <a:lnTo>
                <a:pt x="141389" y="848320"/>
              </a:lnTo>
              <a:cubicBezTo>
                <a:pt x="63302" y="848320"/>
                <a:pt x="0" y="785018"/>
                <a:pt x="0" y="706931"/>
              </a:cubicBezTo>
              <a:lnTo>
                <a:pt x="0" y="141389"/>
              </a:lnTo>
              <a:close/>
            </a:path>
          </a:pathLst>
        </a:custGeom>
        <a:solidFill>
          <a:schemeClr val="bg1">
            <a:lumMod val="95000"/>
          </a:schemeClr>
        </a:solidFill>
        <a:ln>
          <a:solidFill>
            <a:schemeClr val="accent2"/>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169316</xdr:colOff>
      <xdr:row>10</xdr:row>
      <xdr:rowOff>120048</xdr:rowOff>
    </xdr:from>
    <xdr:to>
      <xdr:col>20</xdr:col>
      <xdr:colOff>35371</xdr:colOff>
      <xdr:row>15</xdr:row>
      <xdr:rowOff>987</xdr:rowOff>
    </xdr:to>
    <xdr:sp macro="" textlink="">
      <xdr:nvSpPr>
        <xdr:cNvPr id="11" name="Rectangle: Rounded Corners 10">
          <a:extLst>
            <a:ext uri="{FF2B5EF4-FFF2-40B4-BE49-F238E27FC236}">
              <a16:creationId xmlns:a16="http://schemas.microsoft.com/office/drawing/2014/main" id="{FA90F03B-5211-4DF6-879F-4253F9586FF0}"/>
            </a:ext>
          </a:extLst>
        </xdr:cNvPr>
        <xdr:cNvSpPr/>
      </xdr:nvSpPr>
      <xdr:spPr>
        <a:xfrm>
          <a:off x="9891385" y="2090738"/>
          <a:ext cx="2296572" cy="866283"/>
        </a:xfrm>
        <a:custGeom>
          <a:avLst/>
          <a:gdLst>
            <a:gd name="csX0" fmla="*/ 0 w 2306836"/>
            <a:gd name="csY0" fmla="*/ 141389 h 848320"/>
            <a:gd name="csX1" fmla="*/ 141389 w 2306836"/>
            <a:gd name="csY1" fmla="*/ 0 h 848320"/>
            <a:gd name="csX2" fmla="*/ 1838025 w 2306836"/>
            <a:gd name="csY2" fmla="*/ 0 h 848320"/>
            <a:gd name="csX3" fmla="*/ 1979414 w 2306836"/>
            <a:gd name="csY3" fmla="*/ 141389 h 848320"/>
            <a:gd name="csX4" fmla="*/ 2306836 w 2306836"/>
            <a:gd name="csY4" fmla="*/ 245564 h 848320"/>
            <a:gd name="csX5" fmla="*/ 1838025 w 2306836"/>
            <a:gd name="csY5" fmla="*/ 848320 h 848320"/>
            <a:gd name="csX6" fmla="*/ 141389 w 2306836"/>
            <a:gd name="csY6" fmla="*/ 848320 h 848320"/>
            <a:gd name="csX7" fmla="*/ 0 w 2306836"/>
            <a:gd name="csY7" fmla="*/ 706931 h 848320"/>
            <a:gd name="csX8" fmla="*/ 0 w 2306836"/>
            <a:gd name="csY8" fmla="*/ 141389 h 84832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306836" h="848320">
              <a:moveTo>
                <a:pt x="0" y="141389"/>
              </a:moveTo>
              <a:cubicBezTo>
                <a:pt x="0" y="63302"/>
                <a:pt x="63302" y="0"/>
                <a:pt x="141389" y="0"/>
              </a:cubicBezTo>
              <a:lnTo>
                <a:pt x="1838025" y="0"/>
              </a:lnTo>
              <a:cubicBezTo>
                <a:pt x="1916112" y="0"/>
                <a:pt x="1979414" y="63302"/>
                <a:pt x="1979414" y="141389"/>
              </a:cubicBezTo>
              <a:cubicBezTo>
                <a:pt x="1979414" y="329903"/>
                <a:pt x="2306836" y="57050"/>
                <a:pt x="2306836" y="245564"/>
              </a:cubicBezTo>
              <a:cubicBezTo>
                <a:pt x="2306836" y="323651"/>
                <a:pt x="1916112" y="848320"/>
                <a:pt x="1838025" y="848320"/>
              </a:cubicBezTo>
              <a:lnTo>
                <a:pt x="141389" y="848320"/>
              </a:lnTo>
              <a:cubicBezTo>
                <a:pt x="63302" y="848320"/>
                <a:pt x="0" y="785018"/>
                <a:pt x="0" y="706931"/>
              </a:cubicBezTo>
              <a:lnTo>
                <a:pt x="0" y="141389"/>
              </a:lnTo>
              <a:close/>
            </a:path>
          </a:pathLst>
        </a:custGeom>
        <a:solidFill>
          <a:schemeClr val="bg1">
            <a:lumMod val="95000"/>
          </a:schemeClr>
        </a:solidFill>
        <a:ln>
          <a:solidFill>
            <a:schemeClr val="accent2"/>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210350</xdr:colOff>
      <xdr:row>10</xdr:row>
      <xdr:rowOff>156979</xdr:rowOff>
    </xdr:from>
    <xdr:to>
      <xdr:col>25</xdr:col>
      <xdr:colOff>106171</xdr:colOff>
      <xdr:row>15</xdr:row>
      <xdr:rowOff>34325</xdr:rowOff>
    </xdr:to>
    <xdr:sp macro="" textlink="">
      <xdr:nvSpPr>
        <xdr:cNvPr id="12" name="Rectangle: Rounded Corners 11">
          <a:extLst>
            <a:ext uri="{FF2B5EF4-FFF2-40B4-BE49-F238E27FC236}">
              <a16:creationId xmlns:a16="http://schemas.microsoft.com/office/drawing/2014/main" id="{B2EE070C-F56B-4F15-9BC9-8C9E4180ACC9}"/>
            </a:ext>
          </a:extLst>
        </xdr:cNvPr>
        <xdr:cNvSpPr/>
      </xdr:nvSpPr>
      <xdr:spPr>
        <a:xfrm>
          <a:off x="12970566" y="2127669"/>
          <a:ext cx="2326338" cy="862690"/>
        </a:xfrm>
        <a:custGeom>
          <a:avLst/>
          <a:gdLst>
            <a:gd name="csX0" fmla="*/ 0 w 2336602"/>
            <a:gd name="csY0" fmla="*/ 141389 h 848320"/>
            <a:gd name="csX1" fmla="*/ 141389 w 2336602"/>
            <a:gd name="csY1" fmla="*/ 0 h 848320"/>
            <a:gd name="csX2" fmla="*/ 1838025 w 2336602"/>
            <a:gd name="csY2" fmla="*/ 0 h 848320"/>
            <a:gd name="csX3" fmla="*/ 1979414 w 2336602"/>
            <a:gd name="csY3" fmla="*/ 141389 h 848320"/>
            <a:gd name="csX4" fmla="*/ 2336602 w 2336602"/>
            <a:gd name="csY4" fmla="*/ 245564 h 848320"/>
            <a:gd name="csX5" fmla="*/ 1838025 w 2336602"/>
            <a:gd name="csY5" fmla="*/ 848320 h 848320"/>
            <a:gd name="csX6" fmla="*/ 141389 w 2336602"/>
            <a:gd name="csY6" fmla="*/ 848320 h 848320"/>
            <a:gd name="csX7" fmla="*/ 0 w 2336602"/>
            <a:gd name="csY7" fmla="*/ 706931 h 848320"/>
            <a:gd name="csX8" fmla="*/ 0 w 2336602"/>
            <a:gd name="csY8" fmla="*/ 141389 h 84832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336602" h="848320">
              <a:moveTo>
                <a:pt x="0" y="141389"/>
              </a:moveTo>
              <a:cubicBezTo>
                <a:pt x="0" y="63302"/>
                <a:pt x="63302" y="0"/>
                <a:pt x="141389" y="0"/>
              </a:cubicBezTo>
              <a:lnTo>
                <a:pt x="1838025" y="0"/>
              </a:lnTo>
              <a:cubicBezTo>
                <a:pt x="1916112" y="0"/>
                <a:pt x="1979414" y="63302"/>
                <a:pt x="1979414" y="141389"/>
              </a:cubicBezTo>
              <a:cubicBezTo>
                <a:pt x="1979414" y="329903"/>
                <a:pt x="2336602" y="57050"/>
                <a:pt x="2336602" y="245564"/>
              </a:cubicBezTo>
              <a:cubicBezTo>
                <a:pt x="2336602" y="323651"/>
                <a:pt x="1916112" y="848320"/>
                <a:pt x="1838025" y="848320"/>
              </a:cubicBezTo>
              <a:lnTo>
                <a:pt x="141389" y="848320"/>
              </a:lnTo>
              <a:cubicBezTo>
                <a:pt x="63302" y="848320"/>
                <a:pt x="0" y="785018"/>
                <a:pt x="0" y="706931"/>
              </a:cubicBezTo>
              <a:lnTo>
                <a:pt x="0" y="141389"/>
              </a:lnTo>
              <a:close/>
            </a:path>
          </a:pathLst>
        </a:custGeom>
        <a:solidFill>
          <a:schemeClr val="bg1">
            <a:lumMod val="95000"/>
          </a:schemeClr>
        </a:solidFill>
        <a:ln>
          <a:solidFill>
            <a:schemeClr val="accent2"/>
          </a:solidFill>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74415</xdr:colOff>
      <xdr:row>21</xdr:row>
      <xdr:rowOff>148828</xdr:rowOff>
    </xdr:from>
    <xdr:to>
      <xdr:col>14</xdr:col>
      <xdr:colOff>416720</xdr:colOff>
      <xdr:row>36</xdr:row>
      <xdr:rowOff>148829</xdr:rowOff>
    </xdr:to>
    <xdr:sp macro="" textlink="">
      <xdr:nvSpPr>
        <xdr:cNvPr id="13" name="Rectangle 12">
          <a:extLst>
            <a:ext uri="{FF2B5EF4-FFF2-40B4-BE49-F238E27FC236}">
              <a16:creationId xmlns:a16="http://schemas.microsoft.com/office/drawing/2014/main" id="{7D4154B1-45CB-8D45-7158-DC3793B29DA2}"/>
            </a:ext>
          </a:extLst>
        </xdr:cNvPr>
        <xdr:cNvSpPr/>
      </xdr:nvSpPr>
      <xdr:spPr>
        <a:xfrm>
          <a:off x="4345782" y="4211836"/>
          <a:ext cx="4613672" cy="2902149"/>
        </a:xfrm>
        <a:prstGeom prst="rect">
          <a:avLst/>
        </a:prstGeom>
        <a:effectLst>
          <a:glow rad="101600">
            <a:schemeClr val="accent6">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92869</xdr:colOff>
      <xdr:row>50</xdr:row>
      <xdr:rowOff>48221</xdr:rowOff>
    </xdr:from>
    <xdr:to>
      <xdr:col>24</xdr:col>
      <xdr:colOff>435173</xdr:colOff>
      <xdr:row>65</xdr:row>
      <xdr:rowOff>48221</xdr:rowOff>
    </xdr:to>
    <xdr:sp macro="" textlink="">
      <xdr:nvSpPr>
        <xdr:cNvPr id="14" name="Rectangle 13">
          <a:extLst>
            <a:ext uri="{FF2B5EF4-FFF2-40B4-BE49-F238E27FC236}">
              <a16:creationId xmlns:a16="http://schemas.microsoft.com/office/drawing/2014/main" id="{2D44954A-833D-4CB9-BC79-5E82CBA4C40B}"/>
            </a:ext>
          </a:extLst>
        </xdr:cNvPr>
        <xdr:cNvSpPr/>
      </xdr:nvSpPr>
      <xdr:spPr>
        <a:xfrm>
          <a:off x="10466189" y="9722049"/>
          <a:ext cx="4613672" cy="2902149"/>
        </a:xfrm>
        <a:prstGeom prst="rect">
          <a:avLst/>
        </a:prstGeom>
        <a:effectLst>
          <a:glow rad="101600">
            <a:schemeClr val="accent6">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200620</xdr:colOff>
      <xdr:row>50</xdr:row>
      <xdr:rowOff>66675</xdr:rowOff>
    </xdr:from>
    <xdr:to>
      <xdr:col>14</xdr:col>
      <xdr:colOff>542925</xdr:colOff>
      <xdr:row>65</xdr:row>
      <xdr:rowOff>66675</xdr:rowOff>
    </xdr:to>
    <xdr:sp macro="" textlink="">
      <xdr:nvSpPr>
        <xdr:cNvPr id="15" name="Rectangle 14">
          <a:extLst>
            <a:ext uri="{FF2B5EF4-FFF2-40B4-BE49-F238E27FC236}">
              <a16:creationId xmlns:a16="http://schemas.microsoft.com/office/drawing/2014/main" id="{4C91CCDE-CEBA-43B7-8CD4-F29EB7CD5E95}"/>
            </a:ext>
          </a:extLst>
        </xdr:cNvPr>
        <xdr:cNvSpPr/>
      </xdr:nvSpPr>
      <xdr:spPr>
        <a:xfrm>
          <a:off x="4471987" y="9740503"/>
          <a:ext cx="4613672" cy="2902149"/>
        </a:xfrm>
        <a:prstGeom prst="rect">
          <a:avLst/>
        </a:prstGeom>
        <a:effectLst>
          <a:glow rad="101600">
            <a:schemeClr val="accent6">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70246</xdr:colOff>
      <xdr:row>21</xdr:row>
      <xdr:rowOff>85129</xdr:rowOff>
    </xdr:from>
    <xdr:to>
      <xdr:col>24</xdr:col>
      <xdr:colOff>412550</xdr:colOff>
      <xdr:row>36</xdr:row>
      <xdr:rowOff>85130</xdr:rowOff>
    </xdr:to>
    <xdr:sp macro="" textlink="">
      <xdr:nvSpPr>
        <xdr:cNvPr id="16" name="Rectangle 15">
          <a:extLst>
            <a:ext uri="{FF2B5EF4-FFF2-40B4-BE49-F238E27FC236}">
              <a16:creationId xmlns:a16="http://schemas.microsoft.com/office/drawing/2014/main" id="{9200CF7F-0A54-498E-BE6D-45D5126D7FD4}"/>
            </a:ext>
          </a:extLst>
        </xdr:cNvPr>
        <xdr:cNvSpPr/>
      </xdr:nvSpPr>
      <xdr:spPr>
        <a:xfrm>
          <a:off x="10443566" y="4148137"/>
          <a:ext cx="4613672" cy="2902149"/>
        </a:xfrm>
        <a:prstGeom prst="rect">
          <a:avLst/>
        </a:prstGeom>
        <a:effectLst>
          <a:glow rad="101600">
            <a:schemeClr val="accent6">
              <a:satMod val="175000"/>
              <a:alpha val="40000"/>
            </a:schemeClr>
          </a:glo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6</xdr:col>
      <xdr:colOff>302276</xdr:colOff>
      <xdr:row>10</xdr:row>
      <xdr:rowOff>177567</xdr:rowOff>
    </xdr:from>
    <xdr:to>
      <xdr:col>9</xdr:col>
      <xdr:colOff>288281</xdr:colOff>
      <xdr:row>14</xdr:row>
      <xdr:rowOff>176873</xdr:rowOff>
    </xdr:to>
    <xdr:pic>
      <xdr:nvPicPr>
        <xdr:cNvPr id="2" name="Picture 1">
          <a:extLst>
            <a:ext uri="{FF2B5EF4-FFF2-40B4-BE49-F238E27FC236}">
              <a16:creationId xmlns:a16="http://schemas.microsoft.com/office/drawing/2014/main" id="{F38B6DBC-2DEA-E0F2-0CEE-6945F13A948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48052" y="2148257"/>
          <a:ext cx="1837771" cy="773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254546</xdr:colOff>
      <xdr:row>11</xdr:row>
      <xdr:rowOff>26687</xdr:rowOff>
    </xdr:from>
    <xdr:to>
      <xdr:col>14</xdr:col>
      <xdr:colOff>240549</xdr:colOff>
      <xdr:row>15</xdr:row>
      <xdr:rowOff>14129</xdr:rowOff>
    </xdr:to>
    <xdr:pic>
      <xdr:nvPicPr>
        <xdr:cNvPr id="5" name="Picture 4">
          <a:extLst>
            <a:ext uri="{FF2B5EF4-FFF2-40B4-BE49-F238E27FC236}">
              <a16:creationId xmlns:a16="http://schemas.microsoft.com/office/drawing/2014/main" id="{BD69096C-4B91-5D0A-129C-F8D0DF6C6E8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938468" y="2194446"/>
          <a:ext cx="1837771" cy="758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236587</xdr:colOff>
      <xdr:row>10</xdr:row>
      <xdr:rowOff>176029</xdr:rowOff>
    </xdr:from>
    <xdr:to>
      <xdr:col>19</xdr:col>
      <xdr:colOff>222591</xdr:colOff>
      <xdr:row>14</xdr:row>
      <xdr:rowOff>160450</xdr:rowOff>
    </xdr:to>
    <xdr:pic>
      <xdr:nvPicPr>
        <xdr:cNvPr id="17" name="Picture 16">
          <a:extLst>
            <a:ext uri="{FF2B5EF4-FFF2-40B4-BE49-F238E27FC236}">
              <a16:creationId xmlns:a16="http://schemas.microsoft.com/office/drawing/2014/main" id="{2B73EEF5-53E3-C089-CB04-B2EEB8FE9F9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958656" y="2146719"/>
          <a:ext cx="1837771" cy="7585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256087</xdr:colOff>
      <xdr:row>11</xdr:row>
      <xdr:rowOff>40031</xdr:rowOff>
    </xdr:from>
    <xdr:to>
      <xdr:col>24</xdr:col>
      <xdr:colOff>227208</xdr:colOff>
      <xdr:row>14</xdr:row>
      <xdr:rowOff>188207</xdr:rowOff>
    </xdr:to>
    <xdr:pic>
      <xdr:nvPicPr>
        <xdr:cNvPr id="18" name="Picture 17">
          <a:extLst>
            <a:ext uri="{FF2B5EF4-FFF2-40B4-BE49-F238E27FC236}">
              <a16:creationId xmlns:a16="http://schemas.microsoft.com/office/drawing/2014/main" id="{35392AC4-7B3F-2528-C483-CA2A707A2CA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3016303" y="2207790"/>
          <a:ext cx="1822887" cy="7287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555624</xdr:colOff>
      <xdr:row>21</xdr:row>
      <xdr:rowOff>105833</xdr:rowOff>
    </xdr:from>
    <xdr:to>
      <xdr:col>14</xdr:col>
      <xdr:colOff>515936</xdr:colOff>
      <xdr:row>37</xdr:row>
      <xdr:rowOff>119063</xdr:rowOff>
    </xdr:to>
    <xdr:graphicFrame macro="">
      <xdr:nvGraphicFramePr>
        <xdr:cNvPr id="19" name="Chart 18">
          <a:extLst>
            <a:ext uri="{FF2B5EF4-FFF2-40B4-BE49-F238E27FC236}">
              <a16:creationId xmlns:a16="http://schemas.microsoft.com/office/drawing/2014/main" id="{DF6D6DD5-90BE-4D73-BFD9-633F2464A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410104</xdr:colOff>
      <xdr:row>21</xdr:row>
      <xdr:rowOff>71748</xdr:rowOff>
    </xdr:from>
    <xdr:to>
      <xdr:col>25</xdr:col>
      <xdr:colOff>52917</xdr:colOff>
      <xdr:row>37</xdr:row>
      <xdr:rowOff>79375</xdr:rowOff>
    </xdr:to>
    <xdr:graphicFrame macro="">
      <xdr:nvGraphicFramePr>
        <xdr:cNvPr id="20" name="Chart 19">
          <a:extLst>
            <a:ext uri="{FF2B5EF4-FFF2-40B4-BE49-F238E27FC236}">
              <a16:creationId xmlns:a16="http://schemas.microsoft.com/office/drawing/2014/main" id="{5A98831F-C484-43ED-B35C-13B6DEA9D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546517</xdr:colOff>
      <xdr:row>47</xdr:row>
      <xdr:rowOff>93691</xdr:rowOff>
    </xdr:from>
    <xdr:to>
      <xdr:col>14</xdr:col>
      <xdr:colOff>577746</xdr:colOff>
      <xdr:row>66</xdr:row>
      <xdr:rowOff>15113</xdr:rowOff>
    </xdr:to>
    <xdr:graphicFrame macro="">
      <xdr:nvGraphicFramePr>
        <xdr:cNvPr id="21" name="Chart 20">
          <a:extLst>
            <a:ext uri="{FF2B5EF4-FFF2-40B4-BE49-F238E27FC236}">
              <a16:creationId xmlns:a16="http://schemas.microsoft.com/office/drawing/2014/main" id="{8761F451-3757-426C-BCF4-DC9040FDE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410103</xdr:colOff>
      <xdr:row>47</xdr:row>
      <xdr:rowOff>52916</xdr:rowOff>
    </xdr:from>
    <xdr:to>
      <xdr:col>25</xdr:col>
      <xdr:colOff>291041</xdr:colOff>
      <xdr:row>65</xdr:row>
      <xdr:rowOff>92604</xdr:rowOff>
    </xdr:to>
    <xdr:graphicFrame macro="">
      <xdr:nvGraphicFramePr>
        <xdr:cNvPr id="22" name="Chart 21">
          <a:extLst>
            <a:ext uri="{FF2B5EF4-FFF2-40B4-BE49-F238E27FC236}">
              <a16:creationId xmlns:a16="http://schemas.microsoft.com/office/drawing/2014/main" id="{A28915E4-B4AD-459E-A115-B866C44B9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6</xdr:col>
      <xdr:colOff>319580</xdr:colOff>
      <xdr:row>39</xdr:row>
      <xdr:rowOff>4901</xdr:rowOff>
    </xdr:from>
    <xdr:to>
      <xdr:col>25</xdr:col>
      <xdr:colOff>73774</xdr:colOff>
      <xdr:row>45</xdr:row>
      <xdr:rowOff>122903</xdr:rowOff>
    </xdr:to>
    <mc:AlternateContent xmlns:mc="http://schemas.openxmlformats.org/markup-compatibility/2006" xmlns:a14="http://schemas.microsoft.com/office/drawing/2010/main">
      <mc:Choice Requires="a14">
        <xdr:graphicFrame macro="">
          <xdr:nvGraphicFramePr>
            <xdr:cNvPr id="29" name="Purchase_Channel 1">
              <a:extLst>
                <a:ext uri="{FF2B5EF4-FFF2-40B4-BE49-F238E27FC236}">
                  <a16:creationId xmlns:a16="http://schemas.microsoft.com/office/drawing/2014/main" id="{1BFD7D41-BC1D-43D6-AA6D-86AA8B3C085E}"/>
                </a:ext>
              </a:extLst>
            </xdr:cNvPr>
            <xdr:cNvGraphicFramePr/>
          </xdr:nvGraphicFramePr>
          <xdr:xfrm>
            <a:off x="0" y="0"/>
            <a:ext cx="0" cy="0"/>
          </xdr:xfrm>
          <a:graphic>
            <a:graphicData uri="http://schemas.microsoft.com/office/drawing/2010/slicer">
              <sle:slicer xmlns:sle="http://schemas.microsoft.com/office/drawing/2010/slicer" name="Purchase_Channel 1"/>
            </a:graphicData>
          </a:graphic>
        </xdr:graphicFrame>
      </mc:Choice>
      <mc:Fallback xmlns="">
        <xdr:sp macro="" textlink="">
          <xdr:nvSpPr>
            <xdr:cNvPr id="0" name=""/>
            <xdr:cNvSpPr>
              <a:spLocks noTextEdit="1"/>
            </xdr:cNvSpPr>
          </xdr:nvSpPr>
          <xdr:spPr>
            <a:xfrm>
              <a:off x="3956398" y="7884674"/>
              <a:ext cx="11270785" cy="1330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404925</xdr:colOff>
      <xdr:row>42</xdr:row>
      <xdr:rowOff>140123</xdr:rowOff>
    </xdr:from>
    <xdr:to>
      <xdr:col>5</xdr:col>
      <xdr:colOff>485238</xdr:colOff>
      <xdr:row>61</xdr:row>
      <xdr:rowOff>174989</xdr:rowOff>
    </xdr:to>
    <xdr:pic>
      <xdr:nvPicPr>
        <xdr:cNvPr id="31" name="Picture 30">
          <a:extLst>
            <a:ext uri="{FF2B5EF4-FFF2-40B4-BE49-F238E27FC236}">
              <a16:creationId xmlns:a16="http://schemas.microsoft.com/office/drawing/2014/main" id="{B8E93239-7F73-EF55-42F6-66DF6C70DE9F}"/>
            </a:ext>
          </a:extLst>
        </xdr:cNvPr>
        <xdr:cNvPicPr>
          <a:picLocks noChangeAspect="1"/>
        </xdr:cNvPicPr>
      </xdr:nvPicPr>
      <xdr:blipFill>
        <a:blip xmlns:r="http://schemas.openxmlformats.org/officeDocument/2006/relationships" r:embed="rId10"/>
        <a:stretch>
          <a:fillRect/>
        </a:stretch>
      </xdr:blipFill>
      <xdr:spPr>
        <a:xfrm>
          <a:off x="404925" y="8443048"/>
          <a:ext cx="3135502" cy="3790950"/>
        </a:xfrm>
        <a:prstGeom prst="rect">
          <a:avLst/>
        </a:prstGeom>
      </xdr:spPr>
    </xdr:pic>
    <xdr:clientData/>
  </xdr:twoCellAnchor>
  <xdr:twoCellAnchor editAs="oneCell">
    <xdr:from>
      <xdr:col>0</xdr:col>
      <xdr:colOff>443630</xdr:colOff>
      <xdr:row>21</xdr:row>
      <xdr:rowOff>102514</xdr:rowOff>
    </xdr:from>
    <xdr:to>
      <xdr:col>5</xdr:col>
      <xdr:colOff>456678</xdr:colOff>
      <xdr:row>35</xdr:row>
      <xdr:rowOff>182671</xdr:rowOff>
    </xdr:to>
    <xdr:pic>
      <xdr:nvPicPr>
        <xdr:cNvPr id="3" name="Picture 2">
          <a:extLst>
            <a:ext uri="{FF2B5EF4-FFF2-40B4-BE49-F238E27FC236}">
              <a16:creationId xmlns:a16="http://schemas.microsoft.com/office/drawing/2014/main" id="{FCB83F4D-947C-9A41-AD7D-B7435ACE654C}"/>
            </a:ext>
          </a:extLst>
        </xdr:cNvPr>
        <xdr:cNvPicPr>
          <a:picLocks noChangeAspect="1"/>
        </xdr:cNvPicPr>
      </xdr:nvPicPr>
      <xdr:blipFill>
        <a:blip xmlns:r="http://schemas.openxmlformats.org/officeDocument/2006/relationships" r:embed="rId11"/>
        <a:stretch>
          <a:fillRect/>
        </a:stretch>
      </xdr:blipFill>
      <xdr:spPr>
        <a:xfrm>
          <a:off x="443630" y="4212617"/>
          <a:ext cx="3079315" cy="2820225"/>
        </a:xfrm>
        <a:prstGeom prst="rect">
          <a:avLst/>
        </a:prstGeom>
      </xdr:spPr>
    </xdr:pic>
    <xdr:clientData/>
  </xdr:twoCellAnchor>
  <xdr:twoCellAnchor editAs="oneCell">
    <xdr:from>
      <xdr:col>0</xdr:col>
      <xdr:colOff>456678</xdr:colOff>
      <xdr:row>8</xdr:row>
      <xdr:rowOff>50322</xdr:rowOff>
    </xdr:from>
    <xdr:to>
      <xdr:col>5</xdr:col>
      <xdr:colOff>443630</xdr:colOff>
      <xdr:row>17</xdr:row>
      <xdr:rowOff>182671</xdr:rowOff>
    </xdr:to>
    <xdr:pic>
      <xdr:nvPicPr>
        <xdr:cNvPr id="4" name="Picture 3">
          <a:extLst>
            <a:ext uri="{FF2B5EF4-FFF2-40B4-BE49-F238E27FC236}">
              <a16:creationId xmlns:a16="http://schemas.microsoft.com/office/drawing/2014/main" id="{AF72D5AC-8CBF-289D-5D0F-118FDA2F6215}"/>
            </a:ext>
          </a:extLst>
        </xdr:cNvPr>
        <xdr:cNvPicPr>
          <a:picLocks noChangeAspect="1"/>
        </xdr:cNvPicPr>
      </xdr:nvPicPr>
      <xdr:blipFill>
        <a:blip xmlns:r="http://schemas.openxmlformats.org/officeDocument/2006/relationships" r:embed="rId12"/>
        <a:stretch>
          <a:fillRect/>
        </a:stretch>
      </xdr:blipFill>
      <xdr:spPr>
        <a:xfrm>
          <a:off x="456678" y="1616075"/>
          <a:ext cx="3053219" cy="189382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8.584054976855" createdVersion="8" refreshedVersion="8" minRefreshableVersion="3" recordCount="1000" xr:uid="{93559907-597B-42F2-8FBF-4B5B46B5C494}">
  <cacheSource type="worksheet">
    <worksheetSource name="Ecommerce_Consumer_Behavior_Analysis_Data"/>
  </cacheSource>
  <cacheFields count="28">
    <cacheField name="Customer_ID" numFmtId="0">
      <sharedItems count="1000">
        <s v="37-611-6911"/>
        <s v="29-392-9296"/>
        <s v="84-649-5117"/>
        <s v="48-980-6078"/>
        <s v="91-170-9072"/>
        <s v="82-561-4233"/>
        <s v="90-144-9193"/>
        <s v="88-661-4689"/>
        <s v="37-065-3182"/>
        <s v="84-894-9222"/>
        <s v="44-674-4037"/>
        <s v="78-116-8349"/>
        <s v="19-933-8095"/>
        <s v="80-684-5072"/>
        <s v="23-302-7502"/>
        <s v="90-069-8934"/>
        <s v="45-073-7243"/>
        <s v="89-883-2101"/>
        <s v="00-477-9449"/>
        <s v="67-159-7366"/>
        <s v="85-691-4293"/>
        <s v="56-085-0464"/>
        <s v="33-264-2822"/>
        <s v="95-478-2650"/>
        <s v="04-349-6759"/>
        <s v="21-755-8745"/>
        <s v="29-625-7057"/>
        <s v="58-623-8404"/>
        <s v="56-506-4709"/>
        <s v="25-839-8670"/>
        <s v="89-194-0596"/>
        <s v="55-163-1389"/>
        <s v="28-225-4286"/>
        <s v="14-305-8712"/>
        <s v="85-738-6864"/>
        <s v="17-198-5155"/>
        <s v="15-354-9904"/>
        <s v="35-198-9248"/>
        <s v="03-950-6074"/>
        <s v="19-999-0134"/>
        <s v="57-989-1487"/>
        <s v="07-816-2673"/>
        <s v="70-761-3550"/>
        <s v="38-242-3251"/>
        <s v="95-525-0842"/>
        <s v="37-101-4922"/>
        <s v="37-128-5425"/>
        <s v="27-439-9545"/>
        <s v="37-126-7954"/>
        <s v="82-990-0504"/>
        <s v="21-734-0212"/>
        <s v="76-148-9413"/>
        <s v="53-639-3774"/>
        <s v="20-817-9584"/>
        <s v="18-655-3670"/>
        <s v="72-431-5021"/>
        <s v="07-479-3919"/>
        <s v="17-032-6274"/>
        <s v="64-166-9097"/>
        <s v="39-499-3854"/>
        <s v="39-636-5871"/>
        <s v="71-667-2334"/>
        <s v="35-192-9050"/>
        <s v="91-440-0011"/>
        <s v="20-830-4758"/>
        <s v="84-337-1016"/>
        <s v="09-346-4992"/>
        <s v="75-083-3608"/>
        <s v="29-779-7209"/>
        <s v="12-409-5166"/>
        <s v="07-024-4995"/>
        <s v="74-478-5950"/>
        <s v="31-395-1286"/>
        <s v="60-838-4334"/>
        <s v="71-197-8227"/>
        <s v="15-530-3861"/>
        <s v="30-567-4471"/>
        <s v="04-465-1819"/>
        <s v="69-692-0614"/>
        <s v="12-839-8066"/>
        <s v="05-465-8765"/>
        <s v="81-580-3810"/>
        <s v="74-353-6312"/>
        <s v="78-824-1887"/>
        <s v="31-218-0024"/>
        <s v="15-711-4107"/>
        <s v="76-672-1193"/>
        <s v="46-503-5589"/>
        <s v="87-499-6916"/>
        <s v="30-520-8656"/>
        <s v="36-323-3504"/>
        <s v="93-810-4051"/>
        <s v="66-515-3648"/>
        <s v="09-216-1957"/>
        <s v="23-253-2565"/>
        <s v="74-509-4985"/>
        <s v="05-857-1572"/>
        <s v="26-521-8328"/>
        <s v="31-147-6197"/>
        <s v="90-093-0469"/>
        <s v="38-935-1865"/>
        <s v="75-953-8663"/>
        <s v="38-478-2681"/>
        <s v="70-895-5298"/>
        <s v="02-653-5884"/>
        <s v="11-719-8800"/>
        <s v="59-355-5251"/>
        <s v="82-572-9091"/>
        <s v="86-044-1071"/>
        <s v="08-733-0300"/>
        <s v="70-108-1493"/>
        <s v="46-230-8307"/>
        <s v="74-431-0242"/>
        <s v="78-272-6417"/>
        <s v="13-792-4356"/>
        <s v="04-563-9091"/>
        <s v="79-592-5396"/>
        <s v="39-952-4459"/>
        <s v="67-935-7964"/>
        <s v="26-828-2720"/>
        <s v="57-410-7415"/>
        <s v="62-989-8214"/>
        <s v="73-827-2774"/>
        <s v="19-643-1879"/>
        <s v="57-345-3921"/>
        <s v="98-817-6731"/>
        <s v="31-788-0864"/>
        <s v="27-806-4972"/>
        <s v="48-343-1220"/>
        <s v="15-640-6493"/>
        <s v="64-846-7450"/>
        <s v="58-788-8938"/>
        <s v="52-240-3825"/>
        <s v="60-618-2561"/>
        <s v="94-969-6819"/>
        <s v="76-982-8107"/>
        <s v="52-779-8972"/>
        <s v="40-520-3271"/>
        <s v="79-884-5600"/>
        <s v="80-607-9947"/>
        <s v="87-290-8263"/>
        <s v="99-316-9993"/>
        <s v="54-164-2243"/>
        <s v="14-784-5606"/>
        <s v="47-992-7446"/>
        <s v="37-513-5073"/>
        <s v="93-473-7248"/>
        <s v="72-830-1211"/>
        <s v="87-934-6762"/>
        <s v="71-975-9564"/>
        <s v="40-232-5631"/>
        <s v="22-414-4955"/>
        <s v="99-089-1930"/>
        <s v="62-198-2511"/>
        <s v="21-297-1223"/>
        <s v="10-961-9336"/>
        <s v="71-473-2656"/>
        <s v="84-954-2973"/>
        <s v="22-382-9636"/>
        <s v="89-724-2536"/>
        <s v="85-391-1888"/>
        <s v="84-934-2483"/>
        <s v="96-229-1698"/>
        <s v="36-948-6994"/>
        <s v="43-172-9431"/>
        <s v="53-690-5759"/>
        <s v="00-496-3067"/>
        <s v="10-330-6387"/>
        <s v="87-590-8963"/>
        <s v="47-931-2642"/>
        <s v="76-501-6422"/>
        <s v="39-274-2175"/>
        <s v="62-493-5282"/>
        <s v="18-841-7253"/>
        <s v="18-097-5707"/>
        <s v="83-792-5141"/>
        <s v="65-036-2410"/>
        <s v="67-593-9579"/>
        <s v="33-484-6674"/>
        <s v="65-249-5416"/>
        <s v="17-328-4678"/>
        <s v="00-733-8770"/>
        <s v="47-501-3435"/>
        <s v="46-779-7065"/>
        <s v="91-603-1565"/>
        <s v="35-122-5020"/>
        <s v="63-684-4073"/>
        <s v="74-483-2893"/>
        <s v="72-728-4406"/>
        <s v="13-588-2488"/>
        <s v="79-861-6506"/>
        <s v="66-974-6707"/>
        <s v="95-112-6724"/>
        <s v="27-262-6874"/>
        <s v="92-908-5062"/>
        <s v="70-014-6406"/>
        <s v="52-908-9971"/>
        <s v="57-623-5362"/>
        <s v="48-315-0196"/>
        <s v="71-959-3896"/>
        <s v="29-987-3969"/>
        <s v="78-613-1546"/>
        <s v="43-664-4451"/>
        <s v="34-095-3364"/>
        <s v="72-393-6893"/>
        <s v="73-707-2809"/>
        <s v="04-609-7885"/>
        <s v="73-139-4306"/>
        <s v="23-794-8196"/>
        <s v="66-050-6391"/>
        <s v="22-311-5460"/>
        <s v="51-917-0766"/>
        <s v="53-013-1026"/>
        <s v="29-779-3457"/>
        <s v="18-047-5540"/>
        <s v="89-438-5310"/>
        <s v="23-985-3535"/>
        <s v="67-939-2463"/>
        <s v="03-623-6767"/>
        <s v="86-749-6914"/>
        <s v="03-977-8103"/>
        <s v="03-827-4021"/>
        <s v="68-507-4747"/>
        <s v="73-942-8440"/>
        <s v="21-821-6398"/>
        <s v="64-641-7874"/>
        <s v="53-459-7870"/>
        <s v="36-240-3240"/>
        <s v="54-936-4361"/>
        <s v="67-209-0990"/>
        <s v="19-667-0201"/>
        <s v="36-274-5269"/>
        <s v="09-948-3150"/>
        <s v="19-873-9468"/>
        <s v="37-748-4988"/>
        <s v="08-755-1170"/>
        <s v="07-402-7433"/>
        <s v="60-073-3575"/>
        <s v="97-237-3483"/>
        <s v="93-675-1619"/>
        <s v="43-884-2577"/>
        <s v="33-200-7615"/>
        <s v="63-631-8261"/>
        <s v="34-016-7909"/>
        <s v="82-304-6495"/>
        <s v="70-207-6999"/>
        <s v="71-780-8195"/>
        <s v="93-356-8589"/>
        <s v="92-142-9480"/>
        <s v="53-042-5685"/>
        <s v="35-853-2222"/>
        <s v="83-670-9273"/>
        <s v="37-783-6086"/>
        <s v="79-902-8144"/>
        <s v="41-009-7879"/>
        <s v="89-302-8461"/>
        <s v="23-066-1915"/>
        <s v="39-090-0124"/>
        <s v="41-854-0707"/>
        <s v="04-352-1558"/>
        <s v="93-867-8303"/>
        <s v="31-088-6950"/>
        <s v="43-616-8365"/>
        <s v="71-876-9118"/>
        <s v="18-263-0366"/>
        <s v="25-502-1415"/>
        <s v="50-000-9588"/>
        <s v="32-338-5967"/>
        <s v="19-311-9149"/>
        <s v="94-212-7169"/>
        <s v="17-246-6194"/>
        <s v="26-672-1285"/>
        <s v="00-265-0556"/>
        <s v="76-397-3294"/>
        <s v="43-612-8079"/>
        <s v="17-213-2834"/>
        <s v="36-214-1586"/>
        <s v="32-414-1466"/>
        <s v="12-699-6543"/>
        <s v="83-427-3218"/>
        <s v="61-663-9008"/>
        <s v="86-917-7481"/>
        <s v="66-086-2306"/>
        <s v="43-671-9834"/>
        <s v="90-888-8726"/>
        <s v="23-085-0811"/>
        <s v="85-192-9218"/>
        <s v="82-671-7236"/>
        <s v="42-674-3987"/>
        <s v="41-934-7739"/>
        <s v="48-825-0400"/>
        <s v="30-133-5120"/>
        <s v="29-827-8515"/>
        <s v="91-724-4633"/>
        <s v="10-328-5732"/>
        <s v="38-912-1128"/>
        <s v="07-751-9620"/>
        <s v="81-877-9170"/>
        <s v="19-885-2597"/>
        <s v="82-389-2029"/>
        <s v="97-463-0048"/>
        <s v="91-572-6135"/>
        <s v="10-232-0685"/>
        <s v="77-761-7475"/>
        <s v="78-826-3039"/>
        <s v="86-668-1045"/>
        <s v="14-603-9698"/>
        <s v="23-752-2213"/>
        <s v="71-486-8561"/>
        <s v="76-382-7162"/>
        <s v="28-947-4295"/>
        <s v="84-765-0748"/>
        <s v="54-207-8349"/>
        <s v="20-419-0341"/>
        <s v="52-005-9914"/>
        <s v="34-846-7805"/>
        <s v="26-596-5461"/>
        <s v="20-157-8631"/>
        <s v="91-199-9097"/>
        <s v="55-846-2579"/>
        <s v="83-455-7266"/>
        <s v="67-599-9267"/>
        <s v="41-501-9276"/>
        <s v="99-509-4653"/>
        <s v="31-284-5722"/>
        <s v="88-000-9227"/>
        <s v="52-726-9328"/>
        <s v="60-198-5417"/>
        <s v="00-107-4749"/>
        <s v="88-428-8409"/>
        <s v="21-313-7424"/>
        <s v="79-973-7862"/>
        <s v="81-814-3498"/>
        <s v="34-375-8138"/>
        <s v="05-067-9686"/>
        <s v="61-951-7929"/>
        <s v="53-667-0793"/>
        <s v="61-212-1117"/>
        <s v="09-443-7536"/>
        <s v="27-463-5671"/>
        <s v="53-380-3968"/>
        <s v="42-969-0735"/>
        <s v="12-440-5464"/>
        <s v="33-467-2534"/>
        <s v="35-418-0288"/>
        <s v="33-787-2143"/>
        <s v="58-528-6262"/>
        <s v="31-060-2716"/>
        <s v="81-515-5823"/>
        <s v="90-858-0453"/>
        <s v="28-874-8938"/>
        <s v="89-625-5542"/>
        <s v="07-966-8728"/>
        <s v="94-408-2581"/>
        <s v="55-301-9368"/>
        <s v="72-336-1992"/>
        <s v="06-008-2805"/>
        <s v="77-178-6086"/>
        <s v="28-832-2885"/>
        <s v="75-210-7391"/>
        <s v="60-470-3563"/>
        <s v="24-241-7171"/>
        <s v="53-784-1855"/>
        <s v="83-561-3374"/>
        <s v="96-121-0629"/>
        <s v="00-275-9990"/>
        <s v="36-593-2907"/>
        <s v="22-692-3470"/>
        <s v="90-322-7329"/>
        <s v="28-395-9872"/>
        <s v="79-297-1061"/>
        <s v="93-649-9356"/>
        <s v="27-543-7069"/>
        <s v="96-079-9597"/>
        <s v="38-940-4942"/>
        <s v="82-014-2564"/>
        <s v="70-699-5799"/>
        <s v="53-240-2040"/>
        <s v="27-742-2776"/>
        <s v="55-620-7906"/>
        <s v="04-213-4617"/>
        <s v="79-384-7469"/>
        <s v="30-839-5589"/>
        <s v="76-848-9229"/>
        <s v="98-559-6096"/>
        <s v="56-810-2066"/>
        <s v="55-580-7707"/>
        <s v="18-605-0795"/>
        <s v="86-268-2904"/>
        <s v="75-847-7630"/>
        <s v="76-910-2337"/>
        <s v="56-719-7145"/>
        <s v="14-025-2335"/>
        <s v="10-300-8072"/>
        <s v="73-698-2326"/>
        <s v="01-023-2094"/>
        <s v="65-359-4645"/>
        <s v="33-405-7978"/>
        <s v="09-783-7921"/>
        <s v="76-561-2427"/>
        <s v="82-467-3300"/>
        <s v="92-946-7398"/>
        <s v="59-891-2990"/>
        <s v="22-579-3978"/>
        <s v="22-352-0576"/>
        <s v="28-676-0614"/>
        <s v="07-211-9364"/>
        <s v="98-238-6733"/>
        <s v="72-006-3769"/>
        <s v="75-845-3143"/>
        <s v="26-028-2671"/>
        <s v="55-876-7407"/>
        <s v="47-720-9520"/>
        <s v="42-207-5005"/>
        <s v="47-266-2261"/>
        <s v="77-642-7686"/>
        <s v="37-468-8133"/>
        <s v="00-335-5034"/>
        <s v="95-148-1769"/>
        <s v="72-324-1243"/>
        <s v="62-687-5354"/>
        <s v="54-634-0814"/>
        <s v="64-769-5737"/>
        <s v="62-892-2088"/>
        <s v="53-951-2529"/>
        <s v="00-264-3797"/>
        <s v="88-445-9235"/>
        <s v="65-539-9955"/>
        <s v="89-730-1134"/>
        <s v="74-051-7865"/>
        <s v="40-450-4266"/>
        <s v="78-796-5651"/>
        <s v="78-163-4800"/>
        <s v="90-272-5701"/>
        <s v="14-118-5229"/>
        <s v="24-662-2119"/>
        <s v="61-794-8438"/>
        <s v="21-959-5766"/>
        <s v="42-518-2602"/>
        <s v="35-850-8676"/>
        <s v="07-958-2231"/>
        <s v="78-503-0416"/>
        <s v="46-167-7999"/>
        <s v="93-989-8649"/>
        <s v="98-130-8811"/>
        <s v="18-614-2070"/>
        <s v="80-277-3242"/>
        <s v="44-949-9040"/>
        <s v="04-545-9162"/>
        <s v="51-320-2801"/>
        <s v="50-510-5119"/>
        <s v="63-964-6954"/>
        <s v="55-569-9247"/>
        <s v="02-911-0447"/>
        <s v="77-626-7240"/>
        <s v="75-915-9803"/>
        <s v="78-905-2660"/>
        <s v="02-677-6735"/>
        <s v="20-460-9796"/>
        <s v="57-587-4005"/>
        <s v="99-477-8256"/>
        <s v="03-992-3728"/>
        <s v="24-878-4507"/>
        <s v="22-106-8347"/>
        <s v="81-479-0790"/>
        <s v="03-023-9932"/>
        <s v="36-632-2460"/>
        <s v="32-799-7704"/>
        <s v="09-369-0588"/>
        <s v="87-727-6434"/>
        <s v="18-793-9543"/>
        <s v="63-625-5757"/>
        <s v="93-413-4758"/>
        <s v="15-663-7994"/>
        <s v="29-319-4519"/>
        <s v="40-347-2903"/>
        <s v="18-452-1635"/>
        <s v="47-710-5471"/>
        <s v="88-167-7129"/>
        <s v="86-771-9082"/>
        <s v="46-678-4172"/>
        <s v="14-249-1256"/>
        <s v="75-617-1460"/>
        <s v="10-247-0192"/>
        <s v="94-120-9525"/>
        <s v="22-234-9315"/>
        <s v="37-560-7247"/>
        <s v="91-857-0797"/>
        <s v="19-344-0102"/>
        <s v="48-609-7715"/>
        <s v="13-571-6506"/>
        <s v="47-073-6440"/>
        <s v="50-303-1693"/>
        <s v="69-157-9577"/>
        <s v="09-513-4923"/>
        <s v="82-975-8569"/>
        <s v="70-774-7728"/>
        <s v="13-015-8097"/>
        <s v="68-391-7279"/>
        <s v="28-764-3337"/>
        <s v="00-285-9607"/>
        <s v="04-832-3559"/>
        <s v="27-613-5005"/>
        <s v="49-825-3438"/>
        <s v="31-783-9785"/>
        <s v="58-059-8187"/>
        <s v="74-882-6648"/>
        <s v="03-180-9200"/>
        <s v="46-578-1425"/>
        <s v="13-588-5783"/>
        <s v="25-085-7917"/>
        <s v="66-085-1226"/>
        <s v="37-037-1765"/>
        <s v="48-630-6410"/>
        <s v="50-471-0212"/>
        <s v="48-642-5768"/>
        <s v="15-152-9751"/>
        <s v="23-451-9920"/>
        <s v="09-775-4058"/>
        <s v="43-595-0966"/>
        <s v="56-592-0089"/>
        <s v="29-374-1297"/>
        <s v="80-728-6133"/>
        <s v="58-502-7490"/>
        <s v="23-537-0742"/>
        <s v="22-483-3115"/>
        <s v="57-372-5969"/>
        <s v="37-283-9076"/>
        <s v="39-075-3518"/>
        <s v="84-315-7189"/>
        <s v="75-964-5589"/>
        <s v="06-594-3417"/>
        <s v="08-297-3351"/>
        <s v="05-546-5128"/>
        <s v="79-759-6726"/>
        <s v="12-851-1771"/>
        <s v="79-960-1714"/>
        <s v="30-417-6981"/>
        <s v="91-532-5399"/>
        <s v="89-997-9041"/>
        <s v="26-235-6745"/>
        <s v="99-080-9462"/>
        <s v="87-056-8987"/>
        <s v="06-160-8063"/>
        <s v="73-434-2308"/>
        <s v="84-260-6464"/>
        <s v="00-149-4481"/>
        <s v="05-710-6109"/>
        <s v="84-724-8407"/>
        <s v="45-795-1873"/>
        <s v="06-647-3248"/>
        <s v="06-767-5206"/>
        <s v="94-288-4423"/>
        <s v="49-891-9711"/>
        <s v="08-806-0588"/>
        <s v="94-746-2001"/>
        <s v="38-943-5744"/>
        <s v="98-535-8497"/>
        <s v="33-243-8793"/>
        <s v="99-581-5577"/>
        <s v="64-180-2404"/>
        <s v="73-097-0986"/>
        <s v="88-051-0567"/>
        <s v="44-715-9594"/>
        <s v="84-188-6577"/>
        <s v="19-116-4723"/>
        <s v="21-783-9242"/>
        <s v="95-528-2313"/>
        <s v="94-682-4886"/>
        <s v="55-944-9669"/>
        <s v="32-314-2958"/>
        <s v="67-697-2331"/>
        <s v="28-855-1639"/>
        <s v="38-069-8615"/>
        <s v="58-233-5963"/>
        <s v="02-004-0620"/>
        <s v="78-822-9328"/>
        <s v="73-359-1998"/>
        <s v="84-459-7736"/>
        <s v="07-395-5818"/>
        <s v="07-560-6637"/>
        <s v="61-926-1691"/>
        <s v="68-129-1060"/>
        <s v="04-052-5592"/>
        <s v="41-215-6092"/>
        <s v="89-833-7175"/>
        <s v="08-117-9893"/>
        <s v="24-109-2173"/>
        <s v="79-939-2140"/>
        <s v="95-999-0984"/>
        <s v="64-799-3174"/>
        <s v="27-018-2262"/>
        <s v="38-881-0766"/>
        <s v="17-344-8603"/>
        <s v="51-387-9144"/>
        <s v="42-101-8525"/>
        <s v="69-157-6752"/>
        <s v="27-843-5553"/>
        <s v="04-468-5487"/>
        <s v="08-584-8296"/>
        <s v="81-014-4502"/>
        <s v="65-167-9819"/>
        <s v="19-925-2376"/>
        <s v="03-669-7519"/>
        <s v="00-520-4376"/>
        <s v="62-701-1037"/>
        <s v="87-806-4478"/>
        <s v="04-809-8989"/>
        <s v="39-867-1989"/>
        <s v="45-584-7333"/>
        <s v="85-885-6579"/>
        <s v="65-457-2840"/>
        <s v="82-726-1255"/>
        <s v="90-602-3583"/>
        <s v="02-711-1034"/>
        <s v="27-347-7437"/>
        <s v="95-675-7816"/>
        <s v="87-418-1400"/>
        <s v="73-991-0066"/>
        <s v="62-273-8089"/>
        <s v="51-220-3072"/>
        <s v="17-648-0171"/>
        <s v="11-975-9054"/>
        <s v="75-518-2831"/>
        <s v="13-297-9777"/>
        <s v="81-604-7906"/>
        <s v="87-518-0375"/>
        <s v="53-437-2629"/>
        <s v="46-681-0764"/>
        <s v="43-990-6454"/>
        <s v="55-570-3804"/>
        <s v="29-067-4901"/>
        <s v="93-957-6269"/>
        <s v="81-225-6647"/>
        <s v="64-706-7841"/>
        <s v="47-178-9529"/>
        <s v="63-808-3641"/>
        <s v="85-738-8909"/>
        <s v="40-224-1057"/>
        <s v="24-853-1635"/>
        <s v="61-627-1822"/>
        <s v="89-392-5002"/>
        <s v="71-573-6085"/>
        <s v="91-810-3612"/>
        <s v="07-323-0255"/>
        <s v="81-054-5343"/>
        <s v="14-854-9545"/>
        <s v="52-150-4629"/>
        <s v="48-918-4473"/>
        <s v="06-764-5496"/>
        <s v="67-036-4295"/>
        <s v="35-880-9374"/>
        <s v="08-614-6177"/>
        <s v="35-879-0014"/>
        <s v="91-570-2695"/>
        <s v="54-193-3526"/>
        <s v="55-237-7991"/>
        <s v="90-569-7391"/>
        <s v="88-395-8741"/>
        <s v="06-638-0433"/>
        <s v="84-208-7045"/>
        <s v="71-568-0867"/>
        <s v="18-925-1867"/>
        <s v="69-394-1424"/>
        <s v="91-695-8237"/>
        <s v="68-458-0904"/>
        <s v="28-862-5550"/>
        <s v="85-666-7449"/>
        <s v="30-987-7421"/>
        <s v="39-107-6852"/>
        <s v="85-467-6564"/>
        <s v="82-692-9306"/>
        <s v="18-593-8611"/>
        <s v="93-093-0556"/>
        <s v="59-080-5779"/>
        <s v="64-915-2968"/>
        <s v="94-495-3402"/>
        <s v="84-458-6432"/>
        <s v="46-452-3822"/>
        <s v="54-877-5699"/>
        <s v="15-146-4456"/>
        <s v="76-620-2994"/>
        <s v="60-834-3348"/>
        <s v="77-742-5663"/>
        <s v="05-167-0833"/>
        <s v="86-182-9556"/>
        <s v="14-415-2802"/>
        <s v="49-469-9163"/>
        <s v="67-937-6624"/>
        <s v="91-761-9492"/>
        <s v="19-184-7665"/>
        <s v="19-383-9741"/>
        <s v="15-625-4047"/>
        <s v="81-820-4735"/>
        <s v="71-436-6908"/>
        <s v="73-145-5784"/>
        <s v="50-637-1630"/>
        <s v="44-938-7475"/>
        <s v="55-279-3045"/>
        <s v="59-997-3903"/>
        <s v="12-029-9344"/>
        <s v="41-130-2570"/>
        <s v="25-285-7453"/>
        <s v="47-225-8686"/>
        <s v="33-519-4214"/>
        <s v="03-991-2098"/>
        <s v="30-735-8744"/>
        <s v="13-848-5757"/>
        <s v="21-300-2001"/>
        <s v="38-587-1781"/>
        <s v="66-557-1474"/>
        <s v="03-422-8710"/>
        <s v="39-731-8532"/>
        <s v="80-830-3184"/>
        <s v="97-505-8416"/>
        <s v="98-585-4742"/>
        <s v="51-302-9537"/>
        <s v="88-313-2633"/>
        <s v="61-286-0069"/>
        <s v="35-907-0586"/>
        <s v="30-522-1574"/>
        <s v="43-715-8777"/>
        <s v="94-692-4313"/>
        <s v="96-915-4091"/>
        <s v="67-073-5578"/>
        <s v="27-010-9462"/>
        <s v="19-689-4556"/>
        <s v="53-143-6147"/>
        <s v="02-725-7664"/>
        <s v="54-439-4748"/>
        <s v="66-949-9895"/>
        <s v="20-648-1010"/>
        <s v="79-939-5393"/>
        <s v="89-249-8369"/>
        <s v="85-366-1482"/>
        <s v="34-874-7357"/>
        <s v="11-820-5039"/>
        <s v="73-846-1423"/>
        <s v="90-363-8040"/>
        <s v="65-533-1660"/>
        <s v="98-376-8787"/>
        <s v="18-938-9896"/>
        <s v="04-829-7037"/>
        <s v="93-455-0576"/>
        <s v="84-637-9188"/>
        <s v="81-111-7832"/>
        <s v="77-401-8183"/>
        <s v="01-484-8220"/>
        <s v="11-121-0709"/>
        <s v="36-649-0081"/>
        <s v="61-176-8712"/>
        <s v="75-526-2611"/>
        <s v="72-339-1854"/>
        <s v="80-360-6324"/>
        <s v="24-591-4327"/>
        <s v="58-487-8848"/>
        <s v="61-453-3503"/>
        <s v="63-680-7694"/>
        <s v="51-431-7150"/>
        <s v="23-039-9347"/>
        <s v="18-832-6916"/>
        <s v="29-438-8126"/>
        <s v="68-201-1633"/>
        <s v="07-314-2945"/>
        <s v="64-490-6975"/>
        <s v="91-789-3191"/>
        <s v="83-714-9649"/>
        <s v="33-203-4230"/>
        <s v="90-918-2833"/>
        <s v="53-409-1176"/>
        <s v="52-491-3386"/>
        <s v="10-870-3357"/>
        <s v="41-816-7753"/>
        <s v="68-296-5978"/>
        <s v="03-874-9055"/>
        <s v="28-123-8406"/>
        <s v="01-089-2223"/>
        <s v="23-758-1012"/>
        <s v="34-788-8387"/>
        <s v="53-865-9342"/>
        <s v="79-052-8470"/>
        <s v="86-359-7320"/>
        <s v="27-111-2242"/>
        <s v="84-538-0238"/>
        <s v="04-660-2742"/>
        <s v="96-496-9833"/>
        <s v="27-672-6081"/>
        <s v="66-033-0540"/>
        <s v="99-643-9845"/>
        <s v="27-571-9402"/>
        <s v="10-430-5821"/>
        <s v="36-835-7445"/>
        <s v="41-602-4042"/>
        <s v="63-743-6962"/>
        <s v="66-772-9922"/>
        <s v="23-246-5927"/>
        <s v="74-022-7557"/>
        <s v="78-214-5658"/>
        <s v="25-286-8786"/>
        <s v="55-955-9889"/>
        <s v="34-237-3943"/>
        <s v="19-386-9088"/>
        <s v="16-583-2801"/>
        <s v="83-752-5439"/>
        <s v="25-485-2023"/>
        <s v="90-822-7664"/>
        <s v="22-039-6819"/>
        <s v="50-395-1941"/>
        <s v="99-771-9310"/>
        <s v="18-518-0140"/>
        <s v="57-000-8646"/>
        <s v="81-926-9297"/>
        <s v="53-070-2625"/>
        <s v="63-217-7638"/>
        <s v="64-120-6212"/>
        <s v="01-404-3425"/>
        <s v="68-971-6148"/>
        <s v="22-053-4627"/>
        <s v="09-258-0424"/>
        <s v="56-782-9001"/>
        <s v="05-506-7216"/>
        <s v="47-356-9730"/>
        <s v="42-898-6421"/>
        <s v="17-364-8685"/>
        <s v="13-618-9438"/>
        <s v="32-457-2982"/>
        <s v="43-386-2489"/>
        <s v="67-438-2378"/>
        <s v="65-431-1264"/>
        <s v="73-367-8478"/>
        <s v="84-162-8799"/>
        <s v="51-546-9992"/>
        <s v="89-189-3295"/>
        <s v="45-776-7217"/>
        <s v="71-354-5174"/>
        <s v="05-975-6985"/>
        <s v="42-859-2475"/>
        <s v="34-094-1923"/>
        <s v="57-797-8139"/>
        <s v="21-048-8669"/>
        <s v="30-038-8752"/>
        <s v="06-237-7338"/>
        <s v="71-817-5422"/>
        <s v="68-512-0568"/>
        <s v="18-633-9387"/>
        <s v="08-977-4418"/>
        <s v="97-738-8095"/>
        <s v="15-421-1255"/>
        <s v="92-142-4328"/>
        <s v="06-357-6548"/>
        <s v="59-261-4453"/>
        <s v="35-644-3184"/>
        <s v="30-528-9105"/>
        <s v="14-709-8547"/>
        <s v="80-508-9866"/>
        <s v="27-100-0661"/>
        <s v="68-488-7343"/>
        <s v="63-304-1852"/>
        <s v="53-843-5619"/>
        <s v="44-786-7696"/>
        <s v="45-631-4619"/>
        <s v="11-850-1953"/>
        <s v="20-421-2544"/>
        <s v="37-100-8709"/>
        <s v="78-361-5100"/>
        <s v="67-676-5945"/>
        <s v="67-639-5838"/>
        <s v="51-415-1931"/>
        <s v="96-764-3843"/>
        <s v="16-730-2056"/>
        <s v="22-157-2494"/>
        <s v="29-341-6463"/>
        <s v="64-906-4475"/>
        <s v="36-340-8494"/>
        <s v="77-031-4898"/>
        <s v="86-097-9642"/>
        <s v="64-090-3433"/>
        <s v="96-140-1936"/>
        <s v="38-830-6976"/>
        <s v="82-864-1154"/>
        <s v="79-711-6779"/>
        <s v="22-860-9860"/>
        <s v="72-590-6161"/>
        <s v="76-213-5806"/>
        <s v="66-894-5431"/>
        <s v="20-939-3906"/>
        <s v="86-390-9555"/>
        <s v="91-602-0761"/>
        <s v="62-974-7965"/>
        <s v="21-232-1397"/>
        <s v="31-364-4144"/>
        <s v="99-945-7193"/>
        <s v="91-053-3261"/>
        <s v="50-447-5171"/>
        <s v="89-754-7244"/>
        <s v="56-072-7011"/>
        <s v="74-281-3421"/>
        <s v="86-068-2133"/>
        <s v="03-102-0288"/>
        <s v="74-033-1145"/>
        <s v="24-272-6205"/>
        <s v="90-170-1951"/>
        <s v="73-259-8940"/>
        <s v="77-796-5786"/>
        <s v="23-949-1954"/>
        <s v="51-313-7293"/>
        <s v="62-797-9254"/>
        <s v="27-941-4995"/>
        <s v="01-799-2615"/>
        <s v="82-133-0444"/>
        <s v="43-920-9499"/>
        <s v="17-551-9779"/>
        <s v="49-037-2300"/>
        <s v="95-876-9757"/>
        <s v="47-947-4888"/>
        <s v="83-003-2165"/>
        <s v="27-619-9264"/>
        <s v="49-476-1729"/>
        <s v="64-803-7087"/>
        <s v="01-925-4021"/>
        <s v="51-116-5937"/>
        <s v="72-454-2741"/>
        <s v="96-484-1000"/>
        <s v="07-834-3350"/>
        <s v="11-802-5604"/>
        <s v="41-750-4105"/>
        <s v="31-491-8457"/>
        <s v="86-257-9581"/>
        <s v="22-981-6595"/>
        <s v="54-002-5845"/>
        <s v="31-927-7787"/>
        <s v="46-098-9737"/>
        <s v="27-017-7173"/>
        <s v="53-102-9949"/>
        <s v="02-676-9312"/>
        <s v="28-969-7540"/>
        <s v="30-083-9565"/>
        <s v="30-975-0306"/>
        <s v="14-364-4904"/>
        <s v="08-652-2085"/>
        <s v="67-037-2087"/>
        <s v="09-737-8354"/>
        <s v="12-417-5609"/>
        <s v="25-096-6830"/>
        <s v="91-558-5922"/>
        <s v="25-560-4506"/>
        <s v="33-609-0598"/>
        <s v="45-337-1798"/>
        <s v="34-265-8558"/>
        <s v="67-323-7406"/>
        <s v="40-149-8247"/>
        <s v="37-361-8691"/>
        <s v="17-763-9416"/>
        <s v="56-453-8263"/>
        <s v="19-560-0717"/>
        <s v="40-199-1803"/>
        <s v="09-332-0236"/>
        <s v="83-982-5300"/>
        <s v="46-662-1571"/>
        <s v="20-699-9217"/>
        <s v="26-150-0209"/>
        <s v="94-985-5336"/>
        <s v="97-715-3606"/>
        <s v="02-100-4320"/>
        <s v="16-070-0138"/>
        <s v="82-474-5074"/>
        <s v="36-444-5336"/>
        <s v="54-680-5344"/>
        <s v="16-364-8096"/>
        <s v="62-644-8183"/>
        <s v="59-971-0799"/>
        <s v="64-031-2046"/>
        <s v="87-079-0237"/>
        <s v="78-091-8662"/>
        <s v="62-720-2922"/>
        <s v="47-528-3961"/>
        <s v="21-808-2293"/>
        <s v="22-022-9256"/>
        <s v="96-772-7220"/>
        <s v="25-866-7286"/>
        <s v="72-694-4159"/>
        <s v="10-079-8237"/>
        <s v="47-460-8015"/>
        <s v="06-061-0023"/>
        <s v="80-487-2550"/>
        <s v="23-617-2637"/>
        <s v="60-005-5187"/>
        <s v="24-371-5870"/>
        <s v="02-055-8248"/>
        <s v="54-238-5459"/>
        <s v="85-922-0190"/>
        <s v="48-271-1908"/>
        <s v="46-978-3874"/>
        <s v="53-595-7635"/>
        <s v="08-185-6608"/>
        <s v="20-562-2569"/>
        <s v="41-366-4205"/>
        <s v="77-241-7621"/>
        <s v="53-091-2176"/>
        <s v="48-203-9118"/>
      </sharedItems>
    </cacheField>
    <cacheField name="Age" numFmtId="0">
      <sharedItems containsSemiMixedTypes="0" containsString="0" containsNumber="1" containsInteger="1" minValue="18" maxValue="50"/>
    </cacheField>
    <cacheField name="Gender" numFmtId="0">
      <sharedItems/>
    </cacheField>
    <cacheField name="Income_Level" numFmtId="0">
      <sharedItems count="2">
        <s v="Middle"/>
        <s v="High"/>
      </sharedItems>
    </cacheField>
    <cacheField name="Marital_Status" numFmtId="0">
      <sharedItems count="4">
        <s v="Married"/>
        <s v="Single"/>
        <s v="Widowed"/>
        <s v="Divorced"/>
      </sharedItems>
    </cacheField>
    <cacheField name="Education_Level" numFmtId="0">
      <sharedItems count="3">
        <s v="Bachelor's"/>
        <s v="High School"/>
        <s v="Master's"/>
      </sharedItems>
    </cacheField>
    <cacheField name="Occupation" numFmtId="0">
      <sharedItems count="2">
        <s v="Middle"/>
        <s v="High"/>
      </sharedItems>
    </cacheField>
    <cacheField name="Location" numFmtId="0">
      <sharedItems/>
    </cacheField>
    <cacheField name="Purchase_Category" numFmtId="0">
      <sharedItems/>
    </cacheField>
    <cacheField name="Purchase_Amount" numFmtId="0">
      <sharedItems containsSemiMixedTypes="0" containsString="0" containsNumber="1" minValue="50.71" maxValue="498.33" count="989">
        <n v="333.8"/>
        <n v="222.22"/>
        <n v="426.22"/>
        <n v="101.31"/>
        <n v="211.7"/>
        <n v="487.95"/>
        <n v="486.4"/>
        <n v="218.06"/>
        <n v="201.96"/>
        <n v="418.83"/>
        <n v="389.7"/>
        <n v="238.93"/>
        <n v="61.22"/>
        <n v="79.81"/>
        <n v="58.51"/>
        <n v="109.29"/>
        <n v="356.45"/>
        <n v="236.99"/>
        <n v="454.39"/>
        <n v="490.75"/>
        <n v="463.07"/>
        <n v="56.74"/>
        <n v="371.32"/>
        <n v="461"/>
        <n v="253.37"/>
        <n v="136.53"/>
        <n v="489.05"/>
        <n v="81.91"/>
        <n v="135.80000000000001"/>
        <n v="382.24"/>
        <n v="354.7"/>
        <n v="433.82"/>
        <n v="282.13"/>
        <n v="454.38"/>
        <n v="138.88"/>
        <n v="52.34"/>
        <n v="338.2"/>
        <n v="263.14999999999998"/>
        <n v="371.58"/>
        <n v="353.4"/>
        <n v="329.41"/>
        <n v="54.46"/>
        <n v="257.12"/>
        <n v="293.04000000000002"/>
        <n v="110.4"/>
        <n v="76.27"/>
        <n v="392.08"/>
        <n v="51.22"/>
        <n v="227.57"/>
        <n v="378.87"/>
        <n v="423.92"/>
        <n v="111.24"/>
        <n v="299.31"/>
        <n v="169.28"/>
        <n v="449.13"/>
        <n v="427.48"/>
        <n v="171.61"/>
        <n v="240.28"/>
        <n v="310.17"/>
        <n v="166"/>
        <n v="362.01"/>
        <n v="348.5"/>
        <n v="395.97"/>
        <n v="474.99"/>
        <n v="286.43"/>
        <n v="333.32"/>
        <n v="223.47"/>
        <n v="414.83"/>
        <n v="391.38"/>
        <n v="368.4"/>
        <n v="328.36"/>
        <n v="424.39"/>
        <n v="197.12"/>
        <n v="454.57"/>
        <n v="298.38"/>
        <n v="111.7"/>
        <n v="373.69"/>
        <n v="354.87"/>
        <n v="214.48"/>
        <n v="399.58"/>
        <n v="380.99"/>
        <n v="79"/>
        <n v="113.88"/>
        <n v="121.57"/>
        <n v="215.54"/>
        <n v="87.03"/>
        <n v="111.75"/>
        <n v="136.19999999999999"/>
        <n v="439.31"/>
        <n v="194.93"/>
        <n v="377.67"/>
        <n v="108.61"/>
        <n v="366.77"/>
        <n v="178.04"/>
        <n v="461.09"/>
        <n v="211.16"/>
        <n v="421.95"/>
        <n v="378.59"/>
        <n v="268.93"/>
        <n v="444.87"/>
        <n v="160.82"/>
        <n v="494.18"/>
        <n v="177.05"/>
        <n v="450.66"/>
        <n v="164.27"/>
        <n v="346.36"/>
        <n v="377.77"/>
        <n v="163.41"/>
        <n v="467.58"/>
        <n v="247.51"/>
        <n v="365.1"/>
        <n v="485.42"/>
        <n v="250.54"/>
        <n v="163.13999999999999"/>
        <n v="162.31"/>
        <n v="328.21"/>
        <n v="268.58999999999997"/>
        <n v="257.37"/>
        <n v="205.49"/>
        <n v="407.91"/>
        <n v="254.73"/>
        <n v="397.78"/>
        <n v="305.29000000000002"/>
        <n v="257.86"/>
        <n v="393.45"/>
        <n v="58.49"/>
        <n v="226.48"/>
        <n v="469.22"/>
        <n v="335.32"/>
        <n v="184.74"/>
        <n v="442.18"/>
        <n v="427.1"/>
        <n v="326.82"/>
        <n v="98.97"/>
        <n v="77.650000000000006"/>
        <n v="85.61"/>
        <n v="164.79"/>
        <n v="235.46"/>
        <n v="245.14"/>
        <n v="439.91"/>
        <n v="309.22000000000003"/>
        <n v="146.59"/>
        <n v="298.73"/>
        <n v="395.01"/>
        <n v="371.19"/>
        <n v="193.76"/>
        <n v="424.27"/>
        <n v="496.11"/>
        <n v="341.91"/>
        <n v="127.66"/>
        <n v="227.47"/>
        <n v="342.99"/>
        <n v="306.48"/>
        <n v="308.54000000000002"/>
        <n v="124.17"/>
        <n v="78"/>
        <n v="393.03"/>
        <n v="102.09"/>
        <n v="426.21"/>
        <n v="140.31"/>
        <n v="413.7"/>
        <n v="348.63"/>
        <n v="91.27"/>
        <n v="359.94"/>
        <n v="138.19999999999999"/>
        <n v="196.33"/>
        <n v="249.24"/>
        <n v="129.1"/>
        <n v="112.69"/>
        <n v="267.85000000000002"/>
        <n v="205.36"/>
        <n v="79.099999999999994"/>
        <n v="256.63"/>
        <n v="409.98"/>
        <n v="291.60000000000002"/>
        <n v="101.7"/>
        <n v="369.73"/>
        <n v="71"/>
        <n v="280.05"/>
        <n v="54.71"/>
        <n v="119.51"/>
        <n v="57.5"/>
        <n v="225.05"/>
        <n v="441.15"/>
        <n v="481.21"/>
        <n v="102.96"/>
        <n v="331.57"/>
        <n v="101.29"/>
        <n v="143.52000000000001"/>
        <n v="276.48"/>
        <n v="352.87"/>
        <n v="228.68"/>
        <n v="301.39"/>
        <n v="473.5"/>
        <n v="72.8"/>
        <n v="171.72"/>
        <n v="467.5"/>
        <n v="209.79"/>
        <n v="150.33000000000001"/>
        <n v="98.63"/>
        <n v="193.3"/>
        <n v="145.02000000000001"/>
        <n v="294.99"/>
        <n v="305.45"/>
        <n v="432.42"/>
        <n v="227.58"/>
        <n v="160.88999999999999"/>
        <n v="139.1"/>
        <n v="268.27999999999997"/>
        <n v="64.489999999999995"/>
        <n v="80.17"/>
        <n v="277.52"/>
        <n v="53.67"/>
        <n v="323.39"/>
        <n v="98.02"/>
        <n v="231.26"/>
        <n v="382.49"/>
        <n v="255.42"/>
        <n v="423.23"/>
        <n v="276.08"/>
        <n v="333.56"/>
        <n v="129.82"/>
        <n v="278.77999999999997"/>
        <n v="112.55"/>
        <n v="142.02000000000001"/>
        <n v="481.84"/>
        <n v="165.01"/>
        <n v="56.85"/>
        <n v="182.89"/>
        <n v="373.01"/>
        <n v="220.77"/>
        <n v="291.08999999999997"/>
        <n v="414.06"/>
        <n v="408.51"/>
        <n v="103.4"/>
        <n v="67.92"/>
        <n v="354.16"/>
        <n v="276.77"/>
        <n v="190.25"/>
        <n v="203.49"/>
        <n v="263.5"/>
        <n v="247.3"/>
        <n v="50.71"/>
        <n v="131.85"/>
        <n v="459.39"/>
        <n v="383.33"/>
        <n v="212.08"/>
        <n v="370.73"/>
        <n v="319.66000000000003"/>
        <n v="373.05"/>
        <n v="393.78"/>
        <n v="245.04"/>
        <n v="111.27"/>
        <n v="93.29"/>
        <n v="156.5"/>
        <n v="290.11"/>
        <n v="355.28"/>
        <n v="73.739999999999995"/>
        <n v="170.35"/>
        <n v="123.7"/>
        <n v="201.6"/>
        <n v="116.14"/>
        <n v="483.38"/>
        <n v="418.62"/>
        <n v="139.83000000000001"/>
        <n v="54.17"/>
        <n v="437.59"/>
        <n v="113.57"/>
        <n v="305.54000000000002"/>
        <n v="339.12"/>
        <n v="323.39999999999998"/>
        <n v="472.61"/>
        <n v="68.02"/>
        <n v="199.44"/>
        <n v="250.73"/>
        <n v="372.49"/>
        <n v="186.85"/>
        <n v="73.319999999999993"/>
        <n v="214.59"/>
        <n v="467.32"/>
        <n v="475.65"/>
        <n v="161.38"/>
        <n v="249.78"/>
        <n v="149.88"/>
        <n v="347.09"/>
        <n v="345.49"/>
        <n v="297.24"/>
        <n v="494.34"/>
        <n v="443.52"/>
        <n v="457.18"/>
        <n v="407.88"/>
        <n v="448.68"/>
        <n v="255.96"/>
        <n v="146.07"/>
        <n v="311.89999999999998"/>
        <n v="301.60000000000002"/>
        <n v="297.45"/>
        <n v="157.26"/>
        <n v="239.46"/>
        <n v="240.82"/>
        <n v="302.07"/>
        <n v="367.99"/>
        <n v="359.75"/>
        <n v="204.44"/>
        <n v="228.93"/>
        <n v="355.31"/>
        <n v="334.67"/>
        <n v="182.72"/>
        <n v="260.22000000000003"/>
        <n v="454.93"/>
        <n v="325.42"/>
        <n v="351.36"/>
        <n v="333.63"/>
        <n v="469.9"/>
        <n v="207.52"/>
        <n v="125.89"/>
        <n v="170.77"/>
        <n v="63.91"/>
        <n v="340.55"/>
        <n v="378.14"/>
        <n v="235.84"/>
        <n v="164.44"/>
        <n v="455.81"/>
        <n v="298.32"/>
        <n v="351.71"/>
        <n v="393.48"/>
        <n v="241.72"/>
        <n v="280.2"/>
        <n v="347.99"/>
        <n v="343.81"/>
        <n v="105.29"/>
        <n v="483.66"/>
        <n v="69.41"/>
        <n v="207.18"/>
        <n v="454.15"/>
        <n v="113.01"/>
        <n v="419.13"/>
        <n v="183.86"/>
        <n v="53.87"/>
        <n v="427.82"/>
        <n v="282.82"/>
        <n v="215.31"/>
        <n v="183.66"/>
        <n v="198.73"/>
        <n v="265.72000000000003"/>
        <n v="138.35"/>
        <n v="441.87"/>
        <n v="178.29"/>
        <n v="77.08"/>
        <n v="266.89999999999998"/>
        <n v="269.83999999999997"/>
        <n v="334.22"/>
        <n v="474.56"/>
        <n v="360.91"/>
        <n v="373.49"/>
        <n v="462.3"/>
        <n v="332.67"/>
        <n v="235.39"/>
        <n v="269.77999999999997"/>
        <n v="498.33"/>
        <n v="182.94"/>
        <n v="121.7"/>
        <n v="489.27"/>
        <n v="303.93"/>
        <n v="302.74"/>
        <n v="157.21"/>
        <n v="159.44999999999999"/>
        <n v="312.93"/>
        <n v="65.680000000000007"/>
        <n v="61.86"/>
        <n v="343.77"/>
        <n v="107.21"/>
        <n v="148.97999999999999"/>
        <n v="490.41"/>
        <n v="461.34"/>
        <n v="338.89"/>
        <n v="222.63"/>
        <n v="71.95"/>
        <n v="264.52"/>
        <n v="414.8"/>
        <n v="50.79"/>
        <n v="264.3"/>
        <n v="122.46"/>
        <n v="238.01"/>
        <n v="490.34"/>
        <n v="245.98"/>
        <n v="390.83"/>
        <n v="158.84"/>
        <n v="439.24"/>
        <n v="92.43"/>
        <n v="333.15"/>
        <n v="64.22"/>
        <n v="290.52999999999997"/>
        <n v="251.8"/>
        <n v="480.52"/>
        <n v="461.71"/>
        <n v="288.33999999999997"/>
        <n v="194.08"/>
        <n v="198.45"/>
        <n v="216.45"/>
        <n v="358.72"/>
        <n v="367.56"/>
        <n v="88.78"/>
        <n v="465.85"/>
        <n v="262.61"/>
        <n v="91.24"/>
        <n v="425.69"/>
        <n v="446.11"/>
        <n v="490.11"/>
        <n v="403.57"/>
        <n v="442.15"/>
        <n v="78.709999999999994"/>
        <n v="491.51"/>
        <n v="457.39"/>
        <n v="178.61"/>
        <n v="492.51"/>
        <n v="411.4"/>
        <n v="96.52"/>
        <n v="65.45"/>
        <n v="255.86"/>
        <n v="74.69"/>
        <n v="430.75"/>
        <n v="370.17"/>
        <n v="384.26"/>
        <n v="128.01"/>
        <n v="301.39999999999998"/>
        <n v="397.25"/>
        <n v="96.18"/>
        <n v="390.44"/>
        <n v="61.5"/>
        <n v="234.44"/>
        <n v="318.83999999999997"/>
        <n v="327.32"/>
        <n v="475.64"/>
        <n v="68.59"/>
        <n v="133.04"/>
        <n v="196.63"/>
        <n v="473.96"/>
        <n v="472.52"/>
        <n v="335.8"/>
        <n v="85.57"/>
        <n v="108.5"/>
        <n v="172.5"/>
        <n v="212.8"/>
        <n v="324.41000000000003"/>
        <n v="342.39"/>
        <n v="446.86"/>
        <n v="463.15"/>
        <n v="122.99"/>
        <n v="322.39999999999998"/>
        <n v="73.19"/>
        <n v="279.08"/>
        <n v="478.85"/>
        <n v="86.39"/>
        <n v="192.35"/>
        <n v="235.32"/>
        <n v="212.63"/>
        <n v="246.63"/>
        <n v="228.47"/>
        <n v="339.32"/>
        <n v="327.05"/>
        <n v="334.45"/>
        <n v="366.16"/>
        <n v="481.78"/>
        <n v="131.47999999999999"/>
        <n v="402.86"/>
        <n v="333.18"/>
        <n v="73.23"/>
        <n v="450.47"/>
        <n v="175.74"/>
        <n v="182.6"/>
        <n v="497.8"/>
        <n v="171.17"/>
        <n v="425.82"/>
        <n v="210.58"/>
        <n v="199.64"/>
        <n v="162.22"/>
        <n v="401.75"/>
        <n v="365.88"/>
        <n v="58.29"/>
        <n v="66.86"/>
        <n v="279.33999999999997"/>
        <n v="358.5"/>
        <n v="360.92"/>
        <n v="374.36"/>
        <n v="435.37"/>
        <n v="459.3"/>
        <n v="426.89"/>
        <n v="365.37"/>
        <n v="487.25"/>
        <n v="187.22"/>
        <n v="396.82"/>
        <n v="246.74"/>
        <n v="128.74"/>
        <n v="339.63"/>
        <n v="223.58"/>
        <n v="446.92"/>
        <n v="175.65"/>
        <n v="491.49"/>
        <n v="88.4"/>
        <n v="430.9"/>
        <n v="435.23"/>
        <n v="218.65"/>
        <n v="207.66"/>
        <n v="141.09"/>
        <n v="142.69999999999999"/>
        <n v="64.09"/>
        <n v="126.26"/>
        <n v="195.05"/>
        <n v="432.84"/>
        <n v="404.12"/>
        <n v="438.26"/>
        <n v="233.02"/>
        <n v="273.41000000000003"/>
        <n v="338.96"/>
        <n v="75.91"/>
        <n v="425.21"/>
        <n v="268.8"/>
        <n v="170.71"/>
        <n v="444.05"/>
        <n v="255.1"/>
        <n v="236.44"/>
        <n v="201.69"/>
        <n v="390.51"/>
        <n v="442.29"/>
        <n v="89.6"/>
        <n v="166.74"/>
        <n v="299.27999999999997"/>
        <n v="404.57"/>
        <n v="344.81"/>
        <n v="217.84"/>
        <n v="445.34"/>
        <n v="151.72999999999999"/>
        <n v="123.73"/>
        <n v="370.54"/>
        <n v="152.87"/>
        <n v="295.75"/>
        <n v="358.11"/>
        <n v="63.6"/>
        <n v="419.53"/>
        <n v="491.92"/>
        <n v="114.44"/>
        <n v="388.82"/>
        <n v="58.32"/>
        <n v="464.76"/>
        <n v="116.92"/>
        <n v="396.76"/>
        <n v="393.35"/>
        <n v="114.03"/>
        <n v="109.97"/>
        <n v="310.23"/>
        <n v="383.13"/>
        <n v="434.86"/>
        <n v="489.1"/>
        <n v="288.14999999999998"/>
        <n v="105.87"/>
        <n v="163.4"/>
        <n v="422.92"/>
        <n v="361.48"/>
        <n v="270.82"/>
        <n v="372.26"/>
        <n v="208.59"/>
        <n v="163.22"/>
        <n v="364.98"/>
        <n v="142.43"/>
        <n v="449.72"/>
        <n v="241.56"/>
        <n v="249.73"/>
        <n v="437.3"/>
        <n v="277.29000000000002"/>
        <n v="445.93"/>
        <n v="242.79"/>
        <n v="393.09"/>
        <n v="167.61"/>
        <n v="324.22000000000003"/>
        <n v="159.30000000000001"/>
        <n v="324.39"/>
        <n v="198.89"/>
        <n v="287.18"/>
        <n v="162.24"/>
        <n v="92.97"/>
        <n v="144.38999999999999"/>
        <n v="209.62"/>
        <n v="411.62"/>
        <n v="388.01"/>
        <n v="50.78"/>
        <n v="159.82"/>
        <n v="79.430000000000007"/>
        <n v="131.36000000000001"/>
        <n v="299.75"/>
        <n v="319.38"/>
        <n v="476.48"/>
        <n v="301.01"/>
        <n v="378.71"/>
        <n v="314.32"/>
        <n v="210.9"/>
        <n v="218.26"/>
        <n v="424.18"/>
        <n v="162.94999999999999"/>
        <n v="209.68"/>
        <n v="97.97"/>
        <n v="192.51"/>
        <n v="151.81"/>
        <n v="239.28"/>
        <n v="306.17"/>
        <n v="370.38"/>
        <n v="346.58"/>
        <n v="292.64"/>
        <n v="102.91"/>
        <n v="283.77999999999997"/>
        <n v="51.44"/>
        <n v="405.7"/>
        <n v="311.74"/>
        <n v="293.43"/>
        <n v="418.51"/>
        <n v="85.03"/>
        <n v="164.94"/>
        <n v="89.32"/>
        <n v="388.26"/>
        <n v="106.69"/>
        <n v="301.16000000000003"/>
        <n v="61.71"/>
        <n v="83.33"/>
        <n v="411.81"/>
        <n v="114.93"/>
        <n v="438.42"/>
        <n v="189.97"/>
        <n v="227.03"/>
        <n v="278.49"/>
        <n v="120.56"/>
        <n v="320.94"/>
        <n v="217.72"/>
        <n v="222.61"/>
        <n v="102.73"/>
        <n v="426.87"/>
        <n v="473.28"/>
        <n v="446.03"/>
        <n v="287.95"/>
        <n v="132.52000000000001"/>
        <n v="379.2"/>
        <n v="447.53"/>
        <n v="138.44"/>
        <n v="440.62"/>
        <n v="145.97999999999999"/>
        <n v="405.66"/>
        <n v="419.98"/>
        <n v="260.14"/>
        <n v="368.91"/>
        <n v="100.32"/>
        <n v="107.82"/>
        <n v="83.88"/>
        <n v="81.25"/>
        <n v="125.8"/>
        <n v="197.9"/>
        <n v="299.08999999999997"/>
        <n v="79.3"/>
        <n v="55.73"/>
        <n v="256.44"/>
        <n v="337.21"/>
        <n v="494.97"/>
        <n v="238.58"/>
        <n v="131.9"/>
        <n v="403.03"/>
        <n v="338.6"/>
        <n v="365.38"/>
        <n v="433.99"/>
        <n v="495.95"/>
        <n v="356.22"/>
        <n v="156.4"/>
        <n v="454.36"/>
        <n v="486.07"/>
        <n v="427.86"/>
        <n v="235.13"/>
        <n v="361.27"/>
        <n v="195.83"/>
        <n v="340.31"/>
        <n v="489.67"/>
        <n v="482.5"/>
        <n v="433.14"/>
        <n v="375.7"/>
        <n v="381.3"/>
        <n v="210.21"/>
        <n v="408.81"/>
        <n v="118.65"/>
        <n v="166.45"/>
        <n v="385.32"/>
        <n v="293.99"/>
        <n v="161.41"/>
        <n v="130.91999999999999"/>
        <n v="468.6"/>
        <n v="237.57"/>
        <n v="395.18"/>
        <n v="427.94"/>
        <n v="81.23"/>
        <n v="257.43"/>
        <n v="305.73"/>
        <n v="249.82"/>
        <n v="332.79"/>
        <n v="78.900000000000006"/>
        <n v="122.55"/>
        <n v="307.61"/>
        <n v="152.33000000000001"/>
        <n v="465.07"/>
        <n v="498.23"/>
        <n v="491.18"/>
        <n v="149.41999999999999"/>
        <n v="82.13"/>
        <n v="425.18"/>
        <n v="176.12"/>
        <n v="70.3"/>
        <n v="319.39"/>
        <n v="113.51"/>
        <n v="492.74"/>
        <n v="143.80000000000001"/>
        <n v="158.54"/>
        <n v="213.39"/>
        <n v="127.18"/>
        <n v="476.63"/>
        <n v="56.02"/>
        <n v="398.97"/>
        <n v="53.45"/>
        <n v="61.19"/>
        <n v="471.31"/>
        <n v="179.19"/>
        <n v="294.61"/>
        <n v="375.45"/>
        <n v="83.5"/>
        <n v="109.88"/>
        <n v="182.54"/>
        <n v="465.48"/>
        <n v="224.52"/>
        <n v="281.37"/>
        <n v="125.68"/>
        <n v="178.21"/>
        <n v="483.23"/>
        <n v="415.3"/>
        <n v="85.52"/>
        <n v="422.31"/>
        <n v="70.42"/>
        <n v="437.4"/>
        <n v="207.11"/>
        <n v="349"/>
        <n v="330.27"/>
        <n v="410.29"/>
        <n v="400.86"/>
        <n v="225.12"/>
        <n v="273.48"/>
        <n v="363.84"/>
        <n v="302.60000000000002"/>
        <n v="317.08999999999997"/>
        <n v="193.32"/>
        <n v="282.24"/>
        <n v="154.19"/>
        <n v="84.15"/>
        <n v="214.69"/>
        <n v="61.21"/>
        <n v="462.48"/>
        <n v="449.18"/>
        <n v="314.36"/>
        <n v="367.7"/>
        <n v="229.97"/>
        <n v="226.53"/>
        <n v="218.32"/>
        <n v="132.66999999999999"/>
        <n v="416.96"/>
        <n v="459.51"/>
        <n v="487.96"/>
        <n v="150.11000000000001"/>
        <n v="218.87"/>
        <n v="437.06"/>
        <n v="122.58"/>
        <n v="195.07"/>
        <n v="190.06"/>
        <n v="485.76"/>
        <n v="242.57"/>
        <n v="303.13"/>
        <n v="136.1"/>
        <n v="249.02"/>
        <n v="466.74"/>
        <n v="229.3"/>
        <n v="450.52"/>
        <n v="246.44"/>
        <n v="93.52"/>
        <n v="137.75"/>
        <n v="78.64"/>
        <n v="214.82"/>
        <n v="57.39"/>
        <n v="363.91"/>
        <n v="304.79000000000002"/>
        <n v="363.98"/>
        <n v="249.6"/>
        <n v="345.04"/>
        <n v="59.15"/>
        <n v="461.81"/>
        <n v="280.88"/>
        <n v="283.7"/>
        <n v="411.95"/>
        <n v="476.11"/>
        <n v="399.24"/>
        <n v="90.79"/>
        <n v="229.56"/>
        <n v="160.47"/>
        <n v="104.74"/>
        <n v="399.95"/>
        <n v="337.33"/>
        <n v="204.83"/>
        <n v="193.94"/>
        <n v="460.37"/>
        <n v="297.29000000000002"/>
        <n v="389.47"/>
        <n v="370.05"/>
        <n v="462.24"/>
        <n v="472.53"/>
        <n v="407.29"/>
        <n v="135.65"/>
        <n v="352.35"/>
        <n v="441.73"/>
        <n v="105.95"/>
        <n v="351.54"/>
        <n v="321.26"/>
        <n v="421.5"/>
        <n v="253.29"/>
        <n v="217.62"/>
        <n v="226.04"/>
        <n v="52.79"/>
        <n v="385.08"/>
        <n v="181.1"/>
        <n v="246.41"/>
        <n v="140.87"/>
        <n v="151.25"/>
        <n v="171.52"/>
        <n v="399.56"/>
        <n v="173.46"/>
        <n v="332.14"/>
        <n v="247.05"/>
        <n v="354.92"/>
        <n v="195.46"/>
        <n v="474.03"/>
        <n v="106.96"/>
        <n v="371.84"/>
        <n v="461.16"/>
        <n v="497.75"/>
        <n v="492.83"/>
        <n v="295.54000000000002"/>
        <n v="494.81"/>
        <n v="160.25"/>
        <n v="198.36"/>
        <n v="82.39"/>
        <n v="290.56"/>
        <n v="206.79"/>
        <n v="401.43"/>
        <n v="188.17"/>
        <n v="83.21"/>
        <n v="54.74"/>
        <n v="371.12"/>
        <n v="293.64"/>
        <n v="185.83"/>
        <n v="117.13"/>
        <n v="52.24"/>
        <n v="446.69"/>
        <n v="216.84"/>
        <n v="75.27"/>
        <n v="308.87"/>
        <n v="169.77"/>
        <n v="289.08"/>
        <n v="74.09"/>
        <n v="201.53"/>
        <n v="244.6"/>
        <n v="320.5"/>
        <n v="91.63"/>
        <n v="251.93"/>
        <n v="477.35"/>
        <n v="86.63"/>
        <n v="474.42"/>
        <n v="429.24"/>
        <n v="470.38"/>
        <n v="495.8"/>
        <n v="129.63999999999999"/>
        <n v="473.77"/>
        <n v="130.84"/>
        <n v="436.54"/>
        <n v="264.01"/>
        <n v="58.27"/>
        <n v="190.76"/>
        <n v="105.76"/>
        <n v="254.29"/>
        <n v="435.52"/>
        <n v="235.49"/>
        <n v="161.34"/>
        <n v="167.67"/>
        <n v="96.68"/>
        <n v="234.58"/>
        <n v="156.47999999999999"/>
        <n v="489.66"/>
        <n v="161.85"/>
        <n v="204.47"/>
        <n v="315.02999999999997"/>
        <n v="330.36"/>
        <n v="456.83"/>
        <n v="236.05"/>
        <n v="289.27999999999997"/>
        <n v="483.77"/>
        <n v="64.5"/>
        <n v="436.57"/>
        <n v="364.48"/>
        <n v="221.88"/>
        <n v="278.20999999999998"/>
        <n v="344.43"/>
        <n v="326.08"/>
        <n v="437.97"/>
        <n v="391.87"/>
        <n v="333.41"/>
        <n v="251.54"/>
        <n v="292.08"/>
        <n v="204.29"/>
        <n v="258.68"/>
        <n v="258.02"/>
        <n v="181.87"/>
        <n v="81.180000000000007"/>
        <n v="382.94"/>
        <n v="402.82"/>
        <n v="497.76"/>
        <n v="263.57"/>
        <n v="422.09"/>
        <n v="411.83"/>
        <n v="242.65"/>
        <n v="298.93"/>
        <n v="191.21"/>
        <n v="136.66999999999999"/>
        <n v="324.11"/>
        <n v="105.64"/>
        <n v="295.60000000000002"/>
        <n v="485.77"/>
        <n v="173.43"/>
        <n v="462.96"/>
        <n v="203.13"/>
        <n v="443.11"/>
        <n v="254.83"/>
        <n v="336.89"/>
        <n v="337.17"/>
        <n v="197.7"/>
        <n v="336.96"/>
        <n v="489.81"/>
        <n v="455.55"/>
        <n v="266.61"/>
        <n v="460.88"/>
        <n v="361.4"/>
        <n v="51.86"/>
        <n v="310.16000000000003"/>
        <n v="300.73"/>
        <n v="356.87"/>
        <n v="82.37"/>
        <n v="372.6"/>
        <n v="78.319999999999993"/>
        <n v="71.72"/>
        <n v="241.1"/>
        <n v="96.86"/>
        <n v="276.25"/>
        <n v="318.45"/>
        <n v="117.03"/>
        <n v="476.42"/>
        <n v="392.27"/>
        <n v="207.24"/>
        <n v="141.63"/>
        <n v="244.47"/>
        <n v="251.63"/>
        <n v="431.78"/>
        <n v="303.08999999999997"/>
        <n v="341.24"/>
        <n v="211.39"/>
        <n v="379.21"/>
        <n v="309.52999999999997"/>
        <n v="359.45"/>
        <n v="479.62"/>
        <n v="208.6"/>
        <n v="180.21"/>
        <n v="362.3"/>
        <n v="159.53"/>
        <n v="149.52000000000001"/>
        <n v="206.32"/>
        <n v="308.58"/>
        <n v="91.34"/>
        <n v="455.44"/>
        <n v="468.16"/>
        <n v="463.67"/>
        <n v="69.78"/>
        <n v="453.37"/>
        <n v="106.15"/>
        <n v="378.47"/>
      </sharedItems>
    </cacheField>
    <cacheField name="Frequency_of_Purchase" numFmtId="0">
      <sharedItems containsSemiMixedTypes="0" containsString="0" containsNumber="1" containsInteger="1" minValue="2" maxValue="12"/>
    </cacheField>
    <cacheField name="Purchase_Channel" numFmtId="0">
      <sharedItems count="3">
        <s v="Mixed"/>
        <s v="In-Store"/>
        <s v="Online"/>
      </sharedItems>
    </cacheField>
    <cacheField name="Brand_Loyalty" numFmtId="0">
      <sharedItems containsSemiMixedTypes="0" containsString="0" containsNumber="1" containsInteger="1" minValue="1" maxValue="5"/>
    </cacheField>
    <cacheField name="Product_Rating" numFmtId="0">
      <sharedItems containsSemiMixedTypes="0" containsString="0" containsNumber="1" containsInteger="1" minValue="1" maxValue="5"/>
    </cacheField>
    <cacheField name="Time_Spent_on_Product_Research(hours)" numFmtId="0">
      <sharedItems containsSemiMixedTypes="0" containsString="0" containsNumber="1" minValue="0" maxValue="2"/>
    </cacheField>
    <cacheField name="Social_Media_Influence" numFmtId="0">
      <sharedItems/>
    </cacheField>
    <cacheField name="Discount_Sensitivity" numFmtId="0">
      <sharedItems/>
    </cacheField>
    <cacheField name="Return_Rate" numFmtId="0">
      <sharedItems containsSemiMixedTypes="0" containsString="0" containsNumber="1" containsInteger="1" minValue="0" maxValue="2"/>
    </cacheField>
    <cacheField name="Customer_Satisfaction" numFmtId="0">
      <sharedItems containsSemiMixedTypes="0" containsString="0" containsNumber="1" containsInteger="1" minValue="1" maxValue="10"/>
    </cacheField>
    <cacheField name="Engagement_with_Ads" numFmtId="0">
      <sharedItems/>
    </cacheField>
    <cacheField name="Device_Used_for_Shopping" numFmtId="0">
      <sharedItems/>
    </cacheField>
    <cacheField name="Payment_Method" numFmtId="0">
      <sharedItems/>
    </cacheField>
    <cacheField name="Time_of_Purchase" numFmtId="14">
      <sharedItems containsSemiMixedTypes="0" containsNonDate="0" containsDate="1" containsString="0" minDate="2024-01-01T00:00:00" maxDate="2024-12-31T00:00:00"/>
    </cacheField>
    <cacheField name="Discount_Used" numFmtId="0">
      <sharedItems/>
    </cacheField>
    <cacheField name="Customer_Loyalty_Program_Member" numFmtId="0">
      <sharedItems/>
    </cacheField>
    <cacheField name="Purchase_Intent" numFmtId="0">
      <sharedItems/>
    </cacheField>
    <cacheField name="Shipping_Preference" numFmtId="0">
      <sharedItems count="3">
        <s v="No Preference"/>
        <s v="Standard"/>
        <s v="Express"/>
      </sharedItems>
    </cacheField>
    <cacheField name="Time_to_Decision" numFmtId="0">
      <sharedItems containsSemiMixedTypes="0" containsString="0" containsNumber="1" containsInteger="1" minValue="1" maxValue="14"/>
    </cacheField>
  </cacheFields>
  <extLst>
    <ext xmlns:x14="http://schemas.microsoft.com/office/spreadsheetml/2009/9/main" uri="{725AE2AE-9491-48be-B2B4-4EB974FC3084}">
      <x14:pivotCacheDefinition pivotCacheId="849200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n v="22"/>
    <s v="Female"/>
    <x v="0"/>
    <x v="0"/>
    <x v="0"/>
    <x v="0"/>
    <s v="Évry"/>
    <s v="Gardening &amp; Outdoors"/>
    <x v="0"/>
    <n v="4"/>
    <x v="0"/>
    <n v="5"/>
    <n v="5"/>
    <n v="2"/>
    <s v="None"/>
    <s v="Somewhat Sensitive"/>
    <n v="1"/>
    <n v="7"/>
    <s v="None"/>
    <s v="Tablet"/>
    <s v="Credit Card"/>
    <d v="2024-03-01T00:00:00"/>
    <b v="1"/>
    <b v="0"/>
    <s v="Need-based"/>
    <x v="0"/>
    <n v="2"/>
  </r>
  <r>
    <x v="1"/>
    <n v="49"/>
    <s v="Male"/>
    <x v="1"/>
    <x v="0"/>
    <x v="1"/>
    <x v="1"/>
    <s v="Huocheng"/>
    <s v="Food &amp; Beverages"/>
    <x v="1"/>
    <n v="11"/>
    <x v="1"/>
    <n v="3"/>
    <n v="1"/>
    <n v="2"/>
    <s v="Medium"/>
    <s v="Not Sensitive"/>
    <n v="1"/>
    <n v="5"/>
    <s v="High"/>
    <s v="Tablet"/>
    <s v="PayPal"/>
    <d v="2024-04-16T00:00:00"/>
    <b v="1"/>
    <b v="0"/>
    <s v="Wants-based"/>
    <x v="1"/>
    <n v="6"/>
  </r>
  <r>
    <x v="2"/>
    <n v="24"/>
    <s v="Female"/>
    <x v="0"/>
    <x v="1"/>
    <x v="2"/>
    <x v="1"/>
    <s v="Huzhen"/>
    <s v="Office Supplies"/>
    <x v="2"/>
    <n v="2"/>
    <x v="0"/>
    <n v="5"/>
    <n v="5"/>
    <n v="0.3"/>
    <s v="Low"/>
    <s v="Not Sensitive"/>
    <n v="1"/>
    <n v="7"/>
    <s v="Low"/>
    <s v="Smartphone"/>
    <s v="Debit Card"/>
    <d v="2024-03-15T00:00:00"/>
    <b v="1"/>
    <b v="1"/>
    <s v="Impulsive"/>
    <x v="0"/>
    <n v="3"/>
  </r>
  <r>
    <x v="3"/>
    <n v="29"/>
    <s v="Female"/>
    <x v="0"/>
    <x v="1"/>
    <x v="2"/>
    <x v="0"/>
    <s v="Wiwilí"/>
    <s v="Home Appliances"/>
    <x v="3"/>
    <n v="6"/>
    <x v="0"/>
    <n v="3"/>
    <n v="1"/>
    <n v="1"/>
    <s v="High"/>
    <s v="Somewhat Sensitive"/>
    <n v="0"/>
    <n v="1"/>
    <s v="None"/>
    <s v="Smartphone"/>
    <s v="Other"/>
    <d v="2024-10-04T00:00:00"/>
    <b v="1"/>
    <b v="1"/>
    <s v="Need-based"/>
    <x v="2"/>
    <n v="10"/>
  </r>
  <r>
    <x v="4"/>
    <n v="33"/>
    <s v="Female"/>
    <x v="0"/>
    <x v="2"/>
    <x v="1"/>
    <x v="0"/>
    <s v="Nara"/>
    <s v="Furniture"/>
    <x v="4"/>
    <n v="6"/>
    <x v="0"/>
    <n v="3"/>
    <n v="4"/>
    <n v="0"/>
    <s v="Medium"/>
    <s v="Not Sensitive"/>
    <n v="2"/>
    <n v="10"/>
    <s v="None"/>
    <s v="Smartphone"/>
    <s v="Debit Card"/>
    <d v="2024-01-30T00:00:00"/>
    <b v="0"/>
    <b v="0"/>
    <s v="Wants-based"/>
    <x v="0"/>
    <n v="4"/>
  </r>
  <r>
    <x v="5"/>
    <n v="45"/>
    <s v="Male"/>
    <x v="0"/>
    <x v="0"/>
    <x v="2"/>
    <x v="1"/>
    <s v="Boro Utara"/>
    <s v="Office Supplies"/>
    <x v="5"/>
    <n v="8"/>
    <x v="0"/>
    <n v="3"/>
    <n v="3"/>
    <n v="0"/>
    <s v="High"/>
    <s v="Not Sensitive"/>
    <n v="2"/>
    <n v="3"/>
    <s v="None"/>
    <s v="Tablet"/>
    <s v="Debit Card"/>
    <d v="2024-03-19T00:00:00"/>
    <b v="0"/>
    <b v="0"/>
    <s v="Planned"/>
    <x v="0"/>
    <n v="7"/>
  </r>
  <r>
    <x v="6"/>
    <n v="21"/>
    <s v="Female"/>
    <x v="0"/>
    <x v="3"/>
    <x v="1"/>
    <x v="0"/>
    <s v="Liren"/>
    <s v="Furniture"/>
    <x v="6"/>
    <n v="12"/>
    <x v="2"/>
    <n v="2"/>
    <n v="5"/>
    <n v="1"/>
    <s v="High"/>
    <s v="Somewhat Sensitive"/>
    <n v="0"/>
    <n v="9"/>
    <s v="Low"/>
    <s v="Desktop"/>
    <s v="Debit Card"/>
    <d v="2024-03-15T00:00:00"/>
    <b v="1"/>
    <b v="0"/>
    <s v="Need-based"/>
    <x v="2"/>
    <n v="13"/>
  </r>
  <r>
    <x v="7"/>
    <n v="39"/>
    <s v="Male"/>
    <x v="0"/>
    <x v="1"/>
    <x v="1"/>
    <x v="0"/>
    <s v="Taocheng"/>
    <s v="Books"/>
    <x v="7"/>
    <n v="6"/>
    <x v="2"/>
    <n v="5"/>
    <n v="4"/>
    <n v="1"/>
    <s v="Low"/>
    <s v="Somewhat Sensitive"/>
    <n v="2"/>
    <n v="9"/>
    <s v="None"/>
    <s v="Desktop"/>
    <s v="Credit Card"/>
    <d v="2024-03-17T00:00:00"/>
    <b v="0"/>
    <b v="1"/>
    <s v="Impulsive"/>
    <x v="0"/>
    <n v="13"/>
  </r>
  <r>
    <x v="8"/>
    <n v="24"/>
    <s v="Female"/>
    <x v="1"/>
    <x v="3"/>
    <x v="2"/>
    <x v="0"/>
    <s v="Gråbo"/>
    <s v="Office Supplies"/>
    <x v="8"/>
    <n v="8"/>
    <x v="1"/>
    <n v="3"/>
    <n v="5"/>
    <n v="0"/>
    <s v="Low"/>
    <s v="Very Sensitive"/>
    <n v="1"/>
    <n v="2"/>
    <s v="High"/>
    <s v="Desktop"/>
    <s v="Cash"/>
    <d v="2024-06-10T00:00:00"/>
    <b v="0"/>
    <b v="0"/>
    <s v="Need-based"/>
    <x v="1"/>
    <n v="7"/>
  </r>
  <r>
    <x v="9"/>
    <n v="25"/>
    <s v="Bigender"/>
    <x v="1"/>
    <x v="0"/>
    <x v="0"/>
    <x v="1"/>
    <s v="Pryamitsyno"/>
    <s v="Sports &amp; Outdoors"/>
    <x v="9"/>
    <n v="7"/>
    <x v="2"/>
    <n v="2"/>
    <n v="5"/>
    <n v="1"/>
    <s v="None"/>
    <s v="Somewhat Sensitive"/>
    <n v="1"/>
    <n v="5"/>
    <s v="Medium"/>
    <s v="Tablet"/>
    <s v="PayPal"/>
    <d v="2024-10-07T00:00:00"/>
    <b v="1"/>
    <b v="0"/>
    <s v="Need-based"/>
    <x v="0"/>
    <n v="13"/>
  </r>
  <r>
    <x v="10"/>
    <n v="33"/>
    <s v="Male"/>
    <x v="0"/>
    <x v="3"/>
    <x v="0"/>
    <x v="0"/>
    <s v="Punta Gorda"/>
    <s v="Mobile Accessories"/>
    <x v="10"/>
    <n v="12"/>
    <x v="1"/>
    <n v="1"/>
    <n v="4"/>
    <n v="0.5"/>
    <s v="Low"/>
    <s v="Not Sensitive"/>
    <n v="0"/>
    <n v="4"/>
    <s v="High"/>
    <s v="Desktop"/>
    <s v="PayPal"/>
    <d v="2024-07-02T00:00:00"/>
    <b v="1"/>
    <b v="0"/>
    <s v="Planned"/>
    <x v="2"/>
    <n v="12"/>
  </r>
  <r>
    <x v="11"/>
    <n v="38"/>
    <s v="Female"/>
    <x v="1"/>
    <x v="2"/>
    <x v="0"/>
    <x v="0"/>
    <s v="Győr"/>
    <s v="Sports &amp; Outdoors"/>
    <x v="11"/>
    <n v="5"/>
    <x v="2"/>
    <n v="4"/>
    <n v="3"/>
    <n v="1"/>
    <s v="Medium"/>
    <s v="Very Sensitive"/>
    <n v="0"/>
    <n v="10"/>
    <s v="High"/>
    <s v="Tablet"/>
    <s v="Cash"/>
    <d v="2024-12-27T00:00:00"/>
    <b v="1"/>
    <b v="0"/>
    <s v="Planned"/>
    <x v="0"/>
    <n v="1"/>
  </r>
  <r>
    <x v="12"/>
    <n v="34"/>
    <s v="Male"/>
    <x v="0"/>
    <x v="1"/>
    <x v="0"/>
    <x v="1"/>
    <s v="Gaosheng"/>
    <s v="Luxury Goods"/>
    <x v="12"/>
    <n v="7"/>
    <x v="1"/>
    <n v="5"/>
    <n v="2"/>
    <n v="2"/>
    <s v="Low"/>
    <s v="Very Sensitive"/>
    <n v="1"/>
    <n v="7"/>
    <s v="High"/>
    <s v="Desktop"/>
    <s v="Debit Card"/>
    <d v="2024-08-05T00:00:00"/>
    <b v="1"/>
    <b v="1"/>
    <s v="Need-based"/>
    <x v="0"/>
    <n v="5"/>
  </r>
  <r>
    <x v="13"/>
    <n v="32"/>
    <s v="Male"/>
    <x v="1"/>
    <x v="0"/>
    <x v="1"/>
    <x v="0"/>
    <s v="Rokytne"/>
    <s v="Animal Feed"/>
    <x v="13"/>
    <n v="4"/>
    <x v="0"/>
    <n v="5"/>
    <n v="5"/>
    <n v="0"/>
    <s v="High"/>
    <s v="Not Sensitive"/>
    <n v="0"/>
    <n v="9"/>
    <s v="High"/>
    <s v="Smartphone"/>
    <s v="Debit Card"/>
    <d v="2024-07-16T00:00:00"/>
    <b v="0"/>
    <b v="1"/>
    <s v="Wants-based"/>
    <x v="1"/>
    <n v="14"/>
  </r>
  <r>
    <x v="14"/>
    <n v="30"/>
    <s v="Female"/>
    <x v="1"/>
    <x v="2"/>
    <x v="1"/>
    <x v="1"/>
    <s v="Alameda"/>
    <s v="Health Care"/>
    <x v="14"/>
    <n v="2"/>
    <x v="2"/>
    <n v="4"/>
    <n v="4"/>
    <n v="0.5"/>
    <s v="None"/>
    <s v="Not Sensitive"/>
    <n v="0"/>
    <n v="4"/>
    <s v="Medium"/>
    <s v="Desktop"/>
    <s v="PayPal"/>
    <d v="2024-12-14T00:00:00"/>
    <b v="1"/>
    <b v="1"/>
    <s v="Planned"/>
    <x v="0"/>
    <n v="14"/>
  </r>
  <r>
    <x v="15"/>
    <n v="40"/>
    <s v="Male"/>
    <x v="1"/>
    <x v="3"/>
    <x v="2"/>
    <x v="1"/>
    <s v="Dhankutā"/>
    <s v="Hotels"/>
    <x v="15"/>
    <n v="3"/>
    <x v="2"/>
    <n v="3"/>
    <n v="4"/>
    <n v="0"/>
    <s v="Medium"/>
    <s v="Somewhat Sensitive"/>
    <n v="2"/>
    <n v="2"/>
    <s v="High"/>
    <s v="Desktop"/>
    <s v="Debit Card"/>
    <d v="2024-08-11T00:00:00"/>
    <b v="0"/>
    <b v="1"/>
    <s v="Wants-based"/>
    <x v="2"/>
    <n v="11"/>
  </r>
  <r>
    <x v="16"/>
    <n v="37"/>
    <s v="Male"/>
    <x v="1"/>
    <x v="1"/>
    <x v="0"/>
    <x v="1"/>
    <s v="Jindong"/>
    <s v="Furniture"/>
    <x v="16"/>
    <n v="6"/>
    <x v="0"/>
    <n v="5"/>
    <n v="5"/>
    <n v="2"/>
    <s v="Low"/>
    <s v="Very Sensitive"/>
    <n v="0"/>
    <n v="7"/>
    <s v="Medium"/>
    <s v="Smartphone"/>
    <s v="Credit Card"/>
    <d v="2024-10-18T00:00:00"/>
    <b v="0"/>
    <b v="1"/>
    <s v="Planned"/>
    <x v="1"/>
    <n v="8"/>
  </r>
  <r>
    <x v="17"/>
    <n v="38"/>
    <s v="Female"/>
    <x v="0"/>
    <x v="3"/>
    <x v="0"/>
    <x v="1"/>
    <s v="Ngeru"/>
    <s v="Mobile Accessories"/>
    <x v="17"/>
    <n v="10"/>
    <x v="0"/>
    <n v="2"/>
    <n v="4"/>
    <n v="0"/>
    <s v="High"/>
    <s v="Very Sensitive"/>
    <n v="0"/>
    <n v="8"/>
    <s v="None"/>
    <s v="Tablet"/>
    <s v="PayPal"/>
    <d v="2024-12-09T00:00:00"/>
    <b v="1"/>
    <b v="1"/>
    <s v="Impulsive"/>
    <x v="0"/>
    <n v="13"/>
  </r>
  <r>
    <x v="18"/>
    <n v="36"/>
    <s v="Male"/>
    <x v="0"/>
    <x v="2"/>
    <x v="0"/>
    <x v="1"/>
    <s v="White Rock"/>
    <s v="Packages)"/>
    <x v="18"/>
    <n v="10"/>
    <x v="1"/>
    <n v="2"/>
    <n v="4"/>
    <n v="2"/>
    <s v="Medium"/>
    <s v="Not Sensitive"/>
    <n v="0"/>
    <n v="3"/>
    <s v="None"/>
    <s v="Desktop"/>
    <s v="Other"/>
    <d v="2024-07-23T00:00:00"/>
    <b v="0"/>
    <b v="1"/>
    <s v="Impulsive"/>
    <x v="1"/>
    <n v="3"/>
  </r>
  <r>
    <x v="19"/>
    <n v="29"/>
    <s v="Female"/>
    <x v="1"/>
    <x v="2"/>
    <x v="0"/>
    <x v="0"/>
    <s v="Monastyrshchina"/>
    <s v="Electronics"/>
    <x v="19"/>
    <n v="10"/>
    <x v="1"/>
    <n v="2"/>
    <n v="4"/>
    <n v="1"/>
    <s v="None"/>
    <s v="Very Sensitive"/>
    <n v="1"/>
    <n v="4"/>
    <s v="Low"/>
    <s v="Smartphone"/>
    <s v="Debit Card"/>
    <d v="2024-07-08T00:00:00"/>
    <b v="0"/>
    <b v="0"/>
    <s v="Wants-based"/>
    <x v="1"/>
    <n v="13"/>
  </r>
  <r>
    <x v="20"/>
    <n v="21"/>
    <s v="Female"/>
    <x v="0"/>
    <x v="2"/>
    <x v="1"/>
    <x v="0"/>
    <s v="Pangkalanbunut"/>
    <s v="Software &amp; Apps"/>
    <x v="20"/>
    <n v="7"/>
    <x v="0"/>
    <n v="4"/>
    <n v="2"/>
    <n v="0"/>
    <s v="None"/>
    <s v="Very Sensitive"/>
    <n v="1"/>
    <n v="2"/>
    <s v="Medium"/>
    <s v="Smartphone"/>
    <s v="PayPal"/>
    <d v="2024-07-23T00:00:00"/>
    <b v="1"/>
    <b v="0"/>
    <s v="Wants-based"/>
    <x v="0"/>
    <n v="11"/>
  </r>
  <r>
    <x v="21"/>
    <n v="36"/>
    <s v="Female"/>
    <x v="1"/>
    <x v="0"/>
    <x v="2"/>
    <x v="1"/>
    <s v="Lederaba"/>
    <s v="Baby Products"/>
    <x v="21"/>
    <n v="5"/>
    <x v="2"/>
    <n v="5"/>
    <n v="1"/>
    <n v="0"/>
    <s v="Medium"/>
    <s v="Very Sensitive"/>
    <n v="0"/>
    <n v="6"/>
    <s v="None"/>
    <s v="Smartphone"/>
    <s v="Other"/>
    <d v="2024-07-31T00:00:00"/>
    <b v="1"/>
    <b v="0"/>
    <s v="Impulsive"/>
    <x v="2"/>
    <n v="7"/>
  </r>
  <r>
    <x v="22"/>
    <n v="38"/>
    <s v="Male"/>
    <x v="1"/>
    <x v="3"/>
    <x v="0"/>
    <x v="0"/>
    <s v="Lugo"/>
    <s v="Toys &amp; Games"/>
    <x v="22"/>
    <n v="7"/>
    <x v="1"/>
    <n v="4"/>
    <n v="4"/>
    <n v="0.7"/>
    <s v="Medium"/>
    <s v="Not Sensitive"/>
    <n v="2"/>
    <n v="1"/>
    <s v="None"/>
    <s v="Tablet"/>
    <s v="Debit Card"/>
    <d v="2024-02-25T00:00:00"/>
    <b v="1"/>
    <b v="1"/>
    <s v="Impulsive"/>
    <x v="1"/>
    <n v="6"/>
  </r>
  <r>
    <x v="23"/>
    <n v="37"/>
    <s v="Female"/>
    <x v="0"/>
    <x v="1"/>
    <x v="0"/>
    <x v="0"/>
    <s v="São Roque"/>
    <s v="Software &amp; Apps"/>
    <x v="23"/>
    <n v="7"/>
    <x v="2"/>
    <n v="2"/>
    <n v="4"/>
    <n v="1"/>
    <s v="High"/>
    <s v="Not Sensitive"/>
    <n v="0"/>
    <n v="8"/>
    <s v="Low"/>
    <s v="Tablet"/>
    <s v="Cash"/>
    <d v="2024-07-10T00:00:00"/>
    <b v="0"/>
    <b v="1"/>
    <s v="Wants-based"/>
    <x v="1"/>
    <n v="9"/>
  </r>
  <r>
    <x v="24"/>
    <n v="33"/>
    <s v="Female"/>
    <x v="1"/>
    <x v="0"/>
    <x v="0"/>
    <x v="1"/>
    <s v="Banī Khaddāsh"/>
    <s v="Food &amp; Beverages"/>
    <x v="24"/>
    <n v="6"/>
    <x v="1"/>
    <n v="4"/>
    <n v="1"/>
    <n v="1"/>
    <s v="None"/>
    <s v="Very Sensitive"/>
    <n v="2"/>
    <n v="10"/>
    <s v="High"/>
    <s v="Tablet"/>
    <s v="Other"/>
    <d v="2024-12-25T00:00:00"/>
    <b v="1"/>
    <b v="0"/>
    <s v="Impulsive"/>
    <x v="1"/>
    <n v="8"/>
  </r>
  <r>
    <x v="25"/>
    <n v="37"/>
    <s v="Male"/>
    <x v="1"/>
    <x v="2"/>
    <x v="1"/>
    <x v="1"/>
    <s v="Montpellier"/>
    <s v="Packages)"/>
    <x v="25"/>
    <n v="3"/>
    <x v="0"/>
    <n v="2"/>
    <n v="4"/>
    <n v="2"/>
    <s v="High"/>
    <s v="Not Sensitive"/>
    <n v="1"/>
    <n v="3"/>
    <s v="High"/>
    <s v="Smartphone"/>
    <s v="PayPal"/>
    <d v="2024-05-31T00:00:00"/>
    <b v="1"/>
    <b v="1"/>
    <s v="Planned"/>
    <x v="1"/>
    <n v="10"/>
  </r>
  <r>
    <x v="26"/>
    <n v="31"/>
    <s v="Female"/>
    <x v="0"/>
    <x v="1"/>
    <x v="2"/>
    <x v="0"/>
    <s v="Nesovice"/>
    <s v="Arts &amp; Crafts"/>
    <x v="26"/>
    <n v="10"/>
    <x v="2"/>
    <n v="5"/>
    <n v="3"/>
    <n v="0"/>
    <s v="High"/>
    <s v="Somewhat Sensitive"/>
    <n v="2"/>
    <n v="2"/>
    <s v="High"/>
    <s v="Desktop"/>
    <s v="PayPal"/>
    <d v="2024-09-04T00:00:00"/>
    <b v="1"/>
    <b v="1"/>
    <s v="Planned"/>
    <x v="1"/>
    <n v="7"/>
  </r>
  <r>
    <x v="27"/>
    <n v="50"/>
    <s v="Male"/>
    <x v="1"/>
    <x v="1"/>
    <x v="2"/>
    <x v="1"/>
    <s v="Pasirhuni"/>
    <s v="Electronics"/>
    <x v="27"/>
    <n v="10"/>
    <x v="1"/>
    <n v="3"/>
    <n v="4"/>
    <n v="1"/>
    <s v="Medium"/>
    <s v="Very Sensitive"/>
    <n v="0"/>
    <n v="4"/>
    <s v="None"/>
    <s v="Desktop"/>
    <s v="Debit Card"/>
    <d v="2024-07-24T00:00:00"/>
    <b v="0"/>
    <b v="1"/>
    <s v="Need-based"/>
    <x v="2"/>
    <n v="2"/>
  </r>
  <r>
    <x v="28"/>
    <n v="50"/>
    <s v="Male"/>
    <x v="0"/>
    <x v="0"/>
    <x v="0"/>
    <x v="0"/>
    <s v="Glendale"/>
    <s v="Arts &amp; Crafts"/>
    <x v="28"/>
    <n v="2"/>
    <x v="1"/>
    <n v="2"/>
    <n v="5"/>
    <n v="1"/>
    <s v="Low"/>
    <s v="Somewhat Sensitive"/>
    <n v="1"/>
    <n v="2"/>
    <s v="High"/>
    <s v="Desktop"/>
    <s v="Debit Card"/>
    <d v="2024-11-16T00:00:00"/>
    <b v="0"/>
    <b v="1"/>
    <s v="Planned"/>
    <x v="0"/>
    <n v="9"/>
  </r>
  <r>
    <x v="29"/>
    <n v="45"/>
    <s v="Female"/>
    <x v="0"/>
    <x v="2"/>
    <x v="1"/>
    <x v="0"/>
    <s v="Tála"/>
    <s v="Health Supplements"/>
    <x v="29"/>
    <n v="12"/>
    <x v="1"/>
    <n v="1"/>
    <n v="5"/>
    <n v="1"/>
    <s v="High"/>
    <s v="Very Sensitive"/>
    <n v="1"/>
    <n v="4"/>
    <s v="High"/>
    <s v="Tablet"/>
    <s v="PayPal"/>
    <d v="2024-07-06T00:00:00"/>
    <b v="1"/>
    <b v="1"/>
    <s v="Planned"/>
    <x v="1"/>
    <n v="3"/>
  </r>
  <r>
    <x v="30"/>
    <n v="33"/>
    <s v="Female"/>
    <x v="1"/>
    <x v="0"/>
    <x v="0"/>
    <x v="0"/>
    <s v="Marseille"/>
    <s v="Gardening &amp; Outdoors"/>
    <x v="30"/>
    <n v="5"/>
    <x v="2"/>
    <n v="4"/>
    <n v="2"/>
    <n v="0"/>
    <s v="None"/>
    <s v="Very Sensitive"/>
    <n v="2"/>
    <n v="7"/>
    <s v="None"/>
    <s v="Smartphone"/>
    <s v="Other"/>
    <d v="2024-02-10T00:00:00"/>
    <b v="1"/>
    <b v="0"/>
    <s v="Planned"/>
    <x v="2"/>
    <n v="12"/>
  </r>
  <r>
    <x v="31"/>
    <n v="24"/>
    <s v="Male"/>
    <x v="1"/>
    <x v="3"/>
    <x v="0"/>
    <x v="1"/>
    <s v="Nasielsk"/>
    <s v="Mobile Accessories"/>
    <x v="31"/>
    <n v="6"/>
    <x v="2"/>
    <n v="3"/>
    <n v="2"/>
    <n v="1"/>
    <s v="Medium"/>
    <s v="Somewhat Sensitive"/>
    <n v="0"/>
    <n v="8"/>
    <s v="Medium"/>
    <s v="Desktop"/>
    <s v="Other"/>
    <d v="2024-06-29T00:00:00"/>
    <b v="0"/>
    <b v="1"/>
    <s v="Planned"/>
    <x v="2"/>
    <n v="10"/>
  </r>
  <r>
    <x v="32"/>
    <n v="39"/>
    <s v="Genderfluid"/>
    <x v="1"/>
    <x v="0"/>
    <x v="0"/>
    <x v="0"/>
    <s v="Paris 06"/>
    <s v="Mobile Accessories"/>
    <x v="32"/>
    <n v="5"/>
    <x v="0"/>
    <n v="4"/>
    <n v="5"/>
    <n v="1"/>
    <s v="None"/>
    <s v="Somewhat Sensitive"/>
    <n v="1"/>
    <n v="2"/>
    <s v="None"/>
    <s v="Tablet"/>
    <s v="Other"/>
    <d v="2024-01-26T00:00:00"/>
    <b v="1"/>
    <b v="0"/>
    <s v="Need-based"/>
    <x v="1"/>
    <n v="9"/>
  </r>
  <r>
    <x v="33"/>
    <n v="48"/>
    <s v="Male"/>
    <x v="1"/>
    <x v="2"/>
    <x v="1"/>
    <x v="0"/>
    <s v="Bronnitsy"/>
    <s v="Mobile Accessories"/>
    <x v="33"/>
    <n v="10"/>
    <x v="2"/>
    <n v="3"/>
    <n v="4"/>
    <n v="0"/>
    <s v="None"/>
    <s v="Somewhat Sensitive"/>
    <n v="0"/>
    <n v="10"/>
    <s v="Medium"/>
    <s v="Smartphone"/>
    <s v="PayPal"/>
    <d v="2024-06-15T00:00:00"/>
    <b v="1"/>
    <b v="0"/>
    <s v="Impulsive"/>
    <x v="0"/>
    <n v="7"/>
  </r>
  <r>
    <x v="34"/>
    <n v="25"/>
    <s v="Male"/>
    <x v="0"/>
    <x v="0"/>
    <x v="1"/>
    <x v="1"/>
    <s v="Inayauan"/>
    <s v="Mobile Accessories"/>
    <x v="34"/>
    <n v="7"/>
    <x v="1"/>
    <n v="2"/>
    <n v="4"/>
    <n v="1"/>
    <s v="None"/>
    <s v="Not Sensitive"/>
    <n v="1"/>
    <n v="3"/>
    <s v="None"/>
    <s v="Tablet"/>
    <s v="Cash"/>
    <d v="2024-06-08T00:00:00"/>
    <b v="1"/>
    <b v="0"/>
    <s v="Planned"/>
    <x v="0"/>
    <n v="4"/>
  </r>
  <r>
    <x v="35"/>
    <n v="30"/>
    <s v="Female"/>
    <x v="1"/>
    <x v="1"/>
    <x v="0"/>
    <x v="1"/>
    <s v="Qianjin"/>
    <s v="Books"/>
    <x v="35"/>
    <n v="6"/>
    <x v="1"/>
    <n v="3"/>
    <n v="4"/>
    <n v="1"/>
    <s v="Low"/>
    <s v="Somewhat Sensitive"/>
    <n v="1"/>
    <n v="5"/>
    <s v="Medium"/>
    <s v="Tablet"/>
    <s v="PayPal"/>
    <d v="2024-05-21T00:00:00"/>
    <b v="1"/>
    <b v="1"/>
    <s v="Planned"/>
    <x v="2"/>
    <n v="13"/>
  </r>
  <r>
    <x v="36"/>
    <n v="34"/>
    <s v="Male"/>
    <x v="0"/>
    <x v="1"/>
    <x v="0"/>
    <x v="1"/>
    <s v="Bagahanlad"/>
    <s v="Groceries"/>
    <x v="36"/>
    <n v="7"/>
    <x v="2"/>
    <n v="3"/>
    <n v="5"/>
    <n v="0"/>
    <s v="None"/>
    <s v="Not Sensitive"/>
    <n v="1"/>
    <n v="9"/>
    <s v="Medium"/>
    <s v="Tablet"/>
    <s v="Other"/>
    <d v="2024-09-01T00:00:00"/>
    <b v="1"/>
    <b v="0"/>
    <s v="Wants-based"/>
    <x v="1"/>
    <n v="7"/>
  </r>
  <r>
    <x v="37"/>
    <n v="21"/>
    <s v="Female"/>
    <x v="0"/>
    <x v="2"/>
    <x v="1"/>
    <x v="0"/>
    <s v="Rzewnie"/>
    <s v="Toys &amp; Games"/>
    <x v="37"/>
    <n v="3"/>
    <x v="1"/>
    <n v="1"/>
    <n v="5"/>
    <n v="1"/>
    <s v="High"/>
    <s v="Somewhat Sensitive"/>
    <n v="1"/>
    <n v="10"/>
    <s v="High"/>
    <s v="Tablet"/>
    <s v="Other"/>
    <d v="2024-03-04T00:00:00"/>
    <b v="1"/>
    <b v="0"/>
    <s v="Impulsive"/>
    <x v="2"/>
    <n v="10"/>
  </r>
  <r>
    <x v="38"/>
    <n v="36"/>
    <s v="Female"/>
    <x v="0"/>
    <x v="0"/>
    <x v="2"/>
    <x v="0"/>
    <s v="Strabychovo"/>
    <s v="Software &amp; Apps"/>
    <x v="38"/>
    <n v="2"/>
    <x v="0"/>
    <n v="2"/>
    <n v="1"/>
    <n v="2"/>
    <s v="High"/>
    <s v="Not Sensitive"/>
    <n v="0"/>
    <n v="10"/>
    <s v="None"/>
    <s v="Smartphone"/>
    <s v="Cash"/>
    <d v="2024-09-13T00:00:00"/>
    <b v="1"/>
    <b v="1"/>
    <s v="Wants-based"/>
    <x v="0"/>
    <n v="11"/>
  </r>
  <r>
    <x v="39"/>
    <n v="30"/>
    <s v="Male"/>
    <x v="0"/>
    <x v="2"/>
    <x v="0"/>
    <x v="0"/>
    <s v="Hongqi"/>
    <s v="Health Care"/>
    <x v="39"/>
    <n v="2"/>
    <x v="2"/>
    <n v="2"/>
    <n v="3"/>
    <n v="2"/>
    <s v="Medium"/>
    <s v="Very Sensitive"/>
    <n v="0"/>
    <n v="1"/>
    <s v="Low"/>
    <s v="Tablet"/>
    <s v="Credit Card"/>
    <d v="2024-12-06T00:00:00"/>
    <b v="0"/>
    <b v="1"/>
    <s v="Impulsive"/>
    <x v="0"/>
    <n v="3"/>
  </r>
  <r>
    <x v="40"/>
    <n v="46"/>
    <s v="Female"/>
    <x v="0"/>
    <x v="3"/>
    <x v="1"/>
    <x v="1"/>
    <s v="Oeoh"/>
    <s v="Software &amp; Apps"/>
    <x v="40"/>
    <n v="5"/>
    <x v="1"/>
    <n v="5"/>
    <n v="3"/>
    <n v="0"/>
    <s v="Medium"/>
    <s v="Somewhat Sensitive"/>
    <n v="1"/>
    <n v="1"/>
    <s v="High"/>
    <s v="Desktop"/>
    <s v="Cash"/>
    <d v="2024-10-21T00:00:00"/>
    <b v="1"/>
    <b v="1"/>
    <s v="Need-based"/>
    <x v="0"/>
    <n v="2"/>
  </r>
  <r>
    <x v="41"/>
    <n v="46"/>
    <s v="Female"/>
    <x v="0"/>
    <x v="0"/>
    <x v="2"/>
    <x v="0"/>
    <s v="Topol’noye"/>
    <s v="Food &amp; Beverages"/>
    <x v="41"/>
    <n v="5"/>
    <x v="2"/>
    <n v="4"/>
    <n v="5"/>
    <n v="1"/>
    <s v="High"/>
    <s v="Not Sensitive"/>
    <n v="1"/>
    <n v="1"/>
    <s v="Low"/>
    <s v="Tablet"/>
    <s v="Other"/>
    <d v="2024-11-17T00:00:00"/>
    <b v="0"/>
    <b v="0"/>
    <s v="Impulsive"/>
    <x v="1"/>
    <n v="1"/>
  </r>
  <r>
    <x v="42"/>
    <n v="43"/>
    <s v="Male"/>
    <x v="1"/>
    <x v="2"/>
    <x v="2"/>
    <x v="0"/>
    <s v="Kovářov"/>
    <s v="Books"/>
    <x v="42"/>
    <n v="8"/>
    <x v="2"/>
    <n v="2"/>
    <n v="1"/>
    <n v="0"/>
    <s v="High"/>
    <s v="Not Sensitive"/>
    <n v="2"/>
    <n v="1"/>
    <s v="High"/>
    <s v="Smartphone"/>
    <s v="Other"/>
    <d v="2024-07-24T00:00:00"/>
    <b v="1"/>
    <b v="0"/>
    <s v="Impulsive"/>
    <x v="0"/>
    <n v="11"/>
  </r>
  <r>
    <x v="43"/>
    <n v="43"/>
    <s v="Male"/>
    <x v="1"/>
    <x v="3"/>
    <x v="0"/>
    <x v="0"/>
    <s v="Majdal Banī Fāḑil"/>
    <s v="Arts &amp; Crafts"/>
    <x v="43"/>
    <n v="11"/>
    <x v="1"/>
    <n v="4"/>
    <n v="2"/>
    <n v="1"/>
    <s v="None"/>
    <s v="Very Sensitive"/>
    <n v="1"/>
    <n v="3"/>
    <s v="Low"/>
    <s v="Desktop"/>
    <s v="PayPal"/>
    <d v="2024-03-03T00:00:00"/>
    <b v="1"/>
    <b v="0"/>
    <s v="Planned"/>
    <x v="1"/>
    <n v="6"/>
  </r>
  <r>
    <x v="44"/>
    <n v="34"/>
    <s v="Male"/>
    <x v="1"/>
    <x v="1"/>
    <x v="2"/>
    <x v="1"/>
    <s v="Delta del Tigre"/>
    <s v="Books"/>
    <x v="44"/>
    <n v="12"/>
    <x v="0"/>
    <n v="5"/>
    <n v="1"/>
    <n v="2"/>
    <s v="None"/>
    <s v="Somewhat Sensitive"/>
    <n v="1"/>
    <n v="3"/>
    <s v="Medium"/>
    <s v="Tablet"/>
    <s v="Debit Card"/>
    <d v="2024-11-13T00:00:00"/>
    <b v="0"/>
    <b v="0"/>
    <s v="Need-based"/>
    <x v="1"/>
    <n v="12"/>
  </r>
  <r>
    <x v="45"/>
    <n v="42"/>
    <s v="Female"/>
    <x v="0"/>
    <x v="0"/>
    <x v="2"/>
    <x v="1"/>
    <s v="Santa Cruz La Laguna"/>
    <s v="Mobile Accessories"/>
    <x v="45"/>
    <n v="4"/>
    <x v="1"/>
    <n v="2"/>
    <n v="3"/>
    <n v="0"/>
    <s v="None"/>
    <s v="Not Sensitive"/>
    <n v="0"/>
    <n v="8"/>
    <s v="Medium"/>
    <s v="Smartphone"/>
    <s v="Credit Card"/>
    <d v="2024-12-24T00:00:00"/>
    <b v="1"/>
    <b v="0"/>
    <s v="Wants-based"/>
    <x v="1"/>
    <n v="10"/>
  </r>
  <r>
    <x v="46"/>
    <n v="40"/>
    <s v="Female"/>
    <x v="1"/>
    <x v="2"/>
    <x v="0"/>
    <x v="0"/>
    <s v="Manchester"/>
    <s v="Toys &amp; Games"/>
    <x v="46"/>
    <n v="6"/>
    <x v="2"/>
    <n v="2"/>
    <n v="5"/>
    <n v="1"/>
    <s v="None"/>
    <s v="Very Sensitive"/>
    <n v="2"/>
    <n v="7"/>
    <s v="High"/>
    <s v="Tablet"/>
    <s v="Other"/>
    <d v="2024-08-04T00:00:00"/>
    <b v="1"/>
    <b v="1"/>
    <s v="Need-based"/>
    <x v="2"/>
    <n v="6"/>
  </r>
  <r>
    <x v="47"/>
    <n v="25"/>
    <s v="Female"/>
    <x v="1"/>
    <x v="0"/>
    <x v="0"/>
    <x v="1"/>
    <s v="Norrköping"/>
    <s v="Toys &amp; Games"/>
    <x v="47"/>
    <n v="6"/>
    <x v="2"/>
    <n v="2"/>
    <n v="1"/>
    <n v="0"/>
    <s v="None"/>
    <s v="Very Sensitive"/>
    <n v="1"/>
    <n v="5"/>
    <s v="Medium"/>
    <s v="Tablet"/>
    <s v="Cash"/>
    <d v="2024-08-25T00:00:00"/>
    <b v="1"/>
    <b v="1"/>
    <s v="Planned"/>
    <x v="1"/>
    <n v="5"/>
  </r>
  <r>
    <x v="48"/>
    <n v="38"/>
    <s v="Male"/>
    <x v="0"/>
    <x v="3"/>
    <x v="0"/>
    <x v="1"/>
    <s v="Sośno"/>
    <s v="Clothing"/>
    <x v="48"/>
    <n v="2"/>
    <x v="2"/>
    <n v="1"/>
    <n v="2"/>
    <n v="0"/>
    <s v="High"/>
    <s v="Somewhat Sensitive"/>
    <n v="1"/>
    <n v="6"/>
    <s v="None"/>
    <s v="Tablet"/>
    <s v="PayPal"/>
    <d v="2024-08-17T00:00:00"/>
    <b v="0"/>
    <b v="1"/>
    <s v="Wants-based"/>
    <x v="0"/>
    <n v="14"/>
  </r>
  <r>
    <x v="49"/>
    <n v="46"/>
    <s v="Female"/>
    <x v="0"/>
    <x v="2"/>
    <x v="0"/>
    <x v="0"/>
    <s v="Pélla"/>
    <s v="Groceries"/>
    <x v="49"/>
    <n v="7"/>
    <x v="2"/>
    <n v="1"/>
    <n v="2"/>
    <n v="0"/>
    <s v="None"/>
    <s v="Very Sensitive"/>
    <n v="1"/>
    <n v="2"/>
    <s v="Low"/>
    <s v="Tablet"/>
    <s v="PayPal"/>
    <d v="2024-04-01T00:00:00"/>
    <b v="1"/>
    <b v="0"/>
    <s v="Planned"/>
    <x v="0"/>
    <n v="5"/>
  </r>
  <r>
    <x v="50"/>
    <n v="24"/>
    <s v="Female"/>
    <x v="0"/>
    <x v="2"/>
    <x v="1"/>
    <x v="1"/>
    <s v="Namur"/>
    <s v="Beauty &amp; Personal Care"/>
    <x v="50"/>
    <n v="8"/>
    <x v="0"/>
    <n v="3"/>
    <n v="1"/>
    <n v="2"/>
    <s v="Low"/>
    <s v="Somewhat Sensitive"/>
    <n v="0"/>
    <n v="9"/>
    <s v="High"/>
    <s v="Tablet"/>
    <s v="Credit Card"/>
    <d v="2024-08-24T00:00:00"/>
    <b v="0"/>
    <b v="1"/>
    <s v="Need-based"/>
    <x v="1"/>
    <n v="8"/>
  </r>
  <r>
    <x v="51"/>
    <n v="43"/>
    <s v="Non-binary"/>
    <x v="1"/>
    <x v="2"/>
    <x v="2"/>
    <x v="0"/>
    <s v="Benevides"/>
    <s v="Arts &amp; Crafts"/>
    <x v="51"/>
    <n v="9"/>
    <x v="0"/>
    <n v="5"/>
    <n v="2"/>
    <n v="0"/>
    <s v="Medium"/>
    <s v="Somewhat Sensitive"/>
    <n v="0"/>
    <n v="2"/>
    <s v="High"/>
    <s v="Smartphone"/>
    <s v="Credit Card"/>
    <d v="2024-08-06T00:00:00"/>
    <b v="1"/>
    <b v="0"/>
    <s v="Need-based"/>
    <x v="0"/>
    <n v="12"/>
  </r>
  <r>
    <x v="52"/>
    <n v="37"/>
    <s v="Female"/>
    <x v="0"/>
    <x v="1"/>
    <x v="0"/>
    <x v="0"/>
    <s v="Qinghaihu"/>
    <s v="Travel &amp; Leisure (Flights"/>
    <x v="52"/>
    <n v="7"/>
    <x v="0"/>
    <n v="2"/>
    <n v="4"/>
    <n v="1"/>
    <s v="Medium"/>
    <s v="Very Sensitive"/>
    <n v="2"/>
    <n v="3"/>
    <s v="None"/>
    <s v="Desktop"/>
    <s v="Debit Card"/>
    <d v="2024-02-01T00:00:00"/>
    <b v="1"/>
    <b v="0"/>
    <s v="Need-based"/>
    <x v="2"/>
    <n v="3"/>
  </r>
  <r>
    <x v="53"/>
    <n v="42"/>
    <s v="Male"/>
    <x v="0"/>
    <x v="2"/>
    <x v="2"/>
    <x v="0"/>
    <s v="Alfeizerão"/>
    <s v="Animal Feed"/>
    <x v="53"/>
    <n v="7"/>
    <x v="0"/>
    <n v="4"/>
    <n v="4"/>
    <n v="1"/>
    <s v="None"/>
    <s v="Somewhat Sensitive"/>
    <n v="2"/>
    <n v="1"/>
    <s v="Low"/>
    <s v="Tablet"/>
    <s v="Cash"/>
    <d v="2024-06-17T00:00:00"/>
    <b v="1"/>
    <b v="1"/>
    <s v="Impulsive"/>
    <x v="0"/>
    <n v="6"/>
  </r>
  <r>
    <x v="54"/>
    <n v="29"/>
    <s v="Male"/>
    <x v="0"/>
    <x v="2"/>
    <x v="1"/>
    <x v="1"/>
    <s v="Prostřední Bečva"/>
    <s v="Office Supplies"/>
    <x v="54"/>
    <n v="9"/>
    <x v="1"/>
    <n v="2"/>
    <n v="1"/>
    <n v="0.5"/>
    <s v="Medium"/>
    <s v="Not Sensitive"/>
    <n v="2"/>
    <n v="2"/>
    <s v="Low"/>
    <s v="Tablet"/>
    <s v="Credit Card"/>
    <d v="2024-06-12T00:00:00"/>
    <b v="0"/>
    <b v="0"/>
    <s v="Planned"/>
    <x v="0"/>
    <n v="14"/>
  </r>
  <r>
    <x v="55"/>
    <n v="35"/>
    <s v="Female"/>
    <x v="1"/>
    <x v="0"/>
    <x v="2"/>
    <x v="1"/>
    <s v="Oeiras"/>
    <s v="Animal Feed"/>
    <x v="55"/>
    <n v="6"/>
    <x v="2"/>
    <n v="4"/>
    <n v="2"/>
    <n v="0"/>
    <s v="Medium"/>
    <s v="Not Sensitive"/>
    <n v="1"/>
    <n v="1"/>
    <s v="Low"/>
    <s v="Smartphone"/>
    <s v="Debit Card"/>
    <d v="2024-12-16T00:00:00"/>
    <b v="1"/>
    <b v="0"/>
    <s v="Impulsive"/>
    <x v="1"/>
    <n v="11"/>
  </r>
  <r>
    <x v="56"/>
    <n v="27"/>
    <s v="Female"/>
    <x v="0"/>
    <x v="1"/>
    <x v="1"/>
    <x v="1"/>
    <s v="Kýthnos"/>
    <s v="Sports &amp; Outdoors"/>
    <x v="56"/>
    <n v="3"/>
    <x v="2"/>
    <n v="3"/>
    <n v="1"/>
    <n v="2"/>
    <s v="Low"/>
    <s v="Very Sensitive"/>
    <n v="1"/>
    <n v="6"/>
    <s v="High"/>
    <s v="Desktop"/>
    <s v="Credit Card"/>
    <d v="2024-10-31T00:00:00"/>
    <b v="1"/>
    <b v="0"/>
    <s v="Planned"/>
    <x v="2"/>
    <n v="8"/>
  </r>
  <r>
    <x v="57"/>
    <n v="40"/>
    <s v="Female"/>
    <x v="1"/>
    <x v="0"/>
    <x v="0"/>
    <x v="1"/>
    <s v="Rizal"/>
    <s v="Books"/>
    <x v="57"/>
    <n v="3"/>
    <x v="2"/>
    <n v="3"/>
    <n v="5"/>
    <n v="2"/>
    <s v="High"/>
    <s v="Not Sensitive"/>
    <n v="2"/>
    <n v="7"/>
    <s v="Medium"/>
    <s v="Tablet"/>
    <s v="Cash"/>
    <d v="2024-12-07T00:00:00"/>
    <b v="1"/>
    <b v="1"/>
    <s v="Impulsive"/>
    <x v="1"/>
    <n v="4"/>
  </r>
  <r>
    <x v="58"/>
    <n v="34"/>
    <s v="Female"/>
    <x v="1"/>
    <x v="1"/>
    <x v="1"/>
    <x v="1"/>
    <s v="Fullerton"/>
    <s v="Furniture"/>
    <x v="58"/>
    <n v="6"/>
    <x v="1"/>
    <n v="2"/>
    <n v="3"/>
    <n v="2"/>
    <s v="Medium"/>
    <s v="Very Sensitive"/>
    <n v="0"/>
    <n v="10"/>
    <s v="None"/>
    <s v="Smartphone"/>
    <s v="Debit Card"/>
    <d v="2024-02-24T00:00:00"/>
    <b v="0"/>
    <b v="0"/>
    <s v="Wants-based"/>
    <x v="0"/>
    <n v="13"/>
  </r>
  <r>
    <x v="59"/>
    <n v="25"/>
    <s v="Female"/>
    <x v="0"/>
    <x v="0"/>
    <x v="0"/>
    <x v="0"/>
    <s v="Huaidao"/>
    <s v="Hotels"/>
    <x v="59"/>
    <n v="10"/>
    <x v="2"/>
    <n v="5"/>
    <n v="3"/>
    <n v="0"/>
    <s v="High"/>
    <s v="Not Sensitive"/>
    <n v="2"/>
    <n v="10"/>
    <s v="Medium"/>
    <s v="Smartphone"/>
    <s v="PayPal"/>
    <d v="2024-06-11T00:00:00"/>
    <b v="0"/>
    <b v="0"/>
    <s v="Impulsive"/>
    <x v="2"/>
    <n v="5"/>
  </r>
  <r>
    <x v="60"/>
    <n v="38"/>
    <s v="Male"/>
    <x v="1"/>
    <x v="3"/>
    <x v="0"/>
    <x v="1"/>
    <s v="Bilice"/>
    <s v="Baby Products"/>
    <x v="60"/>
    <n v="2"/>
    <x v="1"/>
    <n v="2"/>
    <n v="4"/>
    <n v="1"/>
    <s v="None"/>
    <s v="Somewhat Sensitive"/>
    <n v="2"/>
    <n v="1"/>
    <s v="Medium"/>
    <s v="Tablet"/>
    <s v="Debit Card"/>
    <d v="2024-11-24T00:00:00"/>
    <b v="0"/>
    <b v="0"/>
    <s v="Impulsive"/>
    <x v="2"/>
    <n v="1"/>
  </r>
  <r>
    <x v="61"/>
    <n v="33"/>
    <s v="Polygender"/>
    <x v="1"/>
    <x v="0"/>
    <x v="0"/>
    <x v="0"/>
    <s v="Isla Verde"/>
    <s v="Travel &amp; Leisure (Flights"/>
    <x v="61"/>
    <n v="3"/>
    <x v="0"/>
    <n v="2"/>
    <n v="3"/>
    <n v="2"/>
    <s v="None"/>
    <s v="Not Sensitive"/>
    <n v="0"/>
    <n v="6"/>
    <s v="Medium"/>
    <s v="Smartphone"/>
    <s v="Debit Card"/>
    <d v="2024-07-09T00:00:00"/>
    <b v="0"/>
    <b v="0"/>
    <s v="Planned"/>
    <x v="0"/>
    <n v="8"/>
  </r>
  <r>
    <x v="62"/>
    <n v="32"/>
    <s v="Female"/>
    <x v="0"/>
    <x v="0"/>
    <x v="0"/>
    <x v="1"/>
    <s v="Hunkuyi"/>
    <s v="Animal Feed"/>
    <x v="62"/>
    <n v="9"/>
    <x v="1"/>
    <n v="1"/>
    <n v="4"/>
    <n v="0"/>
    <s v="Medium"/>
    <s v="Very Sensitive"/>
    <n v="1"/>
    <n v="6"/>
    <s v="Low"/>
    <s v="Tablet"/>
    <s v="Debit Card"/>
    <d v="2024-08-18T00:00:00"/>
    <b v="1"/>
    <b v="1"/>
    <s v="Wants-based"/>
    <x v="1"/>
    <n v="1"/>
  </r>
  <r>
    <x v="63"/>
    <n v="50"/>
    <s v="Female"/>
    <x v="0"/>
    <x v="2"/>
    <x v="1"/>
    <x v="0"/>
    <s v="Shiree"/>
    <s v="Sports &amp; Outdoors"/>
    <x v="63"/>
    <n v="9"/>
    <x v="2"/>
    <n v="2"/>
    <n v="4"/>
    <n v="1"/>
    <s v="None"/>
    <s v="Somewhat Sensitive"/>
    <n v="0"/>
    <n v="8"/>
    <s v="High"/>
    <s v="Desktop"/>
    <s v="Credit Card"/>
    <d v="2024-07-10T00:00:00"/>
    <b v="1"/>
    <b v="0"/>
    <s v="Planned"/>
    <x v="1"/>
    <n v="5"/>
  </r>
  <r>
    <x v="64"/>
    <n v="35"/>
    <s v="Female"/>
    <x v="0"/>
    <x v="2"/>
    <x v="1"/>
    <x v="0"/>
    <s v="Strezhevoy"/>
    <s v="Luxury Goods"/>
    <x v="64"/>
    <n v="4"/>
    <x v="0"/>
    <n v="1"/>
    <n v="3"/>
    <n v="0"/>
    <s v="High"/>
    <s v="Very Sensitive"/>
    <n v="2"/>
    <n v="3"/>
    <s v="None"/>
    <s v="Desktop"/>
    <s v="Cash"/>
    <d v="2024-07-12T00:00:00"/>
    <b v="1"/>
    <b v="0"/>
    <s v="Wants-based"/>
    <x v="2"/>
    <n v="14"/>
  </r>
  <r>
    <x v="65"/>
    <n v="19"/>
    <s v="Genderfluid"/>
    <x v="1"/>
    <x v="2"/>
    <x v="1"/>
    <x v="1"/>
    <s v="Longxing"/>
    <s v="Health Care"/>
    <x v="65"/>
    <n v="8"/>
    <x v="2"/>
    <n v="1"/>
    <n v="5"/>
    <n v="0"/>
    <s v="Low"/>
    <s v="Very Sensitive"/>
    <n v="0"/>
    <n v="3"/>
    <s v="High"/>
    <s v="Smartphone"/>
    <s v="Credit Card"/>
    <d v="2024-10-05T00:00:00"/>
    <b v="1"/>
    <b v="0"/>
    <s v="Planned"/>
    <x v="0"/>
    <n v="3"/>
  </r>
  <r>
    <x v="66"/>
    <n v="46"/>
    <s v="Bigender"/>
    <x v="1"/>
    <x v="1"/>
    <x v="2"/>
    <x v="1"/>
    <s v="Jesús Menéndez"/>
    <s v="Electronics"/>
    <x v="66"/>
    <n v="9"/>
    <x v="0"/>
    <n v="2"/>
    <n v="1"/>
    <n v="1"/>
    <s v="High"/>
    <s v="Somewhat Sensitive"/>
    <n v="0"/>
    <n v="2"/>
    <s v="None"/>
    <s v="Tablet"/>
    <s v="Debit Card"/>
    <d v="2024-09-20T00:00:00"/>
    <b v="1"/>
    <b v="1"/>
    <s v="Need-based"/>
    <x v="1"/>
    <n v="8"/>
  </r>
  <r>
    <x v="67"/>
    <n v="23"/>
    <s v="Male"/>
    <x v="0"/>
    <x v="3"/>
    <x v="2"/>
    <x v="0"/>
    <s v="Hongguang"/>
    <s v="Sports &amp; Outdoors"/>
    <x v="67"/>
    <n v="2"/>
    <x v="0"/>
    <n v="2"/>
    <n v="4"/>
    <n v="0.5"/>
    <s v="High"/>
    <s v="Somewhat Sensitive"/>
    <n v="2"/>
    <n v="4"/>
    <s v="High"/>
    <s v="Desktop"/>
    <s v="Credit Card"/>
    <d v="2024-07-16T00:00:00"/>
    <b v="0"/>
    <b v="0"/>
    <s v="Planned"/>
    <x v="2"/>
    <n v="8"/>
  </r>
  <r>
    <x v="68"/>
    <n v="34"/>
    <s v="Female"/>
    <x v="1"/>
    <x v="2"/>
    <x v="2"/>
    <x v="1"/>
    <s v="Pilaya"/>
    <s v="Books"/>
    <x v="68"/>
    <n v="5"/>
    <x v="1"/>
    <n v="5"/>
    <n v="2"/>
    <n v="2"/>
    <s v="Low"/>
    <s v="Not Sensitive"/>
    <n v="0"/>
    <n v="7"/>
    <s v="Low"/>
    <s v="Tablet"/>
    <s v="Other"/>
    <d v="2024-04-02T00:00:00"/>
    <b v="0"/>
    <b v="0"/>
    <s v="Need-based"/>
    <x v="0"/>
    <n v="8"/>
  </r>
  <r>
    <x v="69"/>
    <n v="48"/>
    <s v="Male"/>
    <x v="0"/>
    <x v="3"/>
    <x v="0"/>
    <x v="1"/>
    <s v="Camp Ithier"/>
    <s v="Furniture"/>
    <x v="69"/>
    <n v="11"/>
    <x v="2"/>
    <n v="2"/>
    <n v="5"/>
    <n v="1"/>
    <s v="High"/>
    <s v="Not Sensitive"/>
    <n v="0"/>
    <n v="3"/>
    <s v="High"/>
    <s v="Desktop"/>
    <s v="Credit Card"/>
    <d v="2024-06-21T00:00:00"/>
    <b v="0"/>
    <b v="0"/>
    <s v="Need-based"/>
    <x v="0"/>
    <n v="13"/>
  </r>
  <r>
    <x v="70"/>
    <n v="27"/>
    <s v="Bigender"/>
    <x v="0"/>
    <x v="2"/>
    <x v="1"/>
    <x v="0"/>
    <s v="Holboo"/>
    <s v="Furniture"/>
    <x v="70"/>
    <n v="11"/>
    <x v="1"/>
    <n v="1"/>
    <n v="4"/>
    <n v="2"/>
    <s v="High"/>
    <s v="Very Sensitive"/>
    <n v="0"/>
    <n v="4"/>
    <s v="None"/>
    <s v="Tablet"/>
    <s v="Cash"/>
    <d v="2024-03-11T00:00:00"/>
    <b v="0"/>
    <b v="1"/>
    <s v="Wants-based"/>
    <x v="2"/>
    <n v="4"/>
  </r>
  <r>
    <x v="71"/>
    <n v="37"/>
    <s v="Female"/>
    <x v="0"/>
    <x v="3"/>
    <x v="0"/>
    <x v="0"/>
    <s v="Luxi"/>
    <s v="Home Appliances"/>
    <x v="71"/>
    <n v="9"/>
    <x v="0"/>
    <n v="3"/>
    <n v="1"/>
    <n v="1"/>
    <s v="High"/>
    <s v="Somewhat Sensitive"/>
    <n v="0"/>
    <n v="7"/>
    <s v="Low"/>
    <s v="Smartphone"/>
    <s v="Credit Card"/>
    <d v="2024-02-26T00:00:00"/>
    <b v="1"/>
    <b v="0"/>
    <s v="Wants-based"/>
    <x v="0"/>
    <n v="13"/>
  </r>
  <r>
    <x v="72"/>
    <n v="47"/>
    <s v="Male"/>
    <x v="1"/>
    <x v="0"/>
    <x v="1"/>
    <x v="1"/>
    <s v="Ostashkov"/>
    <s v="Health Supplements"/>
    <x v="72"/>
    <n v="10"/>
    <x v="1"/>
    <n v="4"/>
    <n v="4"/>
    <n v="0"/>
    <s v="Low"/>
    <s v="Somewhat Sensitive"/>
    <n v="1"/>
    <n v="1"/>
    <s v="Medium"/>
    <s v="Tablet"/>
    <s v="Other"/>
    <d v="2024-06-14T00:00:00"/>
    <b v="1"/>
    <b v="1"/>
    <s v="Wants-based"/>
    <x v="1"/>
    <n v="10"/>
  </r>
  <r>
    <x v="73"/>
    <n v="45"/>
    <s v="Male"/>
    <x v="1"/>
    <x v="1"/>
    <x v="0"/>
    <x v="1"/>
    <s v="Hongshanzui"/>
    <s v="Books"/>
    <x v="73"/>
    <n v="9"/>
    <x v="0"/>
    <n v="2"/>
    <n v="5"/>
    <n v="1"/>
    <s v="Low"/>
    <s v="Somewhat Sensitive"/>
    <n v="0"/>
    <n v="1"/>
    <s v="Medium"/>
    <s v="Smartphone"/>
    <s v="Debit Card"/>
    <d v="2024-03-24T00:00:00"/>
    <b v="1"/>
    <b v="1"/>
    <s v="Wants-based"/>
    <x v="2"/>
    <n v="1"/>
  </r>
  <r>
    <x v="74"/>
    <n v="37"/>
    <s v="Male"/>
    <x v="0"/>
    <x v="3"/>
    <x v="1"/>
    <x v="1"/>
    <s v="Tocoa"/>
    <s v="Electronics"/>
    <x v="74"/>
    <n v="4"/>
    <x v="0"/>
    <n v="3"/>
    <n v="4"/>
    <n v="2"/>
    <s v="High"/>
    <s v="Very Sensitive"/>
    <n v="0"/>
    <n v="2"/>
    <s v="Low"/>
    <s v="Tablet"/>
    <s v="Cash"/>
    <d v="2024-04-27T00:00:00"/>
    <b v="0"/>
    <b v="1"/>
    <s v="Need-based"/>
    <x v="1"/>
    <n v="3"/>
  </r>
  <r>
    <x v="75"/>
    <n v="36"/>
    <s v="Male"/>
    <x v="1"/>
    <x v="3"/>
    <x v="1"/>
    <x v="1"/>
    <s v="Bayan Tuohai"/>
    <s v="Clothing"/>
    <x v="75"/>
    <n v="6"/>
    <x v="2"/>
    <n v="4"/>
    <n v="5"/>
    <n v="0"/>
    <s v="Medium"/>
    <s v="Somewhat Sensitive"/>
    <n v="2"/>
    <n v="5"/>
    <s v="High"/>
    <s v="Tablet"/>
    <s v="Credit Card"/>
    <d v="2024-11-07T00:00:00"/>
    <b v="0"/>
    <b v="0"/>
    <s v="Planned"/>
    <x v="1"/>
    <n v="7"/>
  </r>
  <r>
    <x v="76"/>
    <n v="34"/>
    <s v="Male"/>
    <x v="0"/>
    <x v="0"/>
    <x v="0"/>
    <x v="0"/>
    <s v="Parumasan"/>
    <s v="Clothing"/>
    <x v="76"/>
    <n v="10"/>
    <x v="2"/>
    <n v="3"/>
    <n v="2"/>
    <n v="2"/>
    <s v="Medium"/>
    <s v="Not Sensitive"/>
    <n v="1"/>
    <n v="8"/>
    <s v="None"/>
    <s v="Tablet"/>
    <s v="Credit Card"/>
    <d v="2024-12-04T00:00:00"/>
    <b v="0"/>
    <b v="1"/>
    <s v="Impulsive"/>
    <x v="2"/>
    <n v="14"/>
  </r>
  <r>
    <x v="77"/>
    <n v="37"/>
    <s v="Male"/>
    <x v="1"/>
    <x v="2"/>
    <x v="2"/>
    <x v="0"/>
    <s v="Karpogory"/>
    <s v="Jewelry &amp; Accessories"/>
    <x v="77"/>
    <n v="5"/>
    <x v="1"/>
    <n v="1"/>
    <n v="1"/>
    <n v="0"/>
    <s v="None"/>
    <s v="Not Sensitive"/>
    <n v="2"/>
    <n v="4"/>
    <s v="None"/>
    <s v="Desktop"/>
    <s v="Cash"/>
    <d v="2024-04-18T00:00:00"/>
    <b v="0"/>
    <b v="1"/>
    <s v="Planned"/>
    <x v="2"/>
    <n v="12"/>
  </r>
  <r>
    <x v="78"/>
    <n v="18"/>
    <s v="Female"/>
    <x v="0"/>
    <x v="2"/>
    <x v="0"/>
    <x v="1"/>
    <s v="Shāhzādpur"/>
    <s v="Mobile Accessories"/>
    <x v="78"/>
    <n v="2"/>
    <x v="2"/>
    <n v="4"/>
    <n v="2"/>
    <n v="2"/>
    <s v="None"/>
    <s v="Very Sensitive"/>
    <n v="1"/>
    <n v="3"/>
    <s v="None"/>
    <s v="Tablet"/>
    <s v="Cash"/>
    <d v="2024-04-21T00:00:00"/>
    <b v="1"/>
    <b v="1"/>
    <s v="Wants-based"/>
    <x v="2"/>
    <n v="2"/>
  </r>
  <r>
    <x v="79"/>
    <n v="20"/>
    <s v="Male"/>
    <x v="1"/>
    <x v="3"/>
    <x v="0"/>
    <x v="0"/>
    <s v="Muaratiga"/>
    <s v="Software &amp; Apps"/>
    <x v="79"/>
    <n v="6"/>
    <x v="1"/>
    <n v="3"/>
    <n v="4"/>
    <n v="0"/>
    <s v="None"/>
    <s v="Very Sensitive"/>
    <n v="1"/>
    <n v="8"/>
    <s v="Low"/>
    <s v="Tablet"/>
    <s v="Other"/>
    <d v="2024-09-25T00:00:00"/>
    <b v="1"/>
    <b v="0"/>
    <s v="Need-based"/>
    <x v="1"/>
    <n v="7"/>
  </r>
  <r>
    <x v="80"/>
    <n v="27"/>
    <s v="Female"/>
    <x v="1"/>
    <x v="2"/>
    <x v="1"/>
    <x v="0"/>
    <s v="Gjegjan"/>
    <s v="Luxury Goods"/>
    <x v="80"/>
    <n v="7"/>
    <x v="0"/>
    <n v="1"/>
    <n v="2"/>
    <n v="1"/>
    <s v="Low"/>
    <s v="Somewhat Sensitive"/>
    <n v="0"/>
    <n v="1"/>
    <s v="Medium"/>
    <s v="Desktop"/>
    <s v="Cash"/>
    <d v="2024-12-09T00:00:00"/>
    <b v="1"/>
    <b v="1"/>
    <s v="Need-based"/>
    <x v="0"/>
    <n v="8"/>
  </r>
  <r>
    <x v="81"/>
    <n v="36"/>
    <s v="Male"/>
    <x v="0"/>
    <x v="0"/>
    <x v="1"/>
    <x v="1"/>
    <s v="Créteil"/>
    <s v="Food &amp; Beverages"/>
    <x v="81"/>
    <n v="10"/>
    <x v="2"/>
    <n v="1"/>
    <n v="2"/>
    <n v="1"/>
    <s v="Medium"/>
    <s v="Very Sensitive"/>
    <n v="2"/>
    <n v="6"/>
    <s v="Low"/>
    <s v="Smartphone"/>
    <s v="Cash"/>
    <d v="2024-09-14T00:00:00"/>
    <b v="0"/>
    <b v="1"/>
    <s v="Planned"/>
    <x v="1"/>
    <n v="7"/>
  </r>
  <r>
    <x v="82"/>
    <n v="46"/>
    <s v="Female"/>
    <x v="0"/>
    <x v="0"/>
    <x v="0"/>
    <x v="0"/>
    <s v="Pameungpeuk"/>
    <s v="Groceries"/>
    <x v="82"/>
    <n v="2"/>
    <x v="2"/>
    <n v="5"/>
    <n v="2"/>
    <n v="2"/>
    <s v="Medium"/>
    <s v="Not Sensitive"/>
    <n v="2"/>
    <n v="4"/>
    <s v="High"/>
    <s v="Tablet"/>
    <s v="PayPal"/>
    <d v="2024-03-29T00:00:00"/>
    <b v="0"/>
    <b v="0"/>
    <s v="Wants-based"/>
    <x v="2"/>
    <n v="9"/>
  </r>
  <r>
    <x v="83"/>
    <n v="26"/>
    <s v="Male"/>
    <x v="0"/>
    <x v="0"/>
    <x v="1"/>
    <x v="0"/>
    <s v="Junshan"/>
    <s v="Travel &amp; Leisure (Flights"/>
    <x v="83"/>
    <n v="4"/>
    <x v="0"/>
    <n v="1"/>
    <n v="5"/>
    <n v="0"/>
    <s v="High"/>
    <s v="Not Sensitive"/>
    <n v="0"/>
    <n v="4"/>
    <s v="High"/>
    <s v="Desktop"/>
    <s v="Other"/>
    <d v="2024-06-06T00:00:00"/>
    <b v="0"/>
    <b v="1"/>
    <s v="Impulsive"/>
    <x v="0"/>
    <n v="13"/>
  </r>
  <r>
    <x v="84"/>
    <n v="21"/>
    <s v="Female"/>
    <x v="1"/>
    <x v="3"/>
    <x v="1"/>
    <x v="0"/>
    <s v="Lewotola"/>
    <s v="Health Supplements"/>
    <x v="84"/>
    <n v="11"/>
    <x v="2"/>
    <n v="3"/>
    <n v="1"/>
    <n v="2"/>
    <s v="Low"/>
    <s v="Somewhat Sensitive"/>
    <n v="2"/>
    <n v="6"/>
    <s v="High"/>
    <s v="Desktop"/>
    <s v="Credit Card"/>
    <d v="2024-04-08T00:00:00"/>
    <b v="1"/>
    <b v="1"/>
    <s v="Planned"/>
    <x v="0"/>
    <n v="10"/>
  </r>
  <r>
    <x v="85"/>
    <n v="43"/>
    <s v="Male"/>
    <x v="1"/>
    <x v="0"/>
    <x v="0"/>
    <x v="1"/>
    <s v="Laocheng"/>
    <s v="Furniture"/>
    <x v="85"/>
    <n v="10"/>
    <x v="0"/>
    <n v="1"/>
    <n v="1"/>
    <n v="0"/>
    <s v="Low"/>
    <s v="Very Sensitive"/>
    <n v="1"/>
    <n v="5"/>
    <s v="High"/>
    <s v="Desktop"/>
    <s v="PayPal"/>
    <d v="2024-08-11T00:00:00"/>
    <b v="0"/>
    <b v="1"/>
    <s v="Need-based"/>
    <x v="0"/>
    <n v="7"/>
  </r>
  <r>
    <x v="86"/>
    <n v="19"/>
    <s v="Male"/>
    <x v="1"/>
    <x v="3"/>
    <x v="1"/>
    <x v="1"/>
    <s v="Guacarí"/>
    <s v="Travel &amp; Leisure (Flights"/>
    <x v="86"/>
    <n v="4"/>
    <x v="1"/>
    <n v="1"/>
    <n v="4"/>
    <n v="0"/>
    <s v="High"/>
    <s v="Not Sensitive"/>
    <n v="1"/>
    <n v="6"/>
    <s v="High"/>
    <s v="Tablet"/>
    <s v="Debit Card"/>
    <d v="2024-10-10T00:00:00"/>
    <b v="0"/>
    <b v="1"/>
    <s v="Impulsive"/>
    <x v="1"/>
    <n v="8"/>
  </r>
  <r>
    <x v="87"/>
    <n v="41"/>
    <s v="Female"/>
    <x v="1"/>
    <x v="2"/>
    <x v="2"/>
    <x v="1"/>
    <s v="Sancang"/>
    <s v="Office Supplies"/>
    <x v="87"/>
    <n v="2"/>
    <x v="0"/>
    <n v="3"/>
    <n v="2"/>
    <n v="2"/>
    <s v="Low"/>
    <s v="Not Sensitive"/>
    <n v="0"/>
    <n v="1"/>
    <s v="High"/>
    <s v="Tablet"/>
    <s v="PayPal"/>
    <d v="2024-06-15T00:00:00"/>
    <b v="1"/>
    <b v="1"/>
    <s v="Need-based"/>
    <x v="2"/>
    <n v="9"/>
  </r>
  <r>
    <x v="88"/>
    <n v="48"/>
    <s v="Male"/>
    <x v="0"/>
    <x v="0"/>
    <x v="1"/>
    <x v="0"/>
    <s v="Ndewel"/>
    <s v="Food &amp; Beverages"/>
    <x v="88"/>
    <n v="4"/>
    <x v="1"/>
    <n v="3"/>
    <n v="2"/>
    <n v="1"/>
    <s v="Medium"/>
    <s v="Very Sensitive"/>
    <n v="0"/>
    <n v="6"/>
    <s v="Medium"/>
    <s v="Smartphone"/>
    <s v="Debit Card"/>
    <d v="2024-08-11T00:00:00"/>
    <b v="0"/>
    <b v="1"/>
    <s v="Wants-based"/>
    <x v="0"/>
    <n v="7"/>
  </r>
  <r>
    <x v="89"/>
    <n v="19"/>
    <s v="Female"/>
    <x v="0"/>
    <x v="0"/>
    <x v="0"/>
    <x v="0"/>
    <s v="San Patricio"/>
    <s v="Health Care"/>
    <x v="89"/>
    <n v="9"/>
    <x v="2"/>
    <n v="4"/>
    <n v="4"/>
    <n v="1"/>
    <s v="High"/>
    <s v="Somewhat Sensitive"/>
    <n v="0"/>
    <n v="4"/>
    <s v="None"/>
    <s v="Tablet"/>
    <s v="Other"/>
    <d v="2024-03-28T00:00:00"/>
    <b v="1"/>
    <b v="1"/>
    <s v="Impulsive"/>
    <x v="0"/>
    <n v="5"/>
  </r>
  <r>
    <x v="90"/>
    <n v="29"/>
    <s v="Male"/>
    <x v="0"/>
    <x v="2"/>
    <x v="2"/>
    <x v="1"/>
    <s v="Fengtai"/>
    <s v="Food &amp; Beverages"/>
    <x v="90"/>
    <n v="8"/>
    <x v="2"/>
    <n v="5"/>
    <n v="3"/>
    <n v="0"/>
    <s v="None"/>
    <s v="Very Sensitive"/>
    <n v="2"/>
    <n v="1"/>
    <s v="High"/>
    <s v="Desktop"/>
    <s v="PayPal"/>
    <d v="2024-05-13T00:00:00"/>
    <b v="1"/>
    <b v="0"/>
    <s v="Need-based"/>
    <x v="0"/>
    <n v="14"/>
  </r>
  <r>
    <x v="91"/>
    <n v="26"/>
    <s v="Agender"/>
    <x v="1"/>
    <x v="1"/>
    <x v="2"/>
    <x v="1"/>
    <s v="Ḑawrān ad Daydah"/>
    <s v="Beauty &amp; Personal Care"/>
    <x v="91"/>
    <n v="10"/>
    <x v="1"/>
    <n v="3"/>
    <n v="2"/>
    <n v="0"/>
    <s v="None"/>
    <s v="Very Sensitive"/>
    <n v="0"/>
    <n v="3"/>
    <s v="Low"/>
    <s v="Smartphone"/>
    <s v="Cash"/>
    <d v="2024-11-23T00:00:00"/>
    <b v="1"/>
    <b v="1"/>
    <s v="Need-based"/>
    <x v="0"/>
    <n v="14"/>
  </r>
  <r>
    <x v="92"/>
    <n v="20"/>
    <s v="Female"/>
    <x v="0"/>
    <x v="0"/>
    <x v="0"/>
    <x v="0"/>
    <s v="Magdalena"/>
    <s v="Health Care"/>
    <x v="92"/>
    <n v="7"/>
    <x v="0"/>
    <n v="4"/>
    <n v="3"/>
    <n v="2"/>
    <s v="Low"/>
    <s v="Not Sensitive"/>
    <n v="0"/>
    <n v="9"/>
    <s v="None"/>
    <s v="Smartphone"/>
    <s v="Debit Card"/>
    <d v="2024-09-18T00:00:00"/>
    <b v="0"/>
    <b v="0"/>
    <s v="Impulsive"/>
    <x v="1"/>
    <n v="1"/>
  </r>
  <r>
    <x v="93"/>
    <n v="31"/>
    <s v="Female"/>
    <x v="1"/>
    <x v="3"/>
    <x v="2"/>
    <x v="0"/>
    <s v="Leśnica"/>
    <s v="Jewelry &amp; Accessories"/>
    <x v="93"/>
    <n v="5"/>
    <x v="1"/>
    <n v="5"/>
    <n v="1"/>
    <n v="2"/>
    <s v="Medium"/>
    <s v="Somewhat Sensitive"/>
    <n v="0"/>
    <n v="5"/>
    <s v="High"/>
    <s v="Tablet"/>
    <s v="Credit Card"/>
    <d v="2024-07-16T00:00:00"/>
    <b v="0"/>
    <b v="0"/>
    <s v="Need-based"/>
    <x v="0"/>
    <n v="12"/>
  </r>
  <r>
    <x v="94"/>
    <n v="23"/>
    <s v="Female"/>
    <x v="1"/>
    <x v="3"/>
    <x v="1"/>
    <x v="1"/>
    <s v="Hinlayagan Ilaud"/>
    <s v="Toys &amp; Games"/>
    <x v="94"/>
    <n v="8"/>
    <x v="2"/>
    <n v="4"/>
    <n v="1"/>
    <n v="0"/>
    <s v="Medium"/>
    <s v="Somewhat Sensitive"/>
    <n v="0"/>
    <n v="4"/>
    <s v="Medium"/>
    <s v="Smartphone"/>
    <s v="Debit Card"/>
    <d v="2024-08-03T00:00:00"/>
    <b v="1"/>
    <b v="0"/>
    <s v="Need-based"/>
    <x v="0"/>
    <n v="8"/>
  </r>
  <r>
    <x v="95"/>
    <n v="19"/>
    <s v="Female"/>
    <x v="1"/>
    <x v="1"/>
    <x v="1"/>
    <x v="0"/>
    <s v="Forshaga"/>
    <s v="Hotels"/>
    <x v="95"/>
    <n v="5"/>
    <x v="1"/>
    <n v="2"/>
    <n v="3"/>
    <n v="1"/>
    <s v="High"/>
    <s v="Very Sensitive"/>
    <n v="0"/>
    <n v="3"/>
    <s v="None"/>
    <s v="Smartphone"/>
    <s v="PayPal"/>
    <d v="2024-06-28T00:00:00"/>
    <b v="0"/>
    <b v="0"/>
    <s v="Planned"/>
    <x v="1"/>
    <n v="2"/>
  </r>
  <r>
    <x v="96"/>
    <n v="23"/>
    <s v="Female"/>
    <x v="0"/>
    <x v="2"/>
    <x v="0"/>
    <x v="1"/>
    <s v="Rakszawa"/>
    <s v="Animal Feed"/>
    <x v="96"/>
    <n v="8"/>
    <x v="0"/>
    <n v="3"/>
    <n v="5"/>
    <n v="0"/>
    <s v="Medium"/>
    <s v="Not Sensitive"/>
    <n v="1"/>
    <n v="1"/>
    <s v="None"/>
    <s v="Smartphone"/>
    <s v="Other"/>
    <d v="2024-03-18T00:00:00"/>
    <b v="0"/>
    <b v="1"/>
    <s v="Need-based"/>
    <x v="0"/>
    <n v="7"/>
  </r>
  <r>
    <x v="97"/>
    <n v="49"/>
    <s v="Female"/>
    <x v="0"/>
    <x v="3"/>
    <x v="0"/>
    <x v="1"/>
    <s v="Fengjiang"/>
    <s v="Furniture"/>
    <x v="97"/>
    <n v="5"/>
    <x v="2"/>
    <n v="2"/>
    <n v="1"/>
    <n v="0"/>
    <s v="None"/>
    <s v="Somewhat Sensitive"/>
    <n v="0"/>
    <n v="4"/>
    <s v="High"/>
    <s v="Desktop"/>
    <s v="Other"/>
    <d v="2024-10-15T00:00:00"/>
    <b v="0"/>
    <b v="0"/>
    <s v="Wants-based"/>
    <x v="0"/>
    <n v="14"/>
  </r>
  <r>
    <x v="98"/>
    <n v="23"/>
    <s v="Non-binary"/>
    <x v="1"/>
    <x v="3"/>
    <x v="1"/>
    <x v="1"/>
    <s v="Jiangcun"/>
    <s v="Office Supplies"/>
    <x v="98"/>
    <n v="2"/>
    <x v="0"/>
    <n v="5"/>
    <n v="5"/>
    <n v="1"/>
    <s v="Medium"/>
    <s v="Very Sensitive"/>
    <n v="1"/>
    <n v="3"/>
    <s v="None"/>
    <s v="Tablet"/>
    <s v="Debit Card"/>
    <d v="2024-11-23T00:00:00"/>
    <b v="0"/>
    <b v="0"/>
    <s v="Impulsive"/>
    <x v="2"/>
    <n v="8"/>
  </r>
  <r>
    <x v="99"/>
    <n v="42"/>
    <s v="Male"/>
    <x v="0"/>
    <x v="3"/>
    <x v="0"/>
    <x v="1"/>
    <s v="Ōkuchi"/>
    <s v="Health Care"/>
    <x v="99"/>
    <n v="11"/>
    <x v="2"/>
    <n v="5"/>
    <n v="4"/>
    <n v="0"/>
    <s v="Medium"/>
    <s v="Not Sensitive"/>
    <n v="1"/>
    <n v="8"/>
    <s v="Low"/>
    <s v="Desktop"/>
    <s v="Other"/>
    <d v="2024-11-29T00:00:00"/>
    <b v="0"/>
    <b v="0"/>
    <s v="Wants-based"/>
    <x v="0"/>
    <n v="7"/>
  </r>
  <r>
    <x v="100"/>
    <n v="18"/>
    <s v="Female"/>
    <x v="1"/>
    <x v="2"/>
    <x v="0"/>
    <x v="1"/>
    <s v="Novoukrainskiy"/>
    <s v="Beauty &amp; Personal Care"/>
    <x v="100"/>
    <n v="7"/>
    <x v="1"/>
    <n v="3"/>
    <n v="1"/>
    <n v="1"/>
    <s v="High"/>
    <s v="Somewhat Sensitive"/>
    <n v="0"/>
    <n v="1"/>
    <s v="High"/>
    <s v="Smartphone"/>
    <s v="Cash"/>
    <d v="2024-07-09T00:00:00"/>
    <b v="1"/>
    <b v="1"/>
    <s v="Wants-based"/>
    <x v="0"/>
    <n v="3"/>
  </r>
  <r>
    <x v="101"/>
    <n v="35"/>
    <s v="Male"/>
    <x v="1"/>
    <x v="1"/>
    <x v="2"/>
    <x v="0"/>
    <s v="Acobambilla"/>
    <s v="Hotels"/>
    <x v="101"/>
    <n v="6"/>
    <x v="0"/>
    <n v="4"/>
    <n v="5"/>
    <n v="1"/>
    <s v="Medium"/>
    <s v="Not Sensitive"/>
    <n v="1"/>
    <n v="2"/>
    <s v="None"/>
    <s v="Desktop"/>
    <s v="Cash"/>
    <d v="2024-08-03T00:00:00"/>
    <b v="0"/>
    <b v="0"/>
    <s v="Need-based"/>
    <x v="1"/>
    <n v="14"/>
  </r>
  <r>
    <x v="102"/>
    <n v="22"/>
    <s v="Male"/>
    <x v="0"/>
    <x v="1"/>
    <x v="0"/>
    <x v="0"/>
    <s v="Kyonju"/>
    <s v="Home Appliances"/>
    <x v="102"/>
    <n v="5"/>
    <x v="2"/>
    <n v="3"/>
    <n v="1"/>
    <n v="1"/>
    <s v="None"/>
    <s v="Somewhat Sensitive"/>
    <n v="2"/>
    <n v="1"/>
    <s v="Low"/>
    <s v="Tablet"/>
    <s v="Cash"/>
    <d v="2024-12-04T00:00:00"/>
    <b v="1"/>
    <b v="1"/>
    <s v="Impulsive"/>
    <x v="1"/>
    <n v="1"/>
  </r>
  <r>
    <x v="103"/>
    <n v="28"/>
    <s v="Female"/>
    <x v="0"/>
    <x v="0"/>
    <x v="2"/>
    <x v="1"/>
    <s v="Pomar"/>
    <s v="Food &amp; Beverages"/>
    <x v="103"/>
    <n v="7"/>
    <x v="1"/>
    <n v="2"/>
    <n v="5"/>
    <n v="0"/>
    <s v="High"/>
    <s v="Somewhat Sensitive"/>
    <n v="2"/>
    <n v="4"/>
    <s v="Medium"/>
    <s v="Tablet"/>
    <s v="Credit Card"/>
    <d v="2024-06-13T00:00:00"/>
    <b v="0"/>
    <b v="1"/>
    <s v="Need-based"/>
    <x v="0"/>
    <n v="9"/>
  </r>
  <r>
    <x v="104"/>
    <n v="42"/>
    <s v="Female"/>
    <x v="1"/>
    <x v="0"/>
    <x v="0"/>
    <x v="0"/>
    <s v="Zalţan"/>
    <s v="Arts &amp; Crafts"/>
    <x v="104"/>
    <n v="6"/>
    <x v="2"/>
    <n v="5"/>
    <n v="3"/>
    <n v="2"/>
    <s v="High"/>
    <s v="Not Sensitive"/>
    <n v="2"/>
    <n v="7"/>
    <s v="Low"/>
    <s v="Desktop"/>
    <s v="PayPal"/>
    <d v="2024-07-13T00:00:00"/>
    <b v="1"/>
    <b v="0"/>
    <s v="Wants-based"/>
    <x v="0"/>
    <n v="14"/>
  </r>
  <r>
    <x v="105"/>
    <n v="37"/>
    <s v="Female"/>
    <x v="0"/>
    <x v="2"/>
    <x v="2"/>
    <x v="1"/>
    <s v="Trélazé"/>
    <s v="Food &amp; Beverages"/>
    <x v="105"/>
    <n v="12"/>
    <x v="0"/>
    <n v="4"/>
    <n v="5"/>
    <n v="0"/>
    <s v="Medium"/>
    <s v="Somewhat Sensitive"/>
    <n v="0"/>
    <n v="7"/>
    <s v="Medium"/>
    <s v="Smartphone"/>
    <s v="Credit Card"/>
    <d v="2024-09-04T00:00:00"/>
    <b v="0"/>
    <b v="0"/>
    <s v="Need-based"/>
    <x v="1"/>
    <n v="14"/>
  </r>
  <r>
    <x v="106"/>
    <n v="33"/>
    <s v="Female"/>
    <x v="0"/>
    <x v="2"/>
    <x v="1"/>
    <x v="1"/>
    <s v="Messina"/>
    <s v="Animal Feed"/>
    <x v="106"/>
    <n v="9"/>
    <x v="0"/>
    <n v="4"/>
    <n v="2"/>
    <n v="1"/>
    <s v="Medium"/>
    <s v="Not Sensitive"/>
    <n v="1"/>
    <n v="5"/>
    <s v="Medium"/>
    <s v="Tablet"/>
    <s v="Credit Card"/>
    <d v="2024-08-26T00:00:00"/>
    <b v="1"/>
    <b v="1"/>
    <s v="Impulsive"/>
    <x v="1"/>
    <n v="3"/>
  </r>
  <r>
    <x v="107"/>
    <n v="46"/>
    <s v="Female"/>
    <x v="0"/>
    <x v="2"/>
    <x v="1"/>
    <x v="0"/>
    <s v="Mrągowo"/>
    <s v="Travel &amp; Leisure (Flights"/>
    <x v="107"/>
    <n v="2"/>
    <x v="1"/>
    <n v="5"/>
    <n v="5"/>
    <n v="2"/>
    <s v="Low"/>
    <s v="Not Sensitive"/>
    <n v="1"/>
    <n v="8"/>
    <s v="High"/>
    <s v="Desktop"/>
    <s v="Other"/>
    <d v="2024-02-25T00:00:00"/>
    <b v="1"/>
    <b v="1"/>
    <s v="Need-based"/>
    <x v="2"/>
    <n v="4"/>
  </r>
  <r>
    <x v="108"/>
    <n v="30"/>
    <s v="Female"/>
    <x v="0"/>
    <x v="3"/>
    <x v="2"/>
    <x v="0"/>
    <s v="Ngawi"/>
    <s v="Hotels"/>
    <x v="108"/>
    <n v="10"/>
    <x v="0"/>
    <n v="1"/>
    <n v="2"/>
    <n v="0"/>
    <s v="None"/>
    <s v="Somewhat Sensitive"/>
    <n v="1"/>
    <n v="6"/>
    <s v="Low"/>
    <s v="Desktop"/>
    <s v="PayPal"/>
    <d v="2024-04-15T00:00:00"/>
    <b v="1"/>
    <b v="1"/>
    <s v="Wants-based"/>
    <x v="1"/>
    <n v="7"/>
  </r>
  <r>
    <x v="109"/>
    <n v="39"/>
    <s v="Female"/>
    <x v="0"/>
    <x v="2"/>
    <x v="0"/>
    <x v="1"/>
    <s v="Oslo"/>
    <s v="Books"/>
    <x v="109"/>
    <n v="10"/>
    <x v="0"/>
    <n v="2"/>
    <n v="1"/>
    <n v="2"/>
    <s v="Low"/>
    <s v="Somewhat Sensitive"/>
    <n v="1"/>
    <n v="8"/>
    <s v="Low"/>
    <s v="Tablet"/>
    <s v="Credit Card"/>
    <d v="2024-07-01T00:00:00"/>
    <b v="1"/>
    <b v="0"/>
    <s v="Impulsive"/>
    <x v="1"/>
    <n v="2"/>
  </r>
  <r>
    <x v="110"/>
    <n v="25"/>
    <s v="Female"/>
    <x v="0"/>
    <x v="1"/>
    <x v="1"/>
    <x v="1"/>
    <s v="Dobrica"/>
    <s v="Office Supplies"/>
    <x v="110"/>
    <n v="3"/>
    <x v="1"/>
    <n v="2"/>
    <n v="3"/>
    <n v="0"/>
    <s v="None"/>
    <s v="Not Sensitive"/>
    <n v="1"/>
    <n v="3"/>
    <s v="High"/>
    <s v="Desktop"/>
    <s v="Debit Card"/>
    <d v="2024-08-30T00:00:00"/>
    <b v="0"/>
    <b v="1"/>
    <s v="Wants-based"/>
    <x v="0"/>
    <n v="1"/>
  </r>
  <r>
    <x v="111"/>
    <n v="38"/>
    <s v="Female"/>
    <x v="1"/>
    <x v="1"/>
    <x v="2"/>
    <x v="0"/>
    <s v="La Roche-sur-Yon"/>
    <s v="Health Care"/>
    <x v="111"/>
    <n v="5"/>
    <x v="2"/>
    <n v="1"/>
    <n v="2"/>
    <n v="2"/>
    <s v="High"/>
    <s v="Somewhat Sensitive"/>
    <n v="1"/>
    <n v="6"/>
    <s v="High"/>
    <s v="Desktop"/>
    <s v="Other"/>
    <d v="2024-11-13T00:00:00"/>
    <b v="1"/>
    <b v="0"/>
    <s v="Wants-based"/>
    <x v="0"/>
    <n v="4"/>
  </r>
  <r>
    <x v="112"/>
    <n v="41"/>
    <s v="Female"/>
    <x v="0"/>
    <x v="2"/>
    <x v="0"/>
    <x v="1"/>
    <s v="Point Pedro"/>
    <s v="Health Care"/>
    <x v="112"/>
    <n v="4"/>
    <x v="1"/>
    <n v="3"/>
    <n v="3"/>
    <n v="1"/>
    <s v="High"/>
    <s v="Not Sensitive"/>
    <n v="2"/>
    <n v="10"/>
    <s v="None"/>
    <s v="Desktop"/>
    <s v="Credit Card"/>
    <d v="2024-12-27T00:00:00"/>
    <b v="0"/>
    <b v="0"/>
    <s v="Wants-based"/>
    <x v="0"/>
    <n v="3"/>
  </r>
  <r>
    <x v="113"/>
    <n v="49"/>
    <s v="Female"/>
    <x v="0"/>
    <x v="3"/>
    <x v="1"/>
    <x v="1"/>
    <s v="Marseille"/>
    <s v="Jewelry &amp; Accessories"/>
    <x v="113"/>
    <n v="5"/>
    <x v="0"/>
    <n v="5"/>
    <n v="4"/>
    <n v="0"/>
    <s v="Low"/>
    <s v="Somewhat Sensitive"/>
    <n v="1"/>
    <n v="2"/>
    <s v="None"/>
    <s v="Desktop"/>
    <s v="Debit Card"/>
    <d v="2024-08-07T00:00:00"/>
    <b v="1"/>
    <b v="1"/>
    <s v="Planned"/>
    <x v="0"/>
    <n v="1"/>
  </r>
  <r>
    <x v="114"/>
    <n v="21"/>
    <s v="Male"/>
    <x v="1"/>
    <x v="3"/>
    <x v="0"/>
    <x v="0"/>
    <s v="Tianbao"/>
    <s v="Gardening &amp; Outdoors"/>
    <x v="114"/>
    <n v="8"/>
    <x v="1"/>
    <n v="5"/>
    <n v="1"/>
    <n v="1"/>
    <s v="High"/>
    <s v="Very Sensitive"/>
    <n v="1"/>
    <n v="2"/>
    <s v="Medium"/>
    <s v="Tablet"/>
    <s v="Credit Card"/>
    <d v="2024-10-05T00:00:00"/>
    <b v="0"/>
    <b v="0"/>
    <s v="Need-based"/>
    <x v="0"/>
    <n v="11"/>
  </r>
  <r>
    <x v="115"/>
    <n v="37"/>
    <s v="Male"/>
    <x v="0"/>
    <x v="2"/>
    <x v="2"/>
    <x v="1"/>
    <s v="Puqian"/>
    <s v="Office Supplies"/>
    <x v="115"/>
    <n v="7"/>
    <x v="0"/>
    <n v="5"/>
    <n v="5"/>
    <n v="2"/>
    <s v="Low"/>
    <s v="Not Sensitive"/>
    <n v="2"/>
    <n v="2"/>
    <s v="Low"/>
    <s v="Smartphone"/>
    <s v="Credit Card"/>
    <d v="2024-02-14T00:00:00"/>
    <b v="0"/>
    <b v="0"/>
    <s v="Need-based"/>
    <x v="0"/>
    <n v="12"/>
  </r>
  <r>
    <x v="116"/>
    <n v="30"/>
    <s v="Female"/>
    <x v="1"/>
    <x v="0"/>
    <x v="2"/>
    <x v="1"/>
    <s v="Binalbagan"/>
    <s v="Sports &amp; Outdoors"/>
    <x v="116"/>
    <n v="4"/>
    <x v="2"/>
    <n v="3"/>
    <n v="3"/>
    <n v="1"/>
    <s v="High"/>
    <s v="Very Sensitive"/>
    <n v="1"/>
    <n v="1"/>
    <s v="Medium"/>
    <s v="Desktop"/>
    <s v="Debit Card"/>
    <d v="2024-04-05T00:00:00"/>
    <b v="1"/>
    <b v="1"/>
    <s v="Need-based"/>
    <x v="1"/>
    <n v="3"/>
  </r>
  <r>
    <x v="117"/>
    <n v="18"/>
    <s v="Female"/>
    <x v="1"/>
    <x v="3"/>
    <x v="1"/>
    <x v="1"/>
    <s v="Tessalit"/>
    <s v="Electronics"/>
    <x v="117"/>
    <n v="7"/>
    <x v="2"/>
    <n v="3"/>
    <n v="3"/>
    <n v="0"/>
    <s v="Medium"/>
    <s v="Very Sensitive"/>
    <n v="2"/>
    <n v="5"/>
    <s v="Medium"/>
    <s v="Smartphone"/>
    <s v="PayPal"/>
    <d v="2024-02-01T00:00:00"/>
    <b v="1"/>
    <b v="0"/>
    <s v="Wants-based"/>
    <x v="2"/>
    <n v="13"/>
  </r>
  <r>
    <x v="118"/>
    <n v="41"/>
    <s v="Female"/>
    <x v="0"/>
    <x v="1"/>
    <x v="1"/>
    <x v="1"/>
    <s v="Nikolayevsk"/>
    <s v="Office Supplies"/>
    <x v="118"/>
    <n v="4"/>
    <x v="1"/>
    <n v="5"/>
    <n v="3"/>
    <n v="2"/>
    <s v="Low"/>
    <s v="Somewhat Sensitive"/>
    <n v="2"/>
    <n v="2"/>
    <s v="High"/>
    <s v="Tablet"/>
    <s v="Cash"/>
    <d v="2024-11-09T00:00:00"/>
    <b v="1"/>
    <b v="0"/>
    <s v="Need-based"/>
    <x v="2"/>
    <n v="11"/>
  </r>
  <r>
    <x v="119"/>
    <n v="40"/>
    <s v="Male"/>
    <x v="1"/>
    <x v="3"/>
    <x v="2"/>
    <x v="1"/>
    <s v="Dashuipo"/>
    <s v="Mobile Accessories"/>
    <x v="119"/>
    <n v="7"/>
    <x v="1"/>
    <n v="2"/>
    <n v="5"/>
    <n v="0"/>
    <s v="Low"/>
    <s v="Not Sensitive"/>
    <n v="0"/>
    <n v="5"/>
    <s v="Low"/>
    <s v="Tablet"/>
    <s v="Other"/>
    <d v="2024-06-17T00:00:00"/>
    <b v="1"/>
    <b v="1"/>
    <s v="Need-based"/>
    <x v="1"/>
    <n v="14"/>
  </r>
  <r>
    <x v="120"/>
    <n v="33"/>
    <s v="Female"/>
    <x v="1"/>
    <x v="3"/>
    <x v="0"/>
    <x v="1"/>
    <s v="Týn nad Vltavou"/>
    <s v="Food &amp; Beverages"/>
    <x v="120"/>
    <n v="6"/>
    <x v="2"/>
    <n v="4"/>
    <n v="3"/>
    <n v="0"/>
    <s v="Medium"/>
    <s v="Very Sensitive"/>
    <n v="0"/>
    <n v="3"/>
    <s v="Low"/>
    <s v="Smartphone"/>
    <s v="Other"/>
    <d v="2024-06-01T00:00:00"/>
    <b v="1"/>
    <b v="1"/>
    <s v="Impulsive"/>
    <x v="2"/>
    <n v="3"/>
  </r>
  <r>
    <x v="121"/>
    <n v="30"/>
    <s v="Female"/>
    <x v="0"/>
    <x v="3"/>
    <x v="0"/>
    <x v="1"/>
    <s v="Kaum Kaler"/>
    <s v="Clothing"/>
    <x v="121"/>
    <n v="12"/>
    <x v="2"/>
    <n v="3"/>
    <n v="3"/>
    <n v="1"/>
    <s v="Medium"/>
    <s v="Not Sensitive"/>
    <n v="2"/>
    <n v="7"/>
    <s v="Medium"/>
    <s v="Smartphone"/>
    <s v="PayPal"/>
    <d v="2024-09-24T00:00:00"/>
    <b v="0"/>
    <b v="1"/>
    <s v="Impulsive"/>
    <x v="0"/>
    <n v="11"/>
  </r>
  <r>
    <x v="122"/>
    <n v="33"/>
    <s v="Female"/>
    <x v="1"/>
    <x v="0"/>
    <x v="0"/>
    <x v="1"/>
    <s v="Gandapura"/>
    <s v="Electronics"/>
    <x v="122"/>
    <n v="3"/>
    <x v="2"/>
    <n v="2"/>
    <n v="3"/>
    <n v="1"/>
    <s v="Medium"/>
    <s v="Very Sensitive"/>
    <n v="1"/>
    <n v="8"/>
    <s v="Medium"/>
    <s v="Desktop"/>
    <s v="Debit Card"/>
    <d v="2024-09-05T00:00:00"/>
    <b v="1"/>
    <b v="1"/>
    <s v="Impulsive"/>
    <x v="1"/>
    <n v="10"/>
  </r>
  <r>
    <x v="123"/>
    <n v="45"/>
    <s v="Male"/>
    <x v="0"/>
    <x v="3"/>
    <x v="1"/>
    <x v="1"/>
    <s v="Kawangkoan"/>
    <s v="Food &amp; Beverages"/>
    <x v="123"/>
    <n v="6"/>
    <x v="2"/>
    <n v="2"/>
    <n v="2"/>
    <n v="0"/>
    <s v="None"/>
    <s v="Somewhat Sensitive"/>
    <n v="0"/>
    <n v="4"/>
    <s v="High"/>
    <s v="Tablet"/>
    <s v="PayPal"/>
    <d v="2024-06-12T00:00:00"/>
    <b v="1"/>
    <b v="1"/>
    <s v="Need-based"/>
    <x v="2"/>
    <n v="1"/>
  </r>
  <r>
    <x v="124"/>
    <n v="42"/>
    <s v="Female"/>
    <x v="1"/>
    <x v="1"/>
    <x v="1"/>
    <x v="0"/>
    <s v="Mondorf-les-Bains"/>
    <s v="Jewelry &amp; Accessories"/>
    <x v="124"/>
    <n v="12"/>
    <x v="1"/>
    <n v="3"/>
    <n v="1"/>
    <n v="0"/>
    <s v="Low"/>
    <s v="Somewhat Sensitive"/>
    <n v="2"/>
    <n v="10"/>
    <s v="Medium"/>
    <s v="Desktop"/>
    <s v="Credit Card"/>
    <d v="2024-10-06T00:00:00"/>
    <b v="0"/>
    <b v="0"/>
    <s v="Need-based"/>
    <x v="2"/>
    <n v="12"/>
  </r>
  <r>
    <x v="125"/>
    <n v="30"/>
    <s v="Male"/>
    <x v="1"/>
    <x v="0"/>
    <x v="0"/>
    <x v="0"/>
    <s v="Manwakh"/>
    <s v="Health Supplements"/>
    <x v="125"/>
    <n v="6"/>
    <x v="2"/>
    <n v="2"/>
    <n v="2"/>
    <n v="0"/>
    <s v="Medium"/>
    <s v="Very Sensitive"/>
    <n v="0"/>
    <n v="8"/>
    <s v="High"/>
    <s v="Tablet"/>
    <s v="Other"/>
    <d v="2024-07-29T00:00:00"/>
    <b v="1"/>
    <b v="1"/>
    <s v="Planned"/>
    <x v="2"/>
    <n v="7"/>
  </r>
  <r>
    <x v="126"/>
    <n v="42"/>
    <s v="Male"/>
    <x v="0"/>
    <x v="1"/>
    <x v="1"/>
    <x v="0"/>
    <s v="Karlstad"/>
    <s v="Beauty &amp; Personal Care"/>
    <x v="126"/>
    <n v="11"/>
    <x v="1"/>
    <n v="5"/>
    <n v="3"/>
    <n v="2"/>
    <s v="None"/>
    <s v="Not Sensitive"/>
    <n v="2"/>
    <n v="7"/>
    <s v="High"/>
    <s v="Tablet"/>
    <s v="Debit Card"/>
    <d v="2024-10-18T00:00:00"/>
    <b v="1"/>
    <b v="0"/>
    <s v="Need-based"/>
    <x v="2"/>
    <n v="11"/>
  </r>
  <r>
    <x v="127"/>
    <n v="26"/>
    <s v="Female"/>
    <x v="1"/>
    <x v="1"/>
    <x v="2"/>
    <x v="0"/>
    <s v="Obong"/>
    <s v="Health Care"/>
    <x v="127"/>
    <n v="6"/>
    <x v="1"/>
    <n v="1"/>
    <n v="1"/>
    <n v="1"/>
    <s v="High"/>
    <s v="Not Sensitive"/>
    <n v="0"/>
    <n v="1"/>
    <s v="Low"/>
    <s v="Tablet"/>
    <s v="Credit Card"/>
    <d v="2024-08-07T00:00:00"/>
    <b v="0"/>
    <b v="0"/>
    <s v="Wants-based"/>
    <x v="0"/>
    <n v="7"/>
  </r>
  <r>
    <x v="128"/>
    <n v="42"/>
    <s v="Female"/>
    <x v="1"/>
    <x v="3"/>
    <x v="1"/>
    <x v="1"/>
    <s v="Kolsko"/>
    <s v="Jewelry &amp; Accessories"/>
    <x v="128"/>
    <n v="6"/>
    <x v="0"/>
    <n v="3"/>
    <n v="3"/>
    <n v="1"/>
    <s v="None"/>
    <s v="Not Sensitive"/>
    <n v="0"/>
    <n v="1"/>
    <s v="Low"/>
    <s v="Desktop"/>
    <s v="Other"/>
    <d v="2024-08-12T00:00:00"/>
    <b v="1"/>
    <b v="0"/>
    <s v="Planned"/>
    <x v="0"/>
    <n v="10"/>
  </r>
  <r>
    <x v="129"/>
    <n v="31"/>
    <s v="Male"/>
    <x v="1"/>
    <x v="3"/>
    <x v="1"/>
    <x v="0"/>
    <s v="Dālbandīn"/>
    <s v="Animal Feed"/>
    <x v="129"/>
    <n v="5"/>
    <x v="1"/>
    <n v="4"/>
    <n v="4"/>
    <n v="0"/>
    <s v="Medium"/>
    <s v="Very Sensitive"/>
    <n v="1"/>
    <n v="5"/>
    <s v="High"/>
    <s v="Tablet"/>
    <s v="Debit Card"/>
    <d v="2024-11-27T00:00:00"/>
    <b v="0"/>
    <b v="1"/>
    <s v="Impulsive"/>
    <x v="0"/>
    <n v="10"/>
  </r>
  <r>
    <x v="130"/>
    <n v="37"/>
    <s v="Genderqueer"/>
    <x v="1"/>
    <x v="3"/>
    <x v="0"/>
    <x v="0"/>
    <s v="Shazi"/>
    <s v="Travel &amp; Leisure (Flights"/>
    <x v="130"/>
    <n v="5"/>
    <x v="1"/>
    <n v="4"/>
    <n v="3"/>
    <n v="1"/>
    <s v="None"/>
    <s v="Very Sensitive"/>
    <n v="2"/>
    <n v="10"/>
    <s v="High"/>
    <s v="Smartphone"/>
    <s v="PayPal"/>
    <d v="2024-01-25T00:00:00"/>
    <b v="0"/>
    <b v="0"/>
    <s v="Impulsive"/>
    <x v="2"/>
    <n v="12"/>
  </r>
  <r>
    <x v="131"/>
    <n v="49"/>
    <s v="Male"/>
    <x v="1"/>
    <x v="0"/>
    <x v="1"/>
    <x v="0"/>
    <s v="Hachiōji"/>
    <s v="Health Supplements"/>
    <x v="131"/>
    <n v="8"/>
    <x v="0"/>
    <n v="1"/>
    <n v="2"/>
    <n v="1"/>
    <s v="High"/>
    <s v="Somewhat Sensitive"/>
    <n v="0"/>
    <n v="2"/>
    <s v="Medium"/>
    <s v="Desktop"/>
    <s v="PayPal"/>
    <d v="2024-05-10T00:00:00"/>
    <b v="0"/>
    <b v="1"/>
    <s v="Planned"/>
    <x v="0"/>
    <n v="5"/>
  </r>
  <r>
    <x v="132"/>
    <n v="34"/>
    <s v="Male"/>
    <x v="1"/>
    <x v="2"/>
    <x v="1"/>
    <x v="1"/>
    <s v="Jolo"/>
    <s v="Home Appliances"/>
    <x v="132"/>
    <n v="4"/>
    <x v="0"/>
    <n v="3"/>
    <n v="2"/>
    <n v="1"/>
    <s v="High"/>
    <s v="Somewhat Sensitive"/>
    <n v="2"/>
    <n v="5"/>
    <s v="Medium"/>
    <s v="Tablet"/>
    <s v="Credit Card"/>
    <d v="2024-04-22T00:00:00"/>
    <b v="1"/>
    <b v="0"/>
    <s v="Planned"/>
    <x v="1"/>
    <n v="4"/>
  </r>
  <r>
    <x v="133"/>
    <n v="41"/>
    <s v="Male"/>
    <x v="1"/>
    <x v="2"/>
    <x v="1"/>
    <x v="0"/>
    <s v="Pedra Azul"/>
    <s v="Hotels"/>
    <x v="133"/>
    <n v="12"/>
    <x v="1"/>
    <n v="2"/>
    <n v="5"/>
    <n v="2"/>
    <s v="None"/>
    <s v="Very Sensitive"/>
    <n v="1"/>
    <n v="7"/>
    <s v="High"/>
    <s v="Tablet"/>
    <s v="Other"/>
    <d v="2024-03-19T00:00:00"/>
    <b v="1"/>
    <b v="1"/>
    <s v="Impulsive"/>
    <x v="0"/>
    <n v="11"/>
  </r>
  <r>
    <x v="134"/>
    <n v="33"/>
    <s v="Male"/>
    <x v="1"/>
    <x v="1"/>
    <x v="1"/>
    <x v="1"/>
    <s v="Gustavsberg"/>
    <s v="Health Care"/>
    <x v="134"/>
    <n v="6"/>
    <x v="2"/>
    <n v="1"/>
    <n v="4"/>
    <n v="1"/>
    <s v="Medium"/>
    <s v="Somewhat Sensitive"/>
    <n v="2"/>
    <n v="3"/>
    <s v="None"/>
    <s v="Tablet"/>
    <s v="Cash"/>
    <d v="2024-01-24T00:00:00"/>
    <b v="1"/>
    <b v="1"/>
    <s v="Planned"/>
    <x v="0"/>
    <n v="1"/>
  </r>
  <r>
    <x v="135"/>
    <n v="47"/>
    <s v="Female"/>
    <x v="0"/>
    <x v="2"/>
    <x v="2"/>
    <x v="1"/>
    <s v="La Mohammedia"/>
    <s v="Electronics"/>
    <x v="135"/>
    <n v="2"/>
    <x v="2"/>
    <n v="4"/>
    <n v="2"/>
    <n v="1"/>
    <s v="High"/>
    <s v="Not Sensitive"/>
    <n v="1"/>
    <n v="3"/>
    <s v="Low"/>
    <s v="Desktop"/>
    <s v="Other"/>
    <d v="2024-10-04T00:00:00"/>
    <b v="1"/>
    <b v="1"/>
    <s v="Need-based"/>
    <x v="1"/>
    <n v="5"/>
  </r>
  <r>
    <x v="136"/>
    <n v="47"/>
    <s v="Male"/>
    <x v="1"/>
    <x v="2"/>
    <x v="1"/>
    <x v="1"/>
    <s v="Florida"/>
    <s v="Food &amp; Beverages"/>
    <x v="136"/>
    <n v="4"/>
    <x v="1"/>
    <n v="3"/>
    <n v="2"/>
    <n v="0"/>
    <s v="None"/>
    <s v="Somewhat Sensitive"/>
    <n v="2"/>
    <n v="5"/>
    <s v="High"/>
    <s v="Tablet"/>
    <s v="Credit Card"/>
    <d v="2024-05-23T00:00:00"/>
    <b v="1"/>
    <b v="1"/>
    <s v="Impulsive"/>
    <x v="0"/>
    <n v="1"/>
  </r>
  <r>
    <x v="137"/>
    <n v="29"/>
    <s v="Female"/>
    <x v="1"/>
    <x v="2"/>
    <x v="1"/>
    <x v="1"/>
    <s v="Zhongcheng"/>
    <s v="Health Supplements"/>
    <x v="137"/>
    <n v="10"/>
    <x v="1"/>
    <n v="3"/>
    <n v="4"/>
    <n v="2"/>
    <s v="None"/>
    <s v="Not Sensitive"/>
    <n v="0"/>
    <n v="7"/>
    <s v="None"/>
    <s v="Desktop"/>
    <s v="Credit Card"/>
    <d v="2024-11-13T00:00:00"/>
    <b v="0"/>
    <b v="1"/>
    <s v="Impulsive"/>
    <x v="0"/>
    <n v="2"/>
  </r>
  <r>
    <x v="138"/>
    <n v="36"/>
    <s v="Female"/>
    <x v="1"/>
    <x v="2"/>
    <x v="2"/>
    <x v="0"/>
    <s v="Goiatuba"/>
    <s v="Books"/>
    <x v="138"/>
    <n v="4"/>
    <x v="2"/>
    <n v="4"/>
    <n v="5"/>
    <n v="1"/>
    <s v="High"/>
    <s v="Very Sensitive"/>
    <n v="1"/>
    <n v="4"/>
    <s v="Medium"/>
    <s v="Smartphone"/>
    <s v="PayPal"/>
    <d v="2024-03-03T00:00:00"/>
    <b v="1"/>
    <b v="0"/>
    <s v="Impulsive"/>
    <x v="1"/>
    <n v="3"/>
  </r>
  <r>
    <x v="139"/>
    <n v="43"/>
    <s v="Male"/>
    <x v="1"/>
    <x v="3"/>
    <x v="0"/>
    <x v="0"/>
    <s v="Krajan Kidul Rojopolo"/>
    <s v="Toys &amp; Games"/>
    <x v="139"/>
    <n v="5"/>
    <x v="2"/>
    <n v="1"/>
    <n v="4"/>
    <n v="2"/>
    <s v="Low"/>
    <s v="Somewhat Sensitive"/>
    <n v="0"/>
    <n v="9"/>
    <s v="Medium"/>
    <s v="Smartphone"/>
    <s v="Other"/>
    <d v="2024-03-03T00:00:00"/>
    <b v="0"/>
    <b v="0"/>
    <s v="Need-based"/>
    <x v="2"/>
    <n v="10"/>
  </r>
  <r>
    <x v="140"/>
    <n v="31"/>
    <s v="Male"/>
    <x v="1"/>
    <x v="2"/>
    <x v="1"/>
    <x v="1"/>
    <s v="Metchosin"/>
    <s v="Home Appliances"/>
    <x v="140"/>
    <n v="5"/>
    <x v="0"/>
    <n v="3"/>
    <n v="5"/>
    <n v="2"/>
    <s v="Low"/>
    <s v="Not Sensitive"/>
    <n v="2"/>
    <n v="4"/>
    <s v="None"/>
    <s v="Tablet"/>
    <s v="Cash"/>
    <d v="2024-03-24T00:00:00"/>
    <b v="0"/>
    <b v="0"/>
    <s v="Planned"/>
    <x v="1"/>
    <n v="10"/>
  </r>
  <r>
    <x v="141"/>
    <n v="27"/>
    <s v="Male"/>
    <x v="0"/>
    <x v="2"/>
    <x v="2"/>
    <x v="0"/>
    <s v="Staritsa"/>
    <s v="Groceries"/>
    <x v="141"/>
    <n v="10"/>
    <x v="0"/>
    <n v="5"/>
    <n v="1"/>
    <n v="2"/>
    <s v="Low"/>
    <s v="Very Sensitive"/>
    <n v="0"/>
    <n v="2"/>
    <s v="None"/>
    <s v="Smartphone"/>
    <s v="Cash"/>
    <d v="2024-01-22T00:00:00"/>
    <b v="0"/>
    <b v="1"/>
    <s v="Impulsive"/>
    <x v="0"/>
    <n v="3"/>
  </r>
  <r>
    <x v="142"/>
    <n v="48"/>
    <s v="Male"/>
    <x v="0"/>
    <x v="1"/>
    <x v="1"/>
    <x v="0"/>
    <s v="Benito Juarez"/>
    <s v="Hotels"/>
    <x v="142"/>
    <n v="4"/>
    <x v="2"/>
    <n v="1"/>
    <n v="5"/>
    <n v="1"/>
    <s v="High"/>
    <s v="Not Sensitive"/>
    <n v="0"/>
    <n v="2"/>
    <s v="Low"/>
    <s v="Tablet"/>
    <s v="Debit Card"/>
    <d v="2024-11-02T00:00:00"/>
    <b v="0"/>
    <b v="1"/>
    <s v="Need-based"/>
    <x v="0"/>
    <n v="4"/>
  </r>
  <r>
    <x v="143"/>
    <n v="19"/>
    <s v="Genderqueer"/>
    <x v="1"/>
    <x v="1"/>
    <x v="0"/>
    <x v="1"/>
    <s v="Maní"/>
    <s v="Food &amp; Beverages"/>
    <x v="143"/>
    <n v="2"/>
    <x v="0"/>
    <n v="1"/>
    <n v="2"/>
    <n v="2"/>
    <s v="Medium"/>
    <s v="Very Sensitive"/>
    <n v="0"/>
    <n v="6"/>
    <s v="Medium"/>
    <s v="Desktop"/>
    <s v="Credit Card"/>
    <d v="2024-04-18T00:00:00"/>
    <b v="1"/>
    <b v="0"/>
    <s v="Wants-based"/>
    <x v="1"/>
    <n v="3"/>
  </r>
  <r>
    <x v="144"/>
    <n v="41"/>
    <s v="Male"/>
    <x v="0"/>
    <x v="0"/>
    <x v="0"/>
    <x v="1"/>
    <s v="Vitali"/>
    <s v="Electronics"/>
    <x v="144"/>
    <n v="10"/>
    <x v="0"/>
    <n v="1"/>
    <n v="2"/>
    <n v="2"/>
    <s v="High"/>
    <s v="Somewhat Sensitive"/>
    <n v="1"/>
    <n v="8"/>
    <s v="Medium"/>
    <s v="Desktop"/>
    <s v="Credit Card"/>
    <d v="2024-08-27T00:00:00"/>
    <b v="0"/>
    <b v="0"/>
    <s v="Planned"/>
    <x v="2"/>
    <n v="1"/>
  </r>
  <r>
    <x v="145"/>
    <n v="33"/>
    <s v="Female"/>
    <x v="0"/>
    <x v="0"/>
    <x v="2"/>
    <x v="1"/>
    <s v="Mizque"/>
    <s v="Electronics"/>
    <x v="145"/>
    <n v="10"/>
    <x v="0"/>
    <n v="4"/>
    <n v="3"/>
    <n v="1"/>
    <s v="Medium"/>
    <s v="Not Sensitive"/>
    <n v="0"/>
    <n v="2"/>
    <s v="Low"/>
    <s v="Desktop"/>
    <s v="Debit Card"/>
    <d v="2024-02-03T00:00:00"/>
    <b v="0"/>
    <b v="0"/>
    <s v="Wants-based"/>
    <x v="0"/>
    <n v="12"/>
  </r>
  <r>
    <x v="146"/>
    <n v="43"/>
    <s v="Male"/>
    <x v="0"/>
    <x v="3"/>
    <x v="2"/>
    <x v="1"/>
    <s v="Zgornje Pirniče"/>
    <s v="Baby Products"/>
    <x v="146"/>
    <n v="6"/>
    <x v="2"/>
    <n v="1"/>
    <n v="4"/>
    <n v="2"/>
    <s v="None"/>
    <s v="Not Sensitive"/>
    <n v="2"/>
    <n v="8"/>
    <s v="Low"/>
    <s v="Tablet"/>
    <s v="Cash"/>
    <d v="2024-09-15T00:00:00"/>
    <b v="1"/>
    <b v="1"/>
    <s v="Planned"/>
    <x v="1"/>
    <n v="12"/>
  </r>
  <r>
    <x v="147"/>
    <n v="38"/>
    <s v="Male"/>
    <x v="1"/>
    <x v="1"/>
    <x v="0"/>
    <x v="1"/>
    <s v="Cipolletti"/>
    <s v="Jewelry &amp; Accessories"/>
    <x v="147"/>
    <n v="2"/>
    <x v="0"/>
    <n v="2"/>
    <n v="3"/>
    <n v="1"/>
    <s v="High"/>
    <s v="Somewhat Sensitive"/>
    <n v="2"/>
    <n v="8"/>
    <s v="High"/>
    <s v="Smartphone"/>
    <s v="PayPal"/>
    <d v="2024-06-08T00:00:00"/>
    <b v="1"/>
    <b v="0"/>
    <s v="Impulsive"/>
    <x v="1"/>
    <n v="12"/>
  </r>
  <r>
    <x v="148"/>
    <n v="41"/>
    <s v="Male"/>
    <x v="1"/>
    <x v="2"/>
    <x v="0"/>
    <x v="0"/>
    <s v="Sollefteå"/>
    <s v="Baby Products"/>
    <x v="148"/>
    <n v="3"/>
    <x v="2"/>
    <n v="4"/>
    <n v="4"/>
    <n v="0"/>
    <s v="Low"/>
    <s v="Not Sensitive"/>
    <n v="1"/>
    <n v="9"/>
    <s v="None"/>
    <s v="Tablet"/>
    <s v="Cash"/>
    <d v="2024-05-31T00:00:00"/>
    <b v="0"/>
    <b v="0"/>
    <s v="Impulsive"/>
    <x v="2"/>
    <n v="7"/>
  </r>
  <r>
    <x v="149"/>
    <n v="40"/>
    <s v="Male"/>
    <x v="1"/>
    <x v="0"/>
    <x v="2"/>
    <x v="1"/>
    <s v="Klonowa"/>
    <s v="Gardening &amp; Outdoors"/>
    <x v="149"/>
    <n v="11"/>
    <x v="2"/>
    <n v="1"/>
    <n v="2"/>
    <n v="2"/>
    <s v="Low"/>
    <s v="Not Sensitive"/>
    <n v="2"/>
    <n v="7"/>
    <s v="None"/>
    <s v="Smartphone"/>
    <s v="Credit Card"/>
    <d v="2024-02-23T00:00:00"/>
    <b v="0"/>
    <b v="1"/>
    <s v="Planned"/>
    <x v="1"/>
    <n v="7"/>
  </r>
  <r>
    <x v="150"/>
    <n v="47"/>
    <s v="Genderfluid"/>
    <x v="0"/>
    <x v="1"/>
    <x v="0"/>
    <x v="0"/>
    <s v="Suvorov"/>
    <s v="Software &amp; Apps"/>
    <x v="150"/>
    <n v="2"/>
    <x v="2"/>
    <n v="2"/>
    <n v="2"/>
    <n v="2"/>
    <s v="Low"/>
    <s v="Very Sensitive"/>
    <n v="1"/>
    <n v="4"/>
    <s v="High"/>
    <s v="Tablet"/>
    <s v="Other"/>
    <d v="2024-10-30T00:00:00"/>
    <b v="1"/>
    <b v="0"/>
    <s v="Need-based"/>
    <x v="2"/>
    <n v="9"/>
  </r>
  <r>
    <x v="151"/>
    <n v="35"/>
    <s v="Male"/>
    <x v="1"/>
    <x v="2"/>
    <x v="0"/>
    <x v="1"/>
    <s v="Dragash"/>
    <s v="Health Supplements"/>
    <x v="151"/>
    <n v="3"/>
    <x v="1"/>
    <n v="4"/>
    <n v="2"/>
    <n v="2"/>
    <s v="Low"/>
    <s v="Very Sensitive"/>
    <n v="0"/>
    <n v="6"/>
    <s v="Medium"/>
    <s v="Smartphone"/>
    <s v="Other"/>
    <d v="2024-11-22T00:00:00"/>
    <b v="0"/>
    <b v="1"/>
    <s v="Impulsive"/>
    <x v="2"/>
    <n v="6"/>
  </r>
  <r>
    <x v="152"/>
    <n v="49"/>
    <s v="Non-binary"/>
    <x v="1"/>
    <x v="0"/>
    <x v="2"/>
    <x v="0"/>
    <s v="Freiburg im Breisgau"/>
    <s v="Packages)"/>
    <x v="152"/>
    <n v="5"/>
    <x v="0"/>
    <n v="1"/>
    <n v="3"/>
    <n v="0"/>
    <s v="Medium"/>
    <s v="Very Sensitive"/>
    <n v="0"/>
    <n v="9"/>
    <s v="Low"/>
    <s v="Tablet"/>
    <s v="Credit Card"/>
    <d v="2024-09-15T00:00:00"/>
    <b v="0"/>
    <b v="1"/>
    <s v="Need-based"/>
    <x v="1"/>
    <n v="14"/>
  </r>
  <r>
    <x v="153"/>
    <n v="22"/>
    <s v="Male"/>
    <x v="0"/>
    <x v="3"/>
    <x v="2"/>
    <x v="1"/>
    <s v="Macau"/>
    <s v="Home Appliances"/>
    <x v="153"/>
    <n v="3"/>
    <x v="0"/>
    <n v="1"/>
    <n v="3"/>
    <n v="0"/>
    <s v="High"/>
    <s v="Not Sensitive"/>
    <n v="1"/>
    <n v="5"/>
    <s v="High"/>
    <s v="Desktop"/>
    <s v="Credit Card"/>
    <d v="2024-09-29T00:00:00"/>
    <b v="0"/>
    <b v="1"/>
    <s v="Wants-based"/>
    <x v="1"/>
    <n v="7"/>
  </r>
  <r>
    <x v="154"/>
    <n v="49"/>
    <s v="Male"/>
    <x v="1"/>
    <x v="1"/>
    <x v="2"/>
    <x v="0"/>
    <s v="Pancas"/>
    <s v="Travel &amp; Leisure (Flights"/>
    <x v="154"/>
    <n v="12"/>
    <x v="0"/>
    <n v="5"/>
    <n v="2"/>
    <n v="2"/>
    <s v="High"/>
    <s v="Very Sensitive"/>
    <n v="2"/>
    <n v="4"/>
    <s v="High"/>
    <s v="Smartphone"/>
    <s v="Debit Card"/>
    <d v="2024-11-16T00:00:00"/>
    <b v="1"/>
    <b v="1"/>
    <s v="Planned"/>
    <x v="1"/>
    <n v="6"/>
  </r>
  <r>
    <x v="155"/>
    <n v="27"/>
    <s v="Female"/>
    <x v="0"/>
    <x v="0"/>
    <x v="2"/>
    <x v="0"/>
    <s v="Dayapan"/>
    <s v="Travel &amp; Leisure (Flights"/>
    <x v="155"/>
    <n v="5"/>
    <x v="2"/>
    <n v="1"/>
    <n v="5"/>
    <n v="0"/>
    <s v="None"/>
    <s v="Not Sensitive"/>
    <n v="1"/>
    <n v="1"/>
    <s v="Low"/>
    <s v="Desktop"/>
    <s v="Debit Card"/>
    <d v="2024-11-09T00:00:00"/>
    <b v="1"/>
    <b v="0"/>
    <s v="Wants-based"/>
    <x v="0"/>
    <n v="11"/>
  </r>
  <r>
    <x v="156"/>
    <n v="27"/>
    <s v="Female"/>
    <x v="1"/>
    <x v="0"/>
    <x v="0"/>
    <x v="0"/>
    <s v="Gordon Town"/>
    <s v="Health Care"/>
    <x v="156"/>
    <n v="4"/>
    <x v="0"/>
    <n v="4"/>
    <n v="4"/>
    <n v="0"/>
    <s v="High"/>
    <s v="Somewhat Sensitive"/>
    <n v="1"/>
    <n v="3"/>
    <s v="Medium"/>
    <s v="Smartphone"/>
    <s v="Cash"/>
    <d v="2024-09-03T00:00:00"/>
    <b v="1"/>
    <b v="1"/>
    <s v="Planned"/>
    <x v="1"/>
    <n v="7"/>
  </r>
  <r>
    <x v="157"/>
    <n v="37"/>
    <s v="Female"/>
    <x v="1"/>
    <x v="1"/>
    <x v="2"/>
    <x v="0"/>
    <s v="Proptisht"/>
    <s v="Hotels"/>
    <x v="157"/>
    <n v="3"/>
    <x v="0"/>
    <n v="1"/>
    <n v="4"/>
    <n v="0"/>
    <s v="None"/>
    <s v="Very Sensitive"/>
    <n v="1"/>
    <n v="9"/>
    <s v="Medium"/>
    <s v="Tablet"/>
    <s v="PayPal"/>
    <d v="2024-03-13T00:00:00"/>
    <b v="0"/>
    <b v="1"/>
    <s v="Need-based"/>
    <x v="2"/>
    <n v="1"/>
  </r>
  <r>
    <x v="158"/>
    <n v="32"/>
    <s v="Male"/>
    <x v="0"/>
    <x v="0"/>
    <x v="0"/>
    <x v="1"/>
    <s v="Kamal"/>
    <s v="Health Care"/>
    <x v="158"/>
    <n v="3"/>
    <x v="0"/>
    <n v="1"/>
    <n v="4"/>
    <n v="2"/>
    <s v="High"/>
    <s v="Somewhat Sensitive"/>
    <n v="2"/>
    <n v="5"/>
    <s v="High"/>
    <s v="Smartphone"/>
    <s v="Other"/>
    <d v="2024-04-18T00:00:00"/>
    <b v="0"/>
    <b v="1"/>
    <s v="Wants-based"/>
    <x v="1"/>
    <n v="2"/>
  </r>
  <r>
    <x v="159"/>
    <n v="42"/>
    <s v="Male"/>
    <x v="0"/>
    <x v="2"/>
    <x v="2"/>
    <x v="1"/>
    <s v="Kouvola"/>
    <s v="Arts &amp; Crafts"/>
    <x v="159"/>
    <n v="2"/>
    <x v="2"/>
    <n v="2"/>
    <n v="4"/>
    <n v="1"/>
    <s v="Low"/>
    <s v="Very Sensitive"/>
    <n v="2"/>
    <n v="5"/>
    <s v="None"/>
    <s v="Desktop"/>
    <s v="Cash"/>
    <d v="2024-05-21T00:00:00"/>
    <b v="1"/>
    <b v="1"/>
    <s v="Impulsive"/>
    <x v="2"/>
    <n v="8"/>
  </r>
  <r>
    <x v="160"/>
    <n v="18"/>
    <s v="Female"/>
    <x v="1"/>
    <x v="2"/>
    <x v="2"/>
    <x v="0"/>
    <s v="Zhongdong"/>
    <s v="Software &amp; Apps"/>
    <x v="160"/>
    <n v="8"/>
    <x v="0"/>
    <n v="3"/>
    <n v="3"/>
    <n v="0.3"/>
    <s v="Low"/>
    <s v="Very Sensitive"/>
    <n v="0"/>
    <n v="9"/>
    <s v="High"/>
    <s v="Desktop"/>
    <s v="Other"/>
    <d v="2024-06-17T00:00:00"/>
    <b v="0"/>
    <b v="1"/>
    <s v="Need-based"/>
    <x v="0"/>
    <n v="6"/>
  </r>
  <r>
    <x v="161"/>
    <n v="49"/>
    <s v="Male"/>
    <x v="1"/>
    <x v="2"/>
    <x v="2"/>
    <x v="0"/>
    <s v="Betong"/>
    <s v="Arts &amp; Crafts"/>
    <x v="161"/>
    <n v="4"/>
    <x v="2"/>
    <n v="5"/>
    <n v="2"/>
    <n v="0"/>
    <s v="High"/>
    <s v="Somewhat Sensitive"/>
    <n v="0"/>
    <n v="7"/>
    <s v="None"/>
    <s v="Smartphone"/>
    <s v="Debit Card"/>
    <d v="2024-04-01T00:00:00"/>
    <b v="0"/>
    <b v="0"/>
    <s v="Planned"/>
    <x v="0"/>
    <n v="6"/>
  </r>
  <r>
    <x v="162"/>
    <n v="23"/>
    <s v="Female"/>
    <x v="0"/>
    <x v="2"/>
    <x v="1"/>
    <x v="0"/>
    <s v="Jinping"/>
    <s v="Animal Feed"/>
    <x v="162"/>
    <n v="7"/>
    <x v="1"/>
    <n v="5"/>
    <n v="1"/>
    <n v="0"/>
    <s v="High"/>
    <s v="Not Sensitive"/>
    <n v="2"/>
    <n v="6"/>
    <s v="None"/>
    <s v="Tablet"/>
    <s v="Cash"/>
    <d v="2024-06-21T00:00:00"/>
    <b v="1"/>
    <b v="1"/>
    <s v="Planned"/>
    <x v="2"/>
    <n v="13"/>
  </r>
  <r>
    <x v="163"/>
    <n v="29"/>
    <s v="Female"/>
    <x v="1"/>
    <x v="3"/>
    <x v="0"/>
    <x v="1"/>
    <s v="Mgachi"/>
    <s v="Luxury Goods"/>
    <x v="163"/>
    <n v="11"/>
    <x v="0"/>
    <n v="2"/>
    <n v="5"/>
    <n v="2"/>
    <s v="None"/>
    <s v="Very Sensitive"/>
    <n v="1"/>
    <n v="8"/>
    <s v="Low"/>
    <s v="Smartphone"/>
    <s v="Cash"/>
    <d v="2024-12-19T00:00:00"/>
    <b v="0"/>
    <b v="1"/>
    <s v="Wants-based"/>
    <x v="2"/>
    <n v="9"/>
  </r>
  <r>
    <x v="164"/>
    <n v="25"/>
    <s v="Male"/>
    <x v="0"/>
    <x v="3"/>
    <x v="1"/>
    <x v="0"/>
    <s v="Lameira"/>
    <s v="Gardening &amp; Outdoors"/>
    <x v="164"/>
    <n v="8"/>
    <x v="1"/>
    <n v="1"/>
    <n v="2"/>
    <n v="2"/>
    <s v="High"/>
    <s v="Not Sensitive"/>
    <n v="0"/>
    <n v="6"/>
    <s v="Low"/>
    <s v="Desktop"/>
    <s v="Debit Card"/>
    <d v="2024-03-02T00:00:00"/>
    <b v="0"/>
    <b v="1"/>
    <s v="Need-based"/>
    <x v="0"/>
    <n v="12"/>
  </r>
  <r>
    <x v="165"/>
    <n v="38"/>
    <s v="Agender"/>
    <x v="1"/>
    <x v="3"/>
    <x v="1"/>
    <x v="1"/>
    <s v="Medicine Hat"/>
    <s v="Home Appliances"/>
    <x v="165"/>
    <n v="11"/>
    <x v="2"/>
    <n v="4"/>
    <n v="3"/>
    <n v="1"/>
    <s v="Medium"/>
    <s v="Not Sensitive"/>
    <n v="0"/>
    <n v="5"/>
    <s v="None"/>
    <s v="Desktop"/>
    <s v="Debit Card"/>
    <d v="2024-06-29T00:00:00"/>
    <b v="1"/>
    <b v="1"/>
    <s v="Planned"/>
    <x v="1"/>
    <n v="11"/>
  </r>
  <r>
    <x v="166"/>
    <n v="32"/>
    <s v="Female"/>
    <x v="0"/>
    <x v="2"/>
    <x v="0"/>
    <x v="0"/>
    <s v="Oslo"/>
    <s v="Packages)"/>
    <x v="166"/>
    <n v="8"/>
    <x v="1"/>
    <n v="4"/>
    <n v="3"/>
    <n v="1"/>
    <s v="Medium"/>
    <s v="Somewhat Sensitive"/>
    <n v="2"/>
    <n v="3"/>
    <s v="High"/>
    <s v="Smartphone"/>
    <s v="Cash"/>
    <d v="2024-08-29T00:00:00"/>
    <b v="0"/>
    <b v="1"/>
    <s v="Need-based"/>
    <x v="1"/>
    <n v="7"/>
  </r>
  <r>
    <x v="167"/>
    <n v="45"/>
    <s v="Male"/>
    <x v="1"/>
    <x v="3"/>
    <x v="1"/>
    <x v="1"/>
    <s v="Yeniköy"/>
    <s v="Furniture"/>
    <x v="167"/>
    <n v="12"/>
    <x v="0"/>
    <n v="5"/>
    <n v="3"/>
    <n v="2"/>
    <s v="Low"/>
    <s v="Not Sensitive"/>
    <n v="0"/>
    <n v="8"/>
    <s v="High"/>
    <s v="Desktop"/>
    <s v="Credit Card"/>
    <d v="2024-04-15T00:00:00"/>
    <b v="1"/>
    <b v="0"/>
    <s v="Planned"/>
    <x v="0"/>
    <n v="7"/>
  </r>
  <r>
    <x v="168"/>
    <n v="45"/>
    <s v="Female"/>
    <x v="1"/>
    <x v="0"/>
    <x v="2"/>
    <x v="1"/>
    <s v="Peer"/>
    <s v="Baby Products"/>
    <x v="168"/>
    <n v="10"/>
    <x v="1"/>
    <n v="1"/>
    <n v="4"/>
    <n v="0"/>
    <s v="High"/>
    <s v="Not Sensitive"/>
    <n v="0"/>
    <n v="7"/>
    <s v="Medium"/>
    <s v="Smartphone"/>
    <s v="Debit Card"/>
    <d v="2024-08-27T00:00:00"/>
    <b v="0"/>
    <b v="1"/>
    <s v="Need-based"/>
    <x v="1"/>
    <n v="1"/>
  </r>
  <r>
    <x v="169"/>
    <n v="46"/>
    <s v="Male"/>
    <x v="0"/>
    <x v="2"/>
    <x v="0"/>
    <x v="1"/>
    <s v="Belūsovka"/>
    <s v="Beauty &amp; Personal Care"/>
    <x v="169"/>
    <n v="5"/>
    <x v="2"/>
    <n v="5"/>
    <n v="2"/>
    <n v="2"/>
    <s v="Medium"/>
    <s v="Somewhat Sensitive"/>
    <n v="1"/>
    <n v="5"/>
    <s v="High"/>
    <s v="Smartphone"/>
    <s v="Credit Card"/>
    <d v="2024-03-20T00:00:00"/>
    <b v="0"/>
    <b v="1"/>
    <s v="Need-based"/>
    <x v="1"/>
    <n v="7"/>
  </r>
  <r>
    <x v="170"/>
    <n v="24"/>
    <s v="Male"/>
    <x v="0"/>
    <x v="3"/>
    <x v="1"/>
    <x v="0"/>
    <s v="Houston"/>
    <s v="Home Appliances"/>
    <x v="170"/>
    <n v="12"/>
    <x v="2"/>
    <n v="1"/>
    <n v="5"/>
    <n v="2"/>
    <s v="High"/>
    <s v="Very Sensitive"/>
    <n v="0"/>
    <n v="1"/>
    <s v="Low"/>
    <s v="Tablet"/>
    <s v="Credit Card"/>
    <d v="2024-04-27T00:00:00"/>
    <b v="0"/>
    <b v="0"/>
    <s v="Impulsive"/>
    <x v="2"/>
    <n v="5"/>
  </r>
  <r>
    <x v="171"/>
    <n v="48"/>
    <s v="Polygender"/>
    <x v="1"/>
    <x v="3"/>
    <x v="2"/>
    <x v="1"/>
    <s v="Hengdian"/>
    <s v="Health Supplements"/>
    <x v="171"/>
    <n v="10"/>
    <x v="1"/>
    <n v="5"/>
    <n v="3"/>
    <n v="1"/>
    <s v="None"/>
    <s v="Not Sensitive"/>
    <n v="0"/>
    <n v="9"/>
    <s v="Medium"/>
    <s v="Tablet"/>
    <s v="Debit Card"/>
    <d v="2024-05-05T00:00:00"/>
    <b v="1"/>
    <b v="0"/>
    <s v="Need-based"/>
    <x v="2"/>
    <n v="4"/>
  </r>
  <r>
    <x v="172"/>
    <n v="35"/>
    <s v="Male"/>
    <x v="1"/>
    <x v="2"/>
    <x v="1"/>
    <x v="0"/>
    <s v="Shuigou"/>
    <s v="Health Care"/>
    <x v="172"/>
    <n v="12"/>
    <x v="1"/>
    <n v="1"/>
    <n v="4"/>
    <n v="0"/>
    <s v="High"/>
    <s v="Somewhat Sensitive"/>
    <n v="2"/>
    <n v="2"/>
    <s v="None"/>
    <s v="Smartphone"/>
    <s v="Debit Card"/>
    <d v="2024-06-16T00:00:00"/>
    <b v="1"/>
    <b v="1"/>
    <s v="Impulsive"/>
    <x v="1"/>
    <n v="10"/>
  </r>
  <r>
    <x v="173"/>
    <n v="50"/>
    <s v="Female"/>
    <x v="1"/>
    <x v="3"/>
    <x v="1"/>
    <x v="0"/>
    <s v="Xingxi"/>
    <s v="Books"/>
    <x v="173"/>
    <n v="12"/>
    <x v="0"/>
    <n v="5"/>
    <n v="4"/>
    <n v="0"/>
    <s v="None"/>
    <s v="Not Sensitive"/>
    <n v="2"/>
    <n v="1"/>
    <s v="Medium"/>
    <s v="Desktop"/>
    <s v="PayPal"/>
    <d v="2024-10-15T00:00:00"/>
    <b v="1"/>
    <b v="0"/>
    <s v="Wants-based"/>
    <x v="2"/>
    <n v="8"/>
  </r>
  <r>
    <x v="174"/>
    <n v="34"/>
    <s v="Male"/>
    <x v="0"/>
    <x v="2"/>
    <x v="1"/>
    <x v="1"/>
    <s v="Dhībīn"/>
    <s v="Sports &amp; Outdoors"/>
    <x v="174"/>
    <n v="2"/>
    <x v="1"/>
    <n v="3"/>
    <n v="3"/>
    <n v="2"/>
    <s v="High"/>
    <s v="Somewhat Sensitive"/>
    <n v="0"/>
    <n v="7"/>
    <s v="None"/>
    <s v="Desktop"/>
    <s v="Cash"/>
    <d v="2024-08-01T00:00:00"/>
    <b v="0"/>
    <b v="1"/>
    <s v="Need-based"/>
    <x v="1"/>
    <n v="3"/>
  </r>
  <r>
    <x v="175"/>
    <n v="50"/>
    <s v="Female"/>
    <x v="0"/>
    <x v="1"/>
    <x v="0"/>
    <x v="0"/>
    <s v="Chengguan"/>
    <s v="Home Appliances"/>
    <x v="175"/>
    <n v="7"/>
    <x v="2"/>
    <n v="3"/>
    <n v="4"/>
    <n v="2"/>
    <s v="Medium"/>
    <s v="Not Sensitive"/>
    <n v="2"/>
    <n v="2"/>
    <s v="None"/>
    <s v="Tablet"/>
    <s v="Debit Card"/>
    <d v="2024-06-25T00:00:00"/>
    <b v="0"/>
    <b v="1"/>
    <s v="Wants-based"/>
    <x v="1"/>
    <n v="4"/>
  </r>
  <r>
    <x v="176"/>
    <n v="50"/>
    <s v="Female"/>
    <x v="0"/>
    <x v="1"/>
    <x v="1"/>
    <x v="0"/>
    <s v="Paris 09"/>
    <s v="Health Care"/>
    <x v="176"/>
    <n v="2"/>
    <x v="2"/>
    <n v="1"/>
    <n v="2"/>
    <n v="2"/>
    <s v="None"/>
    <s v="Not Sensitive"/>
    <n v="0"/>
    <n v="3"/>
    <s v="None"/>
    <s v="Tablet"/>
    <s v="Debit Card"/>
    <d v="2024-02-04T00:00:00"/>
    <b v="1"/>
    <b v="1"/>
    <s v="Wants-based"/>
    <x v="0"/>
    <n v="12"/>
  </r>
  <r>
    <x v="177"/>
    <n v="46"/>
    <s v="Male"/>
    <x v="0"/>
    <x v="1"/>
    <x v="0"/>
    <x v="1"/>
    <s v="Rozhdestveno"/>
    <s v="Baby Products"/>
    <x v="177"/>
    <n v="12"/>
    <x v="2"/>
    <n v="1"/>
    <n v="5"/>
    <n v="2"/>
    <s v="High"/>
    <s v="Not Sensitive"/>
    <n v="2"/>
    <n v="9"/>
    <s v="Low"/>
    <s v="Smartphone"/>
    <s v="Cash"/>
    <d v="2024-06-26T00:00:00"/>
    <b v="0"/>
    <b v="0"/>
    <s v="Wants-based"/>
    <x v="0"/>
    <n v="13"/>
  </r>
  <r>
    <x v="178"/>
    <n v="47"/>
    <s v="Male"/>
    <x v="0"/>
    <x v="1"/>
    <x v="2"/>
    <x v="0"/>
    <s v="Porangatu"/>
    <s v="Packages)"/>
    <x v="178"/>
    <n v="10"/>
    <x v="1"/>
    <n v="4"/>
    <n v="1"/>
    <n v="2"/>
    <s v="Medium"/>
    <s v="Very Sensitive"/>
    <n v="1"/>
    <n v="2"/>
    <s v="High"/>
    <s v="Smartphone"/>
    <s v="Credit Card"/>
    <d v="2024-07-06T00:00:00"/>
    <b v="1"/>
    <b v="0"/>
    <s v="Wants-based"/>
    <x v="0"/>
    <n v="11"/>
  </r>
  <r>
    <x v="179"/>
    <n v="35"/>
    <s v="Male"/>
    <x v="1"/>
    <x v="2"/>
    <x v="2"/>
    <x v="0"/>
    <s v="Shalkar"/>
    <s v="Jewelry &amp; Accessories"/>
    <x v="179"/>
    <n v="4"/>
    <x v="0"/>
    <n v="5"/>
    <n v="2"/>
    <n v="1"/>
    <s v="Low"/>
    <s v="Very Sensitive"/>
    <n v="1"/>
    <n v="3"/>
    <s v="None"/>
    <s v="Desktop"/>
    <s v="PayPal"/>
    <d v="2024-10-26T00:00:00"/>
    <b v="1"/>
    <b v="1"/>
    <s v="Need-based"/>
    <x v="2"/>
    <n v="3"/>
  </r>
  <r>
    <x v="180"/>
    <n v="27"/>
    <s v="Male"/>
    <x v="1"/>
    <x v="2"/>
    <x v="0"/>
    <x v="0"/>
    <s v="Quimbaya"/>
    <s v="Packages)"/>
    <x v="180"/>
    <n v="11"/>
    <x v="0"/>
    <n v="5"/>
    <n v="5"/>
    <n v="2"/>
    <s v="Low"/>
    <s v="Very Sensitive"/>
    <n v="2"/>
    <n v="8"/>
    <s v="Low"/>
    <s v="Desktop"/>
    <s v="PayPal"/>
    <d v="2024-05-07T00:00:00"/>
    <b v="0"/>
    <b v="0"/>
    <s v="Planned"/>
    <x v="0"/>
    <n v="1"/>
  </r>
  <r>
    <x v="181"/>
    <n v="37"/>
    <s v="Female"/>
    <x v="1"/>
    <x v="1"/>
    <x v="2"/>
    <x v="1"/>
    <s v="Narok"/>
    <s v="Arts &amp; Crafts"/>
    <x v="181"/>
    <n v="12"/>
    <x v="2"/>
    <n v="5"/>
    <n v="1"/>
    <n v="1"/>
    <s v="None"/>
    <s v="Not Sensitive"/>
    <n v="0"/>
    <n v="3"/>
    <s v="None"/>
    <s v="Desktop"/>
    <s v="Cash"/>
    <d v="2024-12-08T00:00:00"/>
    <b v="1"/>
    <b v="1"/>
    <s v="Impulsive"/>
    <x v="0"/>
    <n v="13"/>
  </r>
  <r>
    <x v="182"/>
    <n v="38"/>
    <s v="Female"/>
    <x v="1"/>
    <x v="0"/>
    <x v="0"/>
    <x v="1"/>
    <s v="Gimcheon"/>
    <s v="Books"/>
    <x v="182"/>
    <n v="5"/>
    <x v="0"/>
    <n v="2"/>
    <n v="1"/>
    <n v="1"/>
    <s v="High"/>
    <s v="Somewhat Sensitive"/>
    <n v="1"/>
    <n v="1"/>
    <s v="Low"/>
    <s v="Desktop"/>
    <s v="Credit Card"/>
    <d v="2024-06-27T00:00:00"/>
    <b v="0"/>
    <b v="0"/>
    <s v="Need-based"/>
    <x v="0"/>
    <n v="10"/>
  </r>
  <r>
    <x v="183"/>
    <n v="41"/>
    <s v="Female"/>
    <x v="1"/>
    <x v="3"/>
    <x v="1"/>
    <x v="1"/>
    <s v="Visaginas"/>
    <s v="Food &amp; Beverages"/>
    <x v="183"/>
    <n v="7"/>
    <x v="2"/>
    <n v="3"/>
    <n v="1"/>
    <n v="1"/>
    <s v="Low"/>
    <s v="Somewhat Sensitive"/>
    <n v="1"/>
    <n v="1"/>
    <s v="None"/>
    <s v="Smartphone"/>
    <s v="Debit Card"/>
    <d v="2024-08-31T00:00:00"/>
    <b v="0"/>
    <b v="0"/>
    <s v="Need-based"/>
    <x v="0"/>
    <n v="8"/>
  </r>
  <r>
    <x v="184"/>
    <n v="48"/>
    <s v="Male"/>
    <x v="0"/>
    <x v="3"/>
    <x v="1"/>
    <x v="0"/>
    <s v="Shostka"/>
    <s v="Animal Feed"/>
    <x v="184"/>
    <n v="3"/>
    <x v="0"/>
    <n v="1"/>
    <n v="2"/>
    <n v="1"/>
    <s v="High"/>
    <s v="Not Sensitive"/>
    <n v="0"/>
    <n v="1"/>
    <s v="None"/>
    <s v="Desktop"/>
    <s v="Credit Card"/>
    <d v="2024-11-13T00:00:00"/>
    <b v="0"/>
    <b v="0"/>
    <s v="Wants-based"/>
    <x v="0"/>
    <n v="11"/>
  </r>
  <r>
    <x v="185"/>
    <n v="48"/>
    <s v="Female"/>
    <x v="1"/>
    <x v="0"/>
    <x v="0"/>
    <x v="0"/>
    <s v="Pukekohe East"/>
    <s v="Arts &amp; Crafts"/>
    <x v="185"/>
    <n v="3"/>
    <x v="0"/>
    <n v="1"/>
    <n v="1"/>
    <n v="1"/>
    <s v="Low"/>
    <s v="Very Sensitive"/>
    <n v="0"/>
    <n v="7"/>
    <s v="Low"/>
    <s v="Desktop"/>
    <s v="PayPal"/>
    <d v="2024-12-19T00:00:00"/>
    <b v="0"/>
    <b v="1"/>
    <s v="Wants-based"/>
    <x v="1"/>
    <n v="4"/>
  </r>
  <r>
    <x v="186"/>
    <n v="45"/>
    <s v="Female"/>
    <x v="1"/>
    <x v="3"/>
    <x v="0"/>
    <x v="1"/>
    <s v="Blokdesa Situgede"/>
    <s v="Electronics"/>
    <x v="186"/>
    <n v="11"/>
    <x v="0"/>
    <n v="3"/>
    <n v="1"/>
    <n v="0"/>
    <s v="Low"/>
    <s v="Somewhat Sensitive"/>
    <n v="1"/>
    <n v="6"/>
    <s v="Medium"/>
    <s v="Desktop"/>
    <s v="Debit Card"/>
    <d v="2024-05-06T00:00:00"/>
    <b v="0"/>
    <b v="0"/>
    <s v="Impulsive"/>
    <x v="2"/>
    <n v="14"/>
  </r>
  <r>
    <x v="187"/>
    <n v="26"/>
    <s v="Non-binary"/>
    <x v="0"/>
    <x v="2"/>
    <x v="1"/>
    <x v="0"/>
    <s v="Yueyang"/>
    <s v="Electronics"/>
    <x v="187"/>
    <n v="11"/>
    <x v="1"/>
    <n v="1"/>
    <n v="1"/>
    <n v="2"/>
    <s v="Medium"/>
    <s v="Not Sensitive"/>
    <n v="2"/>
    <n v="7"/>
    <s v="Medium"/>
    <s v="Smartphone"/>
    <s v="Cash"/>
    <d v="2024-10-30T00:00:00"/>
    <b v="0"/>
    <b v="1"/>
    <s v="Need-based"/>
    <x v="0"/>
    <n v="4"/>
  </r>
  <r>
    <x v="188"/>
    <n v="50"/>
    <s v="Female"/>
    <x v="0"/>
    <x v="1"/>
    <x v="2"/>
    <x v="1"/>
    <s v="Liutan"/>
    <s v="Packages)"/>
    <x v="188"/>
    <n v="9"/>
    <x v="1"/>
    <n v="2"/>
    <n v="5"/>
    <n v="1"/>
    <s v="Medium"/>
    <s v="Somewhat Sensitive"/>
    <n v="2"/>
    <n v="3"/>
    <s v="None"/>
    <s v="Tablet"/>
    <s v="Credit Card"/>
    <d v="2024-04-11T00:00:00"/>
    <b v="1"/>
    <b v="0"/>
    <s v="Impulsive"/>
    <x v="2"/>
    <n v="12"/>
  </r>
  <r>
    <x v="189"/>
    <n v="39"/>
    <s v="Male"/>
    <x v="0"/>
    <x v="2"/>
    <x v="0"/>
    <x v="0"/>
    <s v="Huanggang"/>
    <s v="Sports &amp; Outdoors"/>
    <x v="189"/>
    <n v="3"/>
    <x v="0"/>
    <n v="1"/>
    <n v="2"/>
    <n v="1"/>
    <s v="None"/>
    <s v="Somewhat Sensitive"/>
    <n v="0"/>
    <n v="4"/>
    <s v="Low"/>
    <s v="Desktop"/>
    <s v="Cash"/>
    <d v="2024-05-05T00:00:00"/>
    <b v="0"/>
    <b v="0"/>
    <s v="Need-based"/>
    <x v="2"/>
    <n v="7"/>
  </r>
  <r>
    <x v="190"/>
    <n v="20"/>
    <s v="Male"/>
    <x v="1"/>
    <x v="2"/>
    <x v="1"/>
    <x v="1"/>
    <s v="Baturité"/>
    <s v="Toys &amp; Games"/>
    <x v="190"/>
    <n v="11"/>
    <x v="1"/>
    <n v="5"/>
    <n v="3"/>
    <n v="0"/>
    <s v="High"/>
    <s v="Not Sensitive"/>
    <n v="0"/>
    <n v="6"/>
    <s v="High"/>
    <s v="Tablet"/>
    <s v="PayPal"/>
    <d v="2024-02-19T00:00:00"/>
    <b v="0"/>
    <b v="0"/>
    <s v="Wants-based"/>
    <x v="1"/>
    <n v="12"/>
  </r>
  <r>
    <x v="191"/>
    <n v="48"/>
    <s v="Male"/>
    <x v="0"/>
    <x v="0"/>
    <x v="2"/>
    <x v="0"/>
    <s v="Mi’ersi"/>
    <s v="Mobile Accessories"/>
    <x v="191"/>
    <n v="3"/>
    <x v="0"/>
    <n v="2"/>
    <n v="1"/>
    <n v="2"/>
    <s v="Low"/>
    <s v="Very Sensitive"/>
    <n v="1"/>
    <n v="4"/>
    <s v="None"/>
    <s v="Tablet"/>
    <s v="Debit Card"/>
    <d v="2024-10-09T00:00:00"/>
    <b v="1"/>
    <b v="0"/>
    <s v="Planned"/>
    <x v="1"/>
    <n v="4"/>
  </r>
  <r>
    <x v="192"/>
    <n v="31"/>
    <s v="Female"/>
    <x v="0"/>
    <x v="3"/>
    <x v="2"/>
    <x v="1"/>
    <s v="Xuedian"/>
    <s v="Food &amp; Beverages"/>
    <x v="192"/>
    <n v="6"/>
    <x v="2"/>
    <n v="2"/>
    <n v="1"/>
    <n v="0"/>
    <s v="None"/>
    <s v="Very Sensitive"/>
    <n v="1"/>
    <n v="4"/>
    <s v="Low"/>
    <s v="Desktop"/>
    <s v="Debit Card"/>
    <d v="2024-04-21T00:00:00"/>
    <b v="0"/>
    <b v="0"/>
    <s v="Need-based"/>
    <x v="0"/>
    <n v="11"/>
  </r>
  <r>
    <x v="193"/>
    <n v="25"/>
    <s v="Female"/>
    <x v="0"/>
    <x v="0"/>
    <x v="0"/>
    <x v="1"/>
    <s v="Yuyapichis"/>
    <s v="Books"/>
    <x v="193"/>
    <n v="11"/>
    <x v="0"/>
    <n v="2"/>
    <n v="4"/>
    <n v="1"/>
    <s v="Low"/>
    <s v="Somewhat Sensitive"/>
    <n v="2"/>
    <n v="3"/>
    <s v="High"/>
    <s v="Tablet"/>
    <s v="Other"/>
    <d v="2024-07-24T00:00:00"/>
    <b v="0"/>
    <b v="1"/>
    <s v="Impulsive"/>
    <x v="2"/>
    <n v="10"/>
  </r>
  <r>
    <x v="194"/>
    <n v="18"/>
    <s v="Agender"/>
    <x v="0"/>
    <x v="1"/>
    <x v="0"/>
    <x v="1"/>
    <s v="Shiroishi"/>
    <s v="Home Appliances"/>
    <x v="194"/>
    <n v="11"/>
    <x v="1"/>
    <n v="2"/>
    <n v="4"/>
    <n v="1"/>
    <s v="High"/>
    <s v="Somewhat Sensitive"/>
    <n v="2"/>
    <n v="10"/>
    <s v="High"/>
    <s v="Desktop"/>
    <s v="PayPal"/>
    <d v="2024-08-20T00:00:00"/>
    <b v="1"/>
    <b v="0"/>
    <s v="Need-based"/>
    <x v="2"/>
    <n v="3"/>
  </r>
  <r>
    <x v="195"/>
    <n v="18"/>
    <s v="Male"/>
    <x v="0"/>
    <x v="3"/>
    <x v="0"/>
    <x v="1"/>
    <s v="Kobe"/>
    <s v="Packages)"/>
    <x v="195"/>
    <n v="3"/>
    <x v="2"/>
    <n v="5"/>
    <n v="3"/>
    <n v="1"/>
    <s v="Low"/>
    <s v="Very Sensitive"/>
    <n v="1"/>
    <n v="2"/>
    <s v="None"/>
    <s v="Desktop"/>
    <s v="PayPal"/>
    <d v="2024-03-24T00:00:00"/>
    <b v="0"/>
    <b v="1"/>
    <s v="Impulsive"/>
    <x v="1"/>
    <n v="12"/>
  </r>
  <r>
    <x v="196"/>
    <n v="31"/>
    <s v="Male"/>
    <x v="0"/>
    <x v="2"/>
    <x v="1"/>
    <x v="0"/>
    <s v="Gulou"/>
    <s v="Software &amp; Apps"/>
    <x v="196"/>
    <n v="6"/>
    <x v="1"/>
    <n v="2"/>
    <n v="1"/>
    <n v="0"/>
    <s v="None"/>
    <s v="Somewhat Sensitive"/>
    <n v="1"/>
    <n v="1"/>
    <s v="High"/>
    <s v="Desktop"/>
    <s v="PayPal"/>
    <d v="2024-04-04T00:00:00"/>
    <b v="0"/>
    <b v="0"/>
    <s v="Planned"/>
    <x v="0"/>
    <n v="6"/>
  </r>
  <r>
    <x v="197"/>
    <n v="43"/>
    <s v="Genderqueer"/>
    <x v="1"/>
    <x v="0"/>
    <x v="0"/>
    <x v="1"/>
    <s v="Jilin"/>
    <s v="Furniture"/>
    <x v="197"/>
    <n v="6"/>
    <x v="0"/>
    <n v="5"/>
    <n v="1"/>
    <n v="2"/>
    <s v="High"/>
    <s v="Not Sensitive"/>
    <n v="1"/>
    <n v="9"/>
    <s v="Low"/>
    <s v="Tablet"/>
    <s v="Other"/>
    <d v="2024-09-13T00:00:00"/>
    <b v="1"/>
    <b v="1"/>
    <s v="Need-based"/>
    <x v="1"/>
    <n v="10"/>
  </r>
  <r>
    <x v="198"/>
    <n v="23"/>
    <s v="Male"/>
    <x v="0"/>
    <x v="1"/>
    <x v="1"/>
    <x v="0"/>
    <s v="Balboa"/>
    <s v="Office Supplies"/>
    <x v="198"/>
    <n v="9"/>
    <x v="1"/>
    <n v="4"/>
    <n v="4"/>
    <n v="2"/>
    <s v="None"/>
    <s v="Somewhat Sensitive"/>
    <n v="2"/>
    <n v="9"/>
    <s v="Medium"/>
    <s v="Desktop"/>
    <s v="Debit Card"/>
    <d v="2024-04-24T00:00:00"/>
    <b v="1"/>
    <b v="0"/>
    <s v="Wants-based"/>
    <x v="2"/>
    <n v="6"/>
  </r>
  <r>
    <x v="199"/>
    <n v="29"/>
    <s v="Male"/>
    <x v="1"/>
    <x v="0"/>
    <x v="0"/>
    <x v="1"/>
    <s v="Cipari"/>
    <s v="Luxury Goods"/>
    <x v="199"/>
    <n v="7"/>
    <x v="2"/>
    <n v="4"/>
    <n v="5"/>
    <n v="2"/>
    <s v="High"/>
    <s v="Somewhat Sensitive"/>
    <n v="1"/>
    <n v="3"/>
    <s v="Low"/>
    <s v="Tablet"/>
    <s v="Other"/>
    <d v="2024-01-09T00:00:00"/>
    <b v="0"/>
    <b v="1"/>
    <s v="Planned"/>
    <x v="1"/>
    <n v="6"/>
  </r>
  <r>
    <x v="200"/>
    <n v="21"/>
    <s v="Female"/>
    <x v="0"/>
    <x v="3"/>
    <x v="2"/>
    <x v="0"/>
    <s v="Orlando"/>
    <s v="Beauty &amp; Personal Care"/>
    <x v="200"/>
    <n v="11"/>
    <x v="0"/>
    <n v="4"/>
    <n v="2"/>
    <n v="2"/>
    <s v="None"/>
    <s v="Very Sensitive"/>
    <n v="2"/>
    <n v="1"/>
    <s v="Medium"/>
    <s v="Tablet"/>
    <s v="Other"/>
    <d v="2024-06-03T00:00:00"/>
    <b v="1"/>
    <b v="1"/>
    <s v="Planned"/>
    <x v="0"/>
    <n v="12"/>
  </r>
  <r>
    <x v="201"/>
    <n v="49"/>
    <s v="Female"/>
    <x v="0"/>
    <x v="1"/>
    <x v="1"/>
    <x v="0"/>
    <s v="Torsby"/>
    <s v="Luxury Goods"/>
    <x v="201"/>
    <n v="7"/>
    <x v="1"/>
    <n v="3"/>
    <n v="2"/>
    <n v="0"/>
    <s v="High"/>
    <s v="Very Sensitive"/>
    <n v="1"/>
    <n v="1"/>
    <s v="Medium"/>
    <s v="Desktop"/>
    <s v="Credit Card"/>
    <d v="2024-06-23T00:00:00"/>
    <b v="1"/>
    <b v="1"/>
    <s v="Wants-based"/>
    <x v="2"/>
    <n v="9"/>
  </r>
  <r>
    <x v="202"/>
    <n v="30"/>
    <s v="Female"/>
    <x v="0"/>
    <x v="3"/>
    <x v="2"/>
    <x v="0"/>
    <s v="San Pablo"/>
    <s v="Health Supplements"/>
    <x v="202"/>
    <n v="4"/>
    <x v="2"/>
    <n v="3"/>
    <n v="5"/>
    <n v="2"/>
    <s v="Low"/>
    <s v="Somewhat Sensitive"/>
    <n v="1"/>
    <n v="4"/>
    <s v="High"/>
    <s v="Desktop"/>
    <s v="PayPal"/>
    <d v="2024-11-30T00:00:00"/>
    <b v="0"/>
    <b v="0"/>
    <s v="Need-based"/>
    <x v="1"/>
    <n v="5"/>
  </r>
  <r>
    <x v="203"/>
    <n v="31"/>
    <s v="Polygender"/>
    <x v="0"/>
    <x v="3"/>
    <x v="1"/>
    <x v="0"/>
    <s v="Daszewice"/>
    <s v="Office Supplies"/>
    <x v="203"/>
    <n v="2"/>
    <x v="0"/>
    <n v="5"/>
    <n v="5"/>
    <n v="1"/>
    <s v="None"/>
    <s v="Very Sensitive"/>
    <n v="1"/>
    <n v="1"/>
    <s v="High"/>
    <s v="Smartphone"/>
    <s v="PayPal"/>
    <d v="2024-10-24T00:00:00"/>
    <b v="0"/>
    <b v="1"/>
    <s v="Impulsive"/>
    <x v="2"/>
    <n v="9"/>
  </r>
  <r>
    <x v="204"/>
    <n v="50"/>
    <s v="Female"/>
    <x v="0"/>
    <x v="2"/>
    <x v="1"/>
    <x v="0"/>
    <s v="Villa Concepción del Tío"/>
    <s v="Toys &amp; Games"/>
    <x v="204"/>
    <n v="2"/>
    <x v="1"/>
    <n v="4"/>
    <n v="4"/>
    <n v="0"/>
    <s v="Medium"/>
    <s v="Not Sensitive"/>
    <n v="0"/>
    <n v="8"/>
    <s v="None"/>
    <s v="Tablet"/>
    <s v="PayPal"/>
    <d v="2024-04-21T00:00:00"/>
    <b v="0"/>
    <b v="1"/>
    <s v="Need-based"/>
    <x v="2"/>
    <n v="13"/>
  </r>
  <r>
    <x v="205"/>
    <n v="35"/>
    <s v="Female"/>
    <x v="0"/>
    <x v="1"/>
    <x v="0"/>
    <x v="1"/>
    <s v="Hacienda La Calera"/>
    <s v="Gardening &amp; Outdoors"/>
    <x v="205"/>
    <n v="11"/>
    <x v="0"/>
    <n v="3"/>
    <n v="1"/>
    <n v="1"/>
    <s v="None"/>
    <s v="Not Sensitive"/>
    <n v="1"/>
    <n v="8"/>
    <s v="High"/>
    <s v="Smartphone"/>
    <s v="Credit Card"/>
    <d v="2024-01-23T00:00:00"/>
    <b v="0"/>
    <b v="1"/>
    <s v="Need-based"/>
    <x v="2"/>
    <n v="6"/>
  </r>
  <r>
    <x v="206"/>
    <n v="36"/>
    <s v="Male"/>
    <x v="0"/>
    <x v="1"/>
    <x v="1"/>
    <x v="1"/>
    <s v="Oslo"/>
    <s v="Toys &amp; Games"/>
    <x v="206"/>
    <n v="10"/>
    <x v="2"/>
    <n v="5"/>
    <n v="5"/>
    <n v="2"/>
    <s v="None"/>
    <s v="Somewhat Sensitive"/>
    <n v="2"/>
    <n v="6"/>
    <s v="Medium"/>
    <s v="Desktop"/>
    <s v="PayPal"/>
    <d v="2024-06-23T00:00:00"/>
    <b v="1"/>
    <b v="1"/>
    <s v="Planned"/>
    <x v="0"/>
    <n v="13"/>
  </r>
  <r>
    <x v="207"/>
    <n v="24"/>
    <s v="Female"/>
    <x v="0"/>
    <x v="0"/>
    <x v="2"/>
    <x v="1"/>
    <s v="Puerto López"/>
    <s v="Luxury Goods"/>
    <x v="207"/>
    <n v="7"/>
    <x v="2"/>
    <n v="2"/>
    <n v="5"/>
    <n v="0"/>
    <s v="Low"/>
    <s v="Somewhat Sensitive"/>
    <n v="2"/>
    <n v="3"/>
    <s v="Medium"/>
    <s v="Desktop"/>
    <s v="PayPal"/>
    <d v="2024-03-20T00:00:00"/>
    <b v="0"/>
    <b v="0"/>
    <s v="Impulsive"/>
    <x v="0"/>
    <n v="8"/>
  </r>
  <r>
    <x v="208"/>
    <n v="36"/>
    <s v="Genderfluid"/>
    <x v="1"/>
    <x v="0"/>
    <x v="2"/>
    <x v="0"/>
    <s v="Xinchengzi"/>
    <s v="Furniture"/>
    <x v="208"/>
    <n v="9"/>
    <x v="0"/>
    <n v="5"/>
    <n v="2"/>
    <n v="2"/>
    <s v="High"/>
    <s v="Very Sensitive"/>
    <n v="2"/>
    <n v="2"/>
    <s v="High"/>
    <s v="Smartphone"/>
    <s v="Credit Card"/>
    <d v="2024-04-09T00:00:00"/>
    <b v="0"/>
    <b v="1"/>
    <s v="Need-based"/>
    <x v="1"/>
    <n v="8"/>
  </r>
  <r>
    <x v="209"/>
    <n v="45"/>
    <s v="Female"/>
    <x v="0"/>
    <x v="1"/>
    <x v="2"/>
    <x v="1"/>
    <s v="Tecpán Guatemala"/>
    <s v="Sports &amp; Outdoors"/>
    <x v="209"/>
    <n v="6"/>
    <x v="2"/>
    <n v="2"/>
    <n v="1"/>
    <n v="0"/>
    <s v="None"/>
    <s v="Very Sensitive"/>
    <n v="1"/>
    <n v="10"/>
    <s v="None"/>
    <s v="Tablet"/>
    <s v="Other"/>
    <d v="2024-10-19T00:00:00"/>
    <b v="0"/>
    <b v="0"/>
    <s v="Planned"/>
    <x v="2"/>
    <n v="7"/>
  </r>
  <r>
    <x v="210"/>
    <n v="44"/>
    <s v="Male"/>
    <x v="0"/>
    <x v="2"/>
    <x v="1"/>
    <x v="0"/>
    <s v="Bronnitsy"/>
    <s v="Arts &amp; Crafts"/>
    <x v="210"/>
    <n v="10"/>
    <x v="2"/>
    <n v="1"/>
    <n v="1"/>
    <n v="1"/>
    <s v="High"/>
    <s v="Not Sensitive"/>
    <n v="1"/>
    <n v="8"/>
    <s v="None"/>
    <s v="Tablet"/>
    <s v="Credit Card"/>
    <d v="2024-05-10T00:00:00"/>
    <b v="1"/>
    <b v="1"/>
    <s v="Planned"/>
    <x v="0"/>
    <n v="6"/>
  </r>
  <r>
    <x v="211"/>
    <n v="28"/>
    <s v="Male"/>
    <x v="1"/>
    <x v="0"/>
    <x v="2"/>
    <x v="1"/>
    <s v="Araci"/>
    <s v="Groceries"/>
    <x v="211"/>
    <n v="11"/>
    <x v="1"/>
    <n v="4"/>
    <n v="1"/>
    <n v="0"/>
    <s v="None"/>
    <s v="Not Sensitive"/>
    <n v="1"/>
    <n v="7"/>
    <s v="Medium"/>
    <s v="Smartphone"/>
    <s v="PayPal"/>
    <d v="2024-05-14T00:00:00"/>
    <b v="1"/>
    <b v="0"/>
    <s v="Need-based"/>
    <x v="1"/>
    <n v="11"/>
  </r>
  <r>
    <x v="212"/>
    <n v="40"/>
    <s v="Male"/>
    <x v="1"/>
    <x v="2"/>
    <x v="2"/>
    <x v="0"/>
    <s v="Duyure"/>
    <s v="Health Supplements"/>
    <x v="212"/>
    <n v="7"/>
    <x v="2"/>
    <n v="3"/>
    <n v="5"/>
    <n v="1"/>
    <s v="High"/>
    <s v="Not Sensitive"/>
    <n v="0"/>
    <n v="2"/>
    <s v="High"/>
    <s v="Desktop"/>
    <s v="PayPal"/>
    <d v="2024-04-13T00:00:00"/>
    <b v="0"/>
    <b v="0"/>
    <s v="Planned"/>
    <x v="2"/>
    <n v="11"/>
  </r>
  <r>
    <x v="213"/>
    <n v="49"/>
    <s v="Female"/>
    <x v="0"/>
    <x v="2"/>
    <x v="0"/>
    <x v="1"/>
    <s v="Huangni"/>
    <s v="Office Supplies"/>
    <x v="213"/>
    <n v="10"/>
    <x v="1"/>
    <n v="2"/>
    <n v="3"/>
    <n v="2"/>
    <s v="None"/>
    <s v="Very Sensitive"/>
    <n v="0"/>
    <n v="7"/>
    <s v="High"/>
    <s v="Tablet"/>
    <s v="Cash"/>
    <d v="2024-01-04T00:00:00"/>
    <b v="1"/>
    <b v="1"/>
    <s v="Need-based"/>
    <x v="0"/>
    <n v="11"/>
  </r>
  <r>
    <x v="214"/>
    <n v="50"/>
    <s v="Female"/>
    <x v="1"/>
    <x v="1"/>
    <x v="0"/>
    <x v="1"/>
    <s v="Kuala Lumpur"/>
    <s v="Sports &amp; Outdoors"/>
    <x v="214"/>
    <n v="5"/>
    <x v="1"/>
    <n v="3"/>
    <n v="3"/>
    <n v="1"/>
    <s v="Low"/>
    <s v="Not Sensitive"/>
    <n v="0"/>
    <n v="3"/>
    <s v="High"/>
    <s v="Desktop"/>
    <s v="Debit Card"/>
    <d v="2024-06-30T00:00:00"/>
    <b v="1"/>
    <b v="0"/>
    <s v="Planned"/>
    <x v="0"/>
    <n v="10"/>
  </r>
  <r>
    <x v="215"/>
    <n v="24"/>
    <s v="Male"/>
    <x v="1"/>
    <x v="3"/>
    <x v="0"/>
    <x v="1"/>
    <s v="Seleuš"/>
    <s v="Travel &amp; Leisure (Flights"/>
    <x v="215"/>
    <n v="10"/>
    <x v="1"/>
    <n v="5"/>
    <n v="1"/>
    <n v="2"/>
    <s v="Low"/>
    <s v="Very Sensitive"/>
    <n v="2"/>
    <n v="5"/>
    <s v="Low"/>
    <s v="Desktop"/>
    <s v="Cash"/>
    <d v="2024-04-30T00:00:00"/>
    <b v="0"/>
    <b v="1"/>
    <s v="Impulsive"/>
    <x v="0"/>
    <n v="10"/>
  </r>
  <r>
    <x v="216"/>
    <n v="26"/>
    <s v="Male"/>
    <x v="1"/>
    <x v="1"/>
    <x v="2"/>
    <x v="0"/>
    <s v="Monrovia"/>
    <s v="Food &amp; Beverages"/>
    <x v="216"/>
    <n v="6"/>
    <x v="1"/>
    <n v="4"/>
    <n v="2"/>
    <n v="2"/>
    <s v="None"/>
    <s v="Very Sensitive"/>
    <n v="2"/>
    <n v="3"/>
    <s v="Medium"/>
    <s v="Tablet"/>
    <s v="Debit Card"/>
    <d v="2024-02-01T00:00:00"/>
    <b v="1"/>
    <b v="0"/>
    <s v="Impulsive"/>
    <x v="0"/>
    <n v="1"/>
  </r>
  <r>
    <x v="217"/>
    <n v="28"/>
    <s v="Male"/>
    <x v="0"/>
    <x v="3"/>
    <x v="2"/>
    <x v="1"/>
    <s v="Kristinehamn"/>
    <s v="Travel &amp; Leisure (Flights"/>
    <x v="217"/>
    <n v="9"/>
    <x v="0"/>
    <n v="5"/>
    <n v="5"/>
    <n v="2"/>
    <s v="None"/>
    <s v="Somewhat Sensitive"/>
    <n v="1"/>
    <n v="9"/>
    <s v="None"/>
    <s v="Tablet"/>
    <s v="PayPal"/>
    <d v="2024-07-01T00:00:00"/>
    <b v="1"/>
    <b v="1"/>
    <s v="Impulsive"/>
    <x v="1"/>
    <n v="11"/>
  </r>
  <r>
    <x v="218"/>
    <n v="48"/>
    <s v="Female"/>
    <x v="0"/>
    <x v="1"/>
    <x v="1"/>
    <x v="1"/>
    <s v="Huancabamba"/>
    <s v="Toys &amp; Games"/>
    <x v="218"/>
    <n v="12"/>
    <x v="1"/>
    <n v="3"/>
    <n v="3"/>
    <n v="2"/>
    <s v="High"/>
    <s v="Somewhat Sensitive"/>
    <n v="0"/>
    <n v="7"/>
    <s v="Low"/>
    <s v="Tablet"/>
    <s v="Debit Card"/>
    <d v="2024-11-05T00:00:00"/>
    <b v="0"/>
    <b v="0"/>
    <s v="Planned"/>
    <x v="1"/>
    <n v="6"/>
  </r>
  <r>
    <x v="219"/>
    <n v="47"/>
    <s v="Male"/>
    <x v="0"/>
    <x v="1"/>
    <x v="1"/>
    <x v="1"/>
    <s v="San José Acatempa"/>
    <s v="Beauty &amp; Personal Care"/>
    <x v="219"/>
    <n v="4"/>
    <x v="0"/>
    <n v="4"/>
    <n v="5"/>
    <n v="0.3"/>
    <s v="High"/>
    <s v="Somewhat Sensitive"/>
    <n v="2"/>
    <n v="10"/>
    <s v="Low"/>
    <s v="Smartphone"/>
    <s v="Credit Card"/>
    <d v="2024-01-29T00:00:00"/>
    <b v="0"/>
    <b v="1"/>
    <s v="Need-based"/>
    <x v="0"/>
    <n v="10"/>
  </r>
  <r>
    <x v="220"/>
    <n v="25"/>
    <s v="Male"/>
    <x v="0"/>
    <x v="2"/>
    <x v="0"/>
    <x v="0"/>
    <s v="Quebrada Canoa"/>
    <s v="Books"/>
    <x v="220"/>
    <n v="3"/>
    <x v="0"/>
    <n v="4"/>
    <n v="5"/>
    <n v="1"/>
    <s v="Low"/>
    <s v="Not Sensitive"/>
    <n v="2"/>
    <n v="2"/>
    <s v="High"/>
    <s v="Smartphone"/>
    <s v="Other"/>
    <d v="2024-10-25T00:00:00"/>
    <b v="1"/>
    <b v="1"/>
    <s v="Impulsive"/>
    <x v="0"/>
    <n v="14"/>
  </r>
  <r>
    <x v="221"/>
    <n v="39"/>
    <s v="Male"/>
    <x v="1"/>
    <x v="3"/>
    <x v="0"/>
    <x v="0"/>
    <s v="Moate"/>
    <s v="Groceries"/>
    <x v="221"/>
    <n v="12"/>
    <x v="0"/>
    <n v="1"/>
    <n v="2"/>
    <n v="0"/>
    <s v="High"/>
    <s v="Not Sensitive"/>
    <n v="2"/>
    <n v="1"/>
    <s v="High"/>
    <s v="Tablet"/>
    <s v="Cash"/>
    <d v="2024-06-03T00:00:00"/>
    <b v="0"/>
    <b v="0"/>
    <s v="Impulsive"/>
    <x v="1"/>
    <n v="8"/>
  </r>
  <r>
    <x v="222"/>
    <n v="41"/>
    <s v="Female"/>
    <x v="1"/>
    <x v="2"/>
    <x v="1"/>
    <x v="1"/>
    <s v="Kubangwaru"/>
    <s v="Clothing"/>
    <x v="222"/>
    <n v="3"/>
    <x v="0"/>
    <n v="5"/>
    <n v="2"/>
    <n v="0"/>
    <s v="Medium"/>
    <s v="Not Sensitive"/>
    <n v="0"/>
    <n v="1"/>
    <s v="Low"/>
    <s v="Desktop"/>
    <s v="Credit Card"/>
    <d v="2024-06-14T00:00:00"/>
    <b v="1"/>
    <b v="0"/>
    <s v="Wants-based"/>
    <x v="1"/>
    <n v="2"/>
  </r>
  <r>
    <x v="223"/>
    <n v="37"/>
    <s v="Male"/>
    <x v="0"/>
    <x v="0"/>
    <x v="0"/>
    <x v="1"/>
    <s v="Марино"/>
    <s v="Gardening &amp; Outdoors"/>
    <x v="223"/>
    <n v="5"/>
    <x v="1"/>
    <n v="1"/>
    <n v="4"/>
    <n v="2"/>
    <s v="None"/>
    <s v="Very Sensitive"/>
    <n v="2"/>
    <n v="1"/>
    <s v="Low"/>
    <s v="Desktop"/>
    <s v="Credit Card"/>
    <d v="2024-10-22T00:00:00"/>
    <b v="1"/>
    <b v="0"/>
    <s v="Planned"/>
    <x v="1"/>
    <n v="2"/>
  </r>
  <r>
    <x v="224"/>
    <n v="50"/>
    <s v="Female"/>
    <x v="0"/>
    <x v="3"/>
    <x v="0"/>
    <x v="1"/>
    <s v="Xinquan"/>
    <s v="Toys &amp; Games"/>
    <x v="224"/>
    <n v="7"/>
    <x v="1"/>
    <n v="1"/>
    <n v="5"/>
    <n v="0"/>
    <s v="Low"/>
    <s v="Very Sensitive"/>
    <n v="1"/>
    <n v="9"/>
    <s v="Medium"/>
    <s v="Desktop"/>
    <s v="Cash"/>
    <d v="2024-07-09T00:00:00"/>
    <b v="1"/>
    <b v="0"/>
    <s v="Impulsive"/>
    <x v="1"/>
    <n v="3"/>
  </r>
  <r>
    <x v="225"/>
    <n v="33"/>
    <s v="Female"/>
    <x v="1"/>
    <x v="2"/>
    <x v="1"/>
    <x v="1"/>
    <s v="Providence"/>
    <s v="Packages)"/>
    <x v="225"/>
    <n v="10"/>
    <x v="1"/>
    <n v="1"/>
    <n v="4"/>
    <n v="2"/>
    <s v="High"/>
    <s v="Somewhat Sensitive"/>
    <n v="1"/>
    <n v="1"/>
    <s v="Medium"/>
    <s v="Tablet"/>
    <s v="Cash"/>
    <d v="2024-08-14T00:00:00"/>
    <b v="0"/>
    <b v="0"/>
    <s v="Wants-based"/>
    <x v="2"/>
    <n v="9"/>
  </r>
  <r>
    <x v="226"/>
    <n v="50"/>
    <s v="Agender"/>
    <x v="1"/>
    <x v="3"/>
    <x v="2"/>
    <x v="0"/>
    <s v="Autun"/>
    <s v="Packages)"/>
    <x v="226"/>
    <n v="10"/>
    <x v="0"/>
    <n v="1"/>
    <n v="2"/>
    <n v="1"/>
    <s v="Medium"/>
    <s v="Somewhat Sensitive"/>
    <n v="1"/>
    <n v="5"/>
    <s v="Medium"/>
    <s v="Desktop"/>
    <s v="PayPal"/>
    <d v="2024-04-17T00:00:00"/>
    <b v="1"/>
    <b v="0"/>
    <s v="Impulsive"/>
    <x v="0"/>
    <n v="10"/>
  </r>
  <r>
    <x v="227"/>
    <n v="25"/>
    <s v="Male"/>
    <x v="0"/>
    <x v="3"/>
    <x v="1"/>
    <x v="0"/>
    <s v="Shilin"/>
    <s v="Baby Products"/>
    <x v="227"/>
    <n v="5"/>
    <x v="2"/>
    <n v="2"/>
    <n v="1"/>
    <n v="2"/>
    <s v="None"/>
    <s v="Very Sensitive"/>
    <n v="0"/>
    <n v="1"/>
    <s v="High"/>
    <s v="Smartphone"/>
    <s v="Cash"/>
    <d v="2024-11-16T00:00:00"/>
    <b v="1"/>
    <b v="0"/>
    <s v="Wants-based"/>
    <x v="1"/>
    <n v="14"/>
  </r>
  <r>
    <x v="228"/>
    <n v="34"/>
    <s v="Agender"/>
    <x v="1"/>
    <x v="1"/>
    <x v="0"/>
    <x v="1"/>
    <s v="Paris 17"/>
    <s v="Hotels"/>
    <x v="228"/>
    <n v="2"/>
    <x v="0"/>
    <n v="5"/>
    <n v="3"/>
    <n v="1"/>
    <s v="Low"/>
    <s v="Not Sensitive"/>
    <n v="1"/>
    <n v="9"/>
    <s v="Low"/>
    <s v="Smartphone"/>
    <s v="PayPal"/>
    <d v="2024-08-12T00:00:00"/>
    <b v="0"/>
    <b v="0"/>
    <s v="Wants-based"/>
    <x v="2"/>
    <n v="5"/>
  </r>
  <r>
    <x v="229"/>
    <n v="39"/>
    <s v="Male"/>
    <x v="1"/>
    <x v="2"/>
    <x v="1"/>
    <x v="1"/>
    <s v="Stoczek Łukowski"/>
    <s v="Books"/>
    <x v="229"/>
    <n v="5"/>
    <x v="1"/>
    <n v="5"/>
    <n v="5"/>
    <n v="1"/>
    <s v="Low"/>
    <s v="Somewhat Sensitive"/>
    <n v="1"/>
    <n v="4"/>
    <s v="Medium"/>
    <s v="Smartphone"/>
    <s v="PayPal"/>
    <d v="2024-07-27T00:00:00"/>
    <b v="0"/>
    <b v="1"/>
    <s v="Impulsive"/>
    <x v="2"/>
    <n v="8"/>
  </r>
  <r>
    <x v="230"/>
    <n v="41"/>
    <s v="Male"/>
    <x v="0"/>
    <x v="1"/>
    <x v="2"/>
    <x v="0"/>
    <s v="Ormstown"/>
    <s v="Home Appliances"/>
    <x v="230"/>
    <n v="7"/>
    <x v="2"/>
    <n v="4"/>
    <n v="2"/>
    <n v="2"/>
    <s v="Low"/>
    <s v="Not Sensitive"/>
    <n v="2"/>
    <n v="1"/>
    <s v="None"/>
    <s v="Smartphone"/>
    <s v="Debit Card"/>
    <d v="2024-04-15T00:00:00"/>
    <b v="1"/>
    <b v="1"/>
    <s v="Need-based"/>
    <x v="1"/>
    <n v="11"/>
  </r>
  <r>
    <x v="231"/>
    <n v="27"/>
    <s v="Male"/>
    <x v="0"/>
    <x v="0"/>
    <x v="2"/>
    <x v="1"/>
    <s v="Ponte"/>
    <s v="Hotels"/>
    <x v="231"/>
    <n v="11"/>
    <x v="2"/>
    <n v="2"/>
    <n v="2"/>
    <n v="2"/>
    <s v="None"/>
    <s v="Somewhat Sensitive"/>
    <n v="0"/>
    <n v="9"/>
    <s v="High"/>
    <s v="Smartphone"/>
    <s v="PayPal"/>
    <d v="2024-10-06T00:00:00"/>
    <b v="1"/>
    <b v="0"/>
    <s v="Need-based"/>
    <x v="0"/>
    <n v="1"/>
  </r>
  <r>
    <x v="232"/>
    <n v="23"/>
    <s v="Agender"/>
    <x v="1"/>
    <x v="0"/>
    <x v="0"/>
    <x v="0"/>
    <s v="Boshkengash"/>
    <s v="Software &amp; Apps"/>
    <x v="232"/>
    <n v="9"/>
    <x v="0"/>
    <n v="1"/>
    <n v="4"/>
    <n v="2"/>
    <s v="Medium"/>
    <s v="Somewhat Sensitive"/>
    <n v="2"/>
    <n v="4"/>
    <s v="High"/>
    <s v="Desktop"/>
    <s v="PayPal"/>
    <d v="2024-11-26T00:00:00"/>
    <b v="1"/>
    <b v="0"/>
    <s v="Planned"/>
    <x v="2"/>
    <n v="2"/>
  </r>
  <r>
    <x v="233"/>
    <n v="37"/>
    <s v="Male"/>
    <x v="0"/>
    <x v="2"/>
    <x v="0"/>
    <x v="0"/>
    <s v="Đạ Tẻh"/>
    <s v="Animal Feed"/>
    <x v="233"/>
    <n v="9"/>
    <x v="2"/>
    <n v="2"/>
    <n v="1"/>
    <n v="2"/>
    <s v="High"/>
    <s v="Very Sensitive"/>
    <n v="0"/>
    <n v="7"/>
    <s v="Medium"/>
    <s v="Smartphone"/>
    <s v="Credit Card"/>
    <d v="2024-05-26T00:00:00"/>
    <b v="1"/>
    <b v="0"/>
    <s v="Wants-based"/>
    <x v="2"/>
    <n v="1"/>
  </r>
  <r>
    <x v="234"/>
    <n v="21"/>
    <s v="Male"/>
    <x v="0"/>
    <x v="0"/>
    <x v="1"/>
    <x v="1"/>
    <s v="Radā‘"/>
    <s v="Furniture"/>
    <x v="234"/>
    <n v="9"/>
    <x v="1"/>
    <n v="4"/>
    <n v="1"/>
    <n v="2"/>
    <s v="High"/>
    <s v="Not Sensitive"/>
    <n v="1"/>
    <n v="9"/>
    <s v="Medium"/>
    <s v="Smartphone"/>
    <s v="Debit Card"/>
    <d v="2024-11-04T00:00:00"/>
    <b v="1"/>
    <b v="0"/>
    <s v="Planned"/>
    <x v="1"/>
    <n v="9"/>
  </r>
  <r>
    <x v="235"/>
    <n v="47"/>
    <s v="Male"/>
    <x v="0"/>
    <x v="1"/>
    <x v="1"/>
    <x v="1"/>
    <s v="Sinarwangi"/>
    <s v="Furniture"/>
    <x v="235"/>
    <n v="3"/>
    <x v="1"/>
    <n v="1"/>
    <n v="3"/>
    <n v="0"/>
    <s v="Low"/>
    <s v="Not Sensitive"/>
    <n v="1"/>
    <n v="8"/>
    <s v="Low"/>
    <s v="Tablet"/>
    <s v="Cash"/>
    <d v="2024-10-18T00:00:00"/>
    <b v="0"/>
    <b v="1"/>
    <s v="Impulsive"/>
    <x v="2"/>
    <n v="10"/>
  </r>
  <r>
    <x v="236"/>
    <n v="42"/>
    <s v="Agender"/>
    <x v="0"/>
    <x v="1"/>
    <x v="1"/>
    <x v="0"/>
    <s v="Dagup"/>
    <s v="Health Supplements"/>
    <x v="236"/>
    <n v="8"/>
    <x v="1"/>
    <n v="1"/>
    <n v="1"/>
    <n v="1"/>
    <s v="Low"/>
    <s v="Not Sensitive"/>
    <n v="2"/>
    <n v="3"/>
    <s v="Low"/>
    <s v="Desktop"/>
    <s v="Credit Card"/>
    <d v="2024-06-13T00:00:00"/>
    <b v="1"/>
    <b v="0"/>
    <s v="Planned"/>
    <x v="2"/>
    <n v="5"/>
  </r>
  <r>
    <x v="237"/>
    <n v="30"/>
    <s v="Male"/>
    <x v="0"/>
    <x v="2"/>
    <x v="0"/>
    <x v="0"/>
    <s v="Ełk"/>
    <s v="Books"/>
    <x v="237"/>
    <n v="2"/>
    <x v="0"/>
    <n v="1"/>
    <n v="1"/>
    <n v="2"/>
    <s v="Low"/>
    <s v="Very Sensitive"/>
    <n v="1"/>
    <n v="2"/>
    <s v="High"/>
    <s v="Smartphone"/>
    <s v="Cash"/>
    <d v="2024-03-03T00:00:00"/>
    <b v="1"/>
    <b v="1"/>
    <s v="Wants-based"/>
    <x v="0"/>
    <n v="4"/>
  </r>
  <r>
    <x v="238"/>
    <n v="49"/>
    <s v="Male"/>
    <x v="0"/>
    <x v="1"/>
    <x v="1"/>
    <x v="0"/>
    <s v="Moju"/>
    <s v="Health Care"/>
    <x v="238"/>
    <n v="6"/>
    <x v="0"/>
    <n v="4"/>
    <n v="2"/>
    <n v="2"/>
    <s v="None"/>
    <s v="Very Sensitive"/>
    <n v="2"/>
    <n v="9"/>
    <s v="None"/>
    <s v="Tablet"/>
    <s v="PayPal"/>
    <d v="2024-06-03T00:00:00"/>
    <b v="0"/>
    <b v="0"/>
    <s v="Planned"/>
    <x v="2"/>
    <n v="13"/>
  </r>
  <r>
    <x v="239"/>
    <n v="28"/>
    <s v="Female"/>
    <x v="0"/>
    <x v="0"/>
    <x v="2"/>
    <x v="0"/>
    <s v="Vília"/>
    <s v="Animal Feed"/>
    <x v="239"/>
    <n v="7"/>
    <x v="1"/>
    <n v="4"/>
    <n v="1"/>
    <n v="2"/>
    <s v="Medium"/>
    <s v="Not Sensitive"/>
    <n v="1"/>
    <n v="8"/>
    <s v="High"/>
    <s v="Tablet"/>
    <s v="Cash"/>
    <d v="2024-08-10T00:00:00"/>
    <b v="0"/>
    <b v="1"/>
    <s v="Need-based"/>
    <x v="2"/>
    <n v="11"/>
  </r>
  <r>
    <x v="240"/>
    <n v="24"/>
    <s v="Male"/>
    <x v="0"/>
    <x v="1"/>
    <x v="1"/>
    <x v="1"/>
    <s v="Prince Rupert"/>
    <s v="Health Supplements"/>
    <x v="240"/>
    <n v="6"/>
    <x v="0"/>
    <n v="3"/>
    <n v="2"/>
    <n v="2"/>
    <s v="None"/>
    <s v="Not Sensitive"/>
    <n v="0"/>
    <n v="8"/>
    <s v="Low"/>
    <s v="Tablet"/>
    <s v="Debit Card"/>
    <d v="2024-11-18T00:00:00"/>
    <b v="0"/>
    <b v="0"/>
    <s v="Planned"/>
    <x v="1"/>
    <n v="1"/>
  </r>
  <r>
    <x v="241"/>
    <n v="40"/>
    <s v="Female"/>
    <x v="1"/>
    <x v="3"/>
    <x v="0"/>
    <x v="0"/>
    <s v="Jiangmen"/>
    <s v="Arts &amp; Crafts"/>
    <x v="241"/>
    <n v="2"/>
    <x v="1"/>
    <n v="4"/>
    <n v="4"/>
    <n v="2"/>
    <s v="Low"/>
    <s v="Very Sensitive"/>
    <n v="0"/>
    <n v="1"/>
    <s v="Medium"/>
    <s v="Desktop"/>
    <s v="Credit Card"/>
    <d v="2024-02-08T00:00:00"/>
    <b v="1"/>
    <b v="1"/>
    <s v="Wants-based"/>
    <x v="0"/>
    <n v="11"/>
  </r>
  <r>
    <x v="242"/>
    <n v="18"/>
    <s v="Male"/>
    <x v="1"/>
    <x v="0"/>
    <x v="0"/>
    <x v="0"/>
    <s v="Alung"/>
    <s v="Toys &amp; Games"/>
    <x v="242"/>
    <n v="12"/>
    <x v="2"/>
    <n v="4"/>
    <n v="3"/>
    <n v="0.3"/>
    <s v="None"/>
    <s v="Not Sensitive"/>
    <n v="0"/>
    <n v="9"/>
    <s v="Medium"/>
    <s v="Smartphone"/>
    <s v="Debit Card"/>
    <d v="2024-03-17T00:00:00"/>
    <b v="1"/>
    <b v="1"/>
    <s v="Wants-based"/>
    <x v="0"/>
    <n v="8"/>
  </r>
  <r>
    <x v="243"/>
    <n v="42"/>
    <s v="Male"/>
    <x v="1"/>
    <x v="0"/>
    <x v="1"/>
    <x v="0"/>
    <s v="Osorno"/>
    <s v="Office Supplies"/>
    <x v="243"/>
    <n v="4"/>
    <x v="0"/>
    <n v="5"/>
    <n v="4"/>
    <n v="2"/>
    <s v="Low"/>
    <s v="Somewhat Sensitive"/>
    <n v="1"/>
    <n v="5"/>
    <s v="Medium"/>
    <s v="Smartphone"/>
    <s v="Debit Card"/>
    <d v="2024-01-04T00:00:00"/>
    <b v="1"/>
    <b v="0"/>
    <s v="Need-based"/>
    <x v="0"/>
    <n v="6"/>
  </r>
  <r>
    <x v="244"/>
    <n v="19"/>
    <s v="Male"/>
    <x v="1"/>
    <x v="0"/>
    <x v="2"/>
    <x v="1"/>
    <s v="Labo"/>
    <s v="Beauty &amp; Personal Care"/>
    <x v="244"/>
    <n v="6"/>
    <x v="0"/>
    <n v="2"/>
    <n v="2"/>
    <n v="0.3"/>
    <s v="Low"/>
    <s v="Very Sensitive"/>
    <n v="2"/>
    <n v="4"/>
    <s v="High"/>
    <s v="Tablet"/>
    <s v="Credit Card"/>
    <d v="2024-09-29T00:00:00"/>
    <b v="0"/>
    <b v="0"/>
    <s v="Planned"/>
    <x v="0"/>
    <n v="14"/>
  </r>
  <r>
    <x v="245"/>
    <n v="36"/>
    <s v="Female"/>
    <x v="1"/>
    <x v="3"/>
    <x v="1"/>
    <x v="0"/>
    <s v="Dakingari"/>
    <s v="Office Supplies"/>
    <x v="245"/>
    <n v="6"/>
    <x v="2"/>
    <n v="3"/>
    <n v="4"/>
    <n v="2"/>
    <s v="Medium"/>
    <s v="Very Sensitive"/>
    <n v="1"/>
    <n v="3"/>
    <s v="None"/>
    <s v="Smartphone"/>
    <s v="Credit Card"/>
    <d v="2024-08-05T00:00:00"/>
    <b v="0"/>
    <b v="0"/>
    <s v="Planned"/>
    <x v="1"/>
    <n v="12"/>
  </r>
  <r>
    <x v="246"/>
    <n v="26"/>
    <s v="Female"/>
    <x v="1"/>
    <x v="2"/>
    <x v="0"/>
    <x v="1"/>
    <s v="Selasari"/>
    <s v="Toys &amp; Games"/>
    <x v="246"/>
    <n v="8"/>
    <x v="1"/>
    <n v="5"/>
    <n v="5"/>
    <n v="2"/>
    <s v="Low"/>
    <s v="Very Sensitive"/>
    <n v="1"/>
    <n v="9"/>
    <s v="None"/>
    <s v="Tablet"/>
    <s v="Credit Card"/>
    <d v="2024-05-07T00:00:00"/>
    <b v="0"/>
    <b v="0"/>
    <s v="Need-based"/>
    <x v="1"/>
    <n v="13"/>
  </r>
  <r>
    <x v="247"/>
    <n v="35"/>
    <s v="Female"/>
    <x v="1"/>
    <x v="0"/>
    <x v="2"/>
    <x v="1"/>
    <s v="Besko"/>
    <s v="Arts &amp; Crafts"/>
    <x v="247"/>
    <n v="7"/>
    <x v="2"/>
    <n v="3"/>
    <n v="2"/>
    <n v="1"/>
    <s v="High"/>
    <s v="Not Sensitive"/>
    <n v="0"/>
    <n v="9"/>
    <s v="High"/>
    <s v="Smartphone"/>
    <s v="Debit Card"/>
    <d v="2024-08-18T00:00:00"/>
    <b v="0"/>
    <b v="1"/>
    <s v="Need-based"/>
    <x v="0"/>
    <n v="7"/>
  </r>
  <r>
    <x v="248"/>
    <n v="39"/>
    <s v="Male"/>
    <x v="1"/>
    <x v="3"/>
    <x v="2"/>
    <x v="0"/>
    <s v="Aubergenville"/>
    <s v="Clothing"/>
    <x v="248"/>
    <n v="7"/>
    <x v="0"/>
    <n v="4"/>
    <n v="2"/>
    <n v="1"/>
    <s v="High"/>
    <s v="Not Sensitive"/>
    <n v="1"/>
    <n v="10"/>
    <s v="None"/>
    <s v="Desktop"/>
    <s v="Debit Card"/>
    <d v="2024-02-18T00:00:00"/>
    <b v="0"/>
    <b v="0"/>
    <s v="Wants-based"/>
    <x v="2"/>
    <n v="3"/>
  </r>
  <r>
    <x v="249"/>
    <n v="44"/>
    <s v="Female"/>
    <x v="0"/>
    <x v="2"/>
    <x v="0"/>
    <x v="1"/>
    <s v="Sula"/>
    <s v="Jewelry &amp; Accessories"/>
    <x v="249"/>
    <n v="3"/>
    <x v="1"/>
    <n v="3"/>
    <n v="4"/>
    <n v="0.3"/>
    <s v="Low"/>
    <s v="Not Sensitive"/>
    <n v="1"/>
    <n v="10"/>
    <s v="Medium"/>
    <s v="Tablet"/>
    <s v="Cash"/>
    <d v="2024-03-14T00:00:00"/>
    <b v="0"/>
    <b v="1"/>
    <s v="Planned"/>
    <x v="1"/>
    <n v="7"/>
  </r>
  <r>
    <x v="250"/>
    <n v="19"/>
    <s v="Female"/>
    <x v="1"/>
    <x v="0"/>
    <x v="0"/>
    <x v="1"/>
    <s v="Valongo"/>
    <s v="Sports &amp; Outdoors"/>
    <x v="250"/>
    <n v="6"/>
    <x v="2"/>
    <n v="3"/>
    <n v="4"/>
    <n v="1"/>
    <s v="Medium"/>
    <s v="Very Sensitive"/>
    <n v="0"/>
    <n v="5"/>
    <s v="Low"/>
    <s v="Tablet"/>
    <s v="Other"/>
    <d v="2024-03-25T00:00:00"/>
    <b v="1"/>
    <b v="0"/>
    <s v="Need-based"/>
    <x v="0"/>
    <n v="14"/>
  </r>
  <r>
    <x v="251"/>
    <n v="27"/>
    <s v="Female"/>
    <x v="1"/>
    <x v="2"/>
    <x v="2"/>
    <x v="1"/>
    <s v="Al Khānkah"/>
    <s v="Clothing"/>
    <x v="251"/>
    <n v="4"/>
    <x v="2"/>
    <n v="3"/>
    <n v="2"/>
    <n v="0"/>
    <s v="High"/>
    <s v="Not Sensitive"/>
    <n v="2"/>
    <n v="6"/>
    <s v="High"/>
    <s v="Tablet"/>
    <s v="Other"/>
    <d v="2024-12-03T00:00:00"/>
    <b v="1"/>
    <b v="1"/>
    <s v="Need-based"/>
    <x v="1"/>
    <n v="10"/>
  </r>
  <r>
    <x v="252"/>
    <n v="26"/>
    <s v="Female"/>
    <x v="1"/>
    <x v="3"/>
    <x v="2"/>
    <x v="0"/>
    <s v="Mértola"/>
    <s v="Beauty &amp; Personal Care"/>
    <x v="252"/>
    <n v="3"/>
    <x v="2"/>
    <n v="1"/>
    <n v="3"/>
    <n v="1"/>
    <s v="High"/>
    <s v="Very Sensitive"/>
    <n v="2"/>
    <n v="10"/>
    <s v="None"/>
    <s v="Smartphone"/>
    <s v="PayPal"/>
    <d v="2024-05-13T00:00:00"/>
    <b v="0"/>
    <b v="0"/>
    <s v="Impulsive"/>
    <x v="0"/>
    <n v="12"/>
  </r>
  <r>
    <x v="253"/>
    <n v="26"/>
    <s v="Female"/>
    <x v="1"/>
    <x v="1"/>
    <x v="0"/>
    <x v="0"/>
    <s v="Rates"/>
    <s v="Baby Products"/>
    <x v="253"/>
    <n v="11"/>
    <x v="2"/>
    <n v="2"/>
    <n v="2"/>
    <n v="0"/>
    <s v="High"/>
    <s v="Very Sensitive"/>
    <n v="0"/>
    <n v="7"/>
    <s v="Low"/>
    <s v="Tablet"/>
    <s v="Other"/>
    <d v="2024-07-25T00:00:00"/>
    <b v="1"/>
    <b v="0"/>
    <s v="Impulsive"/>
    <x v="0"/>
    <n v="9"/>
  </r>
  <r>
    <x v="254"/>
    <n v="27"/>
    <s v="Female"/>
    <x v="1"/>
    <x v="0"/>
    <x v="1"/>
    <x v="0"/>
    <s v="Anyang"/>
    <s v="Hotels"/>
    <x v="254"/>
    <n v="5"/>
    <x v="0"/>
    <n v="1"/>
    <n v="1"/>
    <n v="1"/>
    <s v="High"/>
    <s v="Very Sensitive"/>
    <n v="0"/>
    <n v="3"/>
    <s v="High"/>
    <s v="Desktop"/>
    <s v="Other"/>
    <d v="2024-01-10T00:00:00"/>
    <b v="1"/>
    <b v="0"/>
    <s v="Wants-based"/>
    <x v="1"/>
    <n v="14"/>
  </r>
  <r>
    <x v="255"/>
    <n v="37"/>
    <s v="Male"/>
    <x v="0"/>
    <x v="1"/>
    <x v="2"/>
    <x v="0"/>
    <s v="Nymburk"/>
    <s v="Packages)"/>
    <x v="255"/>
    <n v="8"/>
    <x v="0"/>
    <n v="4"/>
    <n v="4"/>
    <n v="1"/>
    <s v="Medium"/>
    <s v="Very Sensitive"/>
    <n v="1"/>
    <n v="4"/>
    <s v="Medium"/>
    <s v="Smartphone"/>
    <s v="PayPal"/>
    <d v="2024-10-30T00:00:00"/>
    <b v="0"/>
    <b v="0"/>
    <s v="Impulsive"/>
    <x v="0"/>
    <n v="14"/>
  </r>
  <r>
    <x v="256"/>
    <n v="23"/>
    <s v="Female"/>
    <x v="0"/>
    <x v="1"/>
    <x v="0"/>
    <x v="0"/>
    <s v="Jiangcun"/>
    <s v="Software &amp; Apps"/>
    <x v="256"/>
    <n v="3"/>
    <x v="0"/>
    <n v="5"/>
    <n v="5"/>
    <n v="0"/>
    <s v="Low"/>
    <s v="Very Sensitive"/>
    <n v="1"/>
    <n v="4"/>
    <s v="Low"/>
    <s v="Smartphone"/>
    <s v="Credit Card"/>
    <d v="2024-09-17T00:00:00"/>
    <b v="1"/>
    <b v="1"/>
    <s v="Planned"/>
    <x v="0"/>
    <n v="5"/>
  </r>
  <r>
    <x v="257"/>
    <n v="31"/>
    <s v="Bigender"/>
    <x v="0"/>
    <x v="1"/>
    <x v="0"/>
    <x v="1"/>
    <s v="Tafo"/>
    <s v="Gardening &amp; Outdoors"/>
    <x v="257"/>
    <n v="7"/>
    <x v="2"/>
    <n v="4"/>
    <n v="2"/>
    <n v="0.3"/>
    <s v="High"/>
    <s v="Not Sensitive"/>
    <n v="1"/>
    <n v="3"/>
    <s v="Medium"/>
    <s v="Smartphone"/>
    <s v="Other"/>
    <d v="2024-08-17T00:00:00"/>
    <b v="0"/>
    <b v="0"/>
    <s v="Wants-based"/>
    <x v="1"/>
    <n v="13"/>
  </r>
  <r>
    <x v="258"/>
    <n v="21"/>
    <s v="Female"/>
    <x v="0"/>
    <x v="2"/>
    <x v="2"/>
    <x v="0"/>
    <s v="Cibaregbeg"/>
    <s v="Sports &amp; Outdoors"/>
    <x v="258"/>
    <n v="10"/>
    <x v="1"/>
    <n v="2"/>
    <n v="1"/>
    <n v="1"/>
    <s v="Medium"/>
    <s v="Very Sensitive"/>
    <n v="1"/>
    <n v="10"/>
    <s v="Low"/>
    <s v="Desktop"/>
    <s v="Cash"/>
    <d v="2024-06-03T00:00:00"/>
    <b v="1"/>
    <b v="1"/>
    <s v="Need-based"/>
    <x v="1"/>
    <n v="1"/>
  </r>
  <r>
    <x v="259"/>
    <n v="36"/>
    <s v="Female"/>
    <x v="1"/>
    <x v="1"/>
    <x v="2"/>
    <x v="0"/>
    <s v="Wang Yang"/>
    <s v="Home Appliances"/>
    <x v="259"/>
    <n v="6"/>
    <x v="2"/>
    <n v="2"/>
    <n v="5"/>
    <n v="0"/>
    <s v="High"/>
    <s v="Very Sensitive"/>
    <n v="1"/>
    <n v="5"/>
    <s v="None"/>
    <s v="Smartphone"/>
    <s v="Other"/>
    <d v="2024-07-28T00:00:00"/>
    <b v="0"/>
    <b v="0"/>
    <s v="Impulsive"/>
    <x v="2"/>
    <n v="2"/>
  </r>
  <r>
    <x v="260"/>
    <n v="21"/>
    <s v="Female"/>
    <x v="0"/>
    <x v="1"/>
    <x v="2"/>
    <x v="1"/>
    <s v="Liangnong"/>
    <s v="Gardening &amp; Outdoors"/>
    <x v="260"/>
    <n v="9"/>
    <x v="1"/>
    <n v="1"/>
    <n v="4"/>
    <n v="2"/>
    <s v="Medium"/>
    <s v="Very Sensitive"/>
    <n v="1"/>
    <n v="4"/>
    <s v="High"/>
    <s v="Smartphone"/>
    <s v="PayPal"/>
    <d v="2024-10-24T00:00:00"/>
    <b v="0"/>
    <b v="0"/>
    <s v="Impulsive"/>
    <x v="2"/>
    <n v="14"/>
  </r>
  <r>
    <x v="261"/>
    <n v="27"/>
    <s v="Female"/>
    <x v="0"/>
    <x v="1"/>
    <x v="2"/>
    <x v="1"/>
    <s v="Hengshi"/>
    <s v="Furniture"/>
    <x v="261"/>
    <n v="11"/>
    <x v="0"/>
    <n v="1"/>
    <n v="4"/>
    <n v="1"/>
    <s v="High"/>
    <s v="Somewhat Sensitive"/>
    <n v="0"/>
    <n v="8"/>
    <s v="Medium"/>
    <s v="Desktop"/>
    <s v="Credit Card"/>
    <d v="2024-04-01T00:00:00"/>
    <b v="0"/>
    <b v="1"/>
    <s v="Wants-based"/>
    <x v="2"/>
    <n v="14"/>
  </r>
  <r>
    <x v="262"/>
    <n v="29"/>
    <s v="Female"/>
    <x v="0"/>
    <x v="1"/>
    <x v="2"/>
    <x v="1"/>
    <s v="Kandangan"/>
    <s v="Jewelry &amp; Accessories"/>
    <x v="262"/>
    <n v="9"/>
    <x v="2"/>
    <n v="2"/>
    <n v="1"/>
    <n v="0"/>
    <s v="High"/>
    <s v="Somewhat Sensitive"/>
    <n v="2"/>
    <n v="3"/>
    <s v="High"/>
    <s v="Desktop"/>
    <s v="Other"/>
    <d v="2024-06-09T00:00:00"/>
    <b v="0"/>
    <b v="1"/>
    <s v="Need-based"/>
    <x v="1"/>
    <n v="8"/>
  </r>
  <r>
    <x v="263"/>
    <n v="24"/>
    <s v="Male"/>
    <x v="0"/>
    <x v="1"/>
    <x v="1"/>
    <x v="0"/>
    <s v="Naranjal"/>
    <s v="Health Supplements"/>
    <x v="263"/>
    <n v="9"/>
    <x v="1"/>
    <n v="1"/>
    <n v="2"/>
    <n v="0"/>
    <s v="Low"/>
    <s v="Not Sensitive"/>
    <n v="0"/>
    <n v="9"/>
    <s v="None"/>
    <s v="Smartphone"/>
    <s v="Other"/>
    <d v="2024-11-14T00:00:00"/>
    <b v="1"/>
    <b v="0"/>
    <s v="Need-based"/>
    <x v="1"/>
    <n v="11"/>
  </r>
  <r>
    <x v="264"/>
    <n v="33"/>
    <s v="Female"/>
    <x v="0"/>
    <x v="3"/>
    <x v="0"/>
    <x v="0"/>
    <s v="Abiko"/>
    <s v="Books"/>
    <x v="264"/>
    <n v="12"/>
    <x v="2"/>
    <n v="2"/>
    <n v="4"/>
    <n v="2"/>
    <s v="None"/>
    <s v="Not Sensitive"/>
    <n v="0"/>
    <n v="1"/>
    <s v="None"/>
    <s v="Tablet"/>
    <s v="Cash"/>
    <d v="2024-10-08T00:00:00"/>
    <b v="0"/>
    <b v="0"/>
    <s v="Impulsive"/>
    <x v="2"/>
    <n v="10"/>
  </r>
  <r>
    <x v="265"/>
    <n v="38"/>
    <s v="Female"/>
    <x v="1"/>
    <x v="0"/>
    <x v="2"/>
    <x v="0"/>
    <s v="Longhuashan"/>
    <s v="Arts &amp; Crafts"/>
    <x v="265"/>
    <n v="4"/>
    <x v="0"/>
    <n v="4"/>
    <n v="5"/>
    <n v="0"/>
    <s v="Medium"/>
    <s v="Somewhat Sensitive"/>
    <n v="2"/>
    <n v="2"/>
    <s v="Medium"/>
    <s v="Desktop"/>
    <s v="Credit Card"/>
    <d v="2024-01-11T00:00:00"/>
    <b v="0"/>
    <b v="1"/>
    <s v="Planned"/>
    <x v="0"/>
    <n v="7"/>
  </r>
  <r>
    <x v="266"/>
    <n v="47"/>
    <s v="Male"/>
    <x v="1"/>
    <x v="3"/>
    <x v="2"/>
    <x v="1"/>
    <s v="Zhovkva"/>
    <s v="Jewelry &amp; Accessories"/>
    <x v="266"/>
    <n v="10"/>
    <x v="1"/>
    <n v="1"/>
    <n v="4"/>
    <n v="0"/>
    <s v="None"/>
    <s v="Very Sensitive"/>
    <n v="0"/>
    <n v="4"/>
    <s v="High"/>
    <s v="Tablet"/>
    <s v="Credit Card"/>
    <d v="2024-02-26T00:00:00"/>
    <b v="1"/>
    <b v="1"/>
    <s v="Impulsive"/>
    <x v="2"/>
    <n v="9"/>
  </r>
  <r>
    <x v="267"/>
    <n v="32"/>
    <s v="Male"/>
    <x v="0"/>
    <x v="2"/>
    <x v="0"/>
    <x v="1"/>
    <s v="Lebak"/>
    <s v="Hotels"/>
    <x v="267"/>
    <n v="5"/>
    <x v="2"/>
    <n v="4"/>
    <n v="4"/>
    <n v="2"/>
    <s v="Medium"/>
    <s v="Very Sensitive"/>
    <n v="1"/>
    <n v="1"/>
    <s v="High"/>
    <s v="Tablet"/>
    <s v="Cash"/>
    <d v="2024-11-01T00:00:00"/>
    <b v="0"/>
    <b v="1"/>
    <s v="Wants-based"/>
    <x v="1"/>
    <n v="8"/>
  </r>
  <r>
    <x v="268"/>
    <n v="21"/>
    <s v="Bigender"/>
    <x v="1"/>
    <x v="1"/>
    <x v="1"/>
    <x v="1"/>
    <s v="Gereshk"/>
    <s v="Packages)"/>
    <x v="268"/>
    <n v="6"/>
    <x v="1"/>
    <n v="3"/>
    <n v="5"/>
    <n v="0"/>
    <s v="Medium"/>
    <s v="Somewhat Sensitive"/>
    <n v="0"/>
    <n v="5"/>
    <s v="Medium"/>
    <s v="Smartphone"/>
    <s v="Other"/>
    <d v="2024-03-28T00:00:00"/>
    <b v="1"/>
    <b v="0"/>
    <s v="Wants-based"/>
    <x v="0"/>
    <n v="7"/>
  </r>
  <r>
    <x v="269"/>
    <n v="23"/>
    <s v="Female"/>
    <x v="1"/>
    <x v="3"/>
    <x v="1"/>
    <x v="1"/>
    <s v="Yonghe"/>
    <s v="Food &amp; Beverages"/>
    <x v="269"/>
    <n v="2"/>
    <x v="1"/>
    <n v="4"/>
    <n v="4"/>
    <n v="0"/>
    <s v="Medium"/>
    <s v="Not Sensitive"/>
    <n v="0"/>
    <n v="5"/>
    <s v="Low"/>
    <s v="Smartphone"/>
    <s v="PayPal"/>
    <d v="2024-01-08T00:00:00"/>
    <b v="0"/>
    <b v="0"/>
    <s v="Impulsive"/>
    <x v="0"/>
    <n v="1"/>
  </r>
  <r>
    <x v="270"/>
    <n v="45"/>
    <s v="Non-binary"/>
    <x v="0"/>
    <x v="3"/>
    <x v="0"/>
    <x v="1"/>
    <s v="Dabai"/>
    <s v="Jewelry &amp; Accessories"/>
    <x v="270"/>
    <n v="11"/>
    <x v="0"/>
    <n v="2"/>
    <n v="3"/>
    <n v="2"/>
    <s v="Low"/>
    <s v="Very Sensitive"/>
    <n v="0"/>
    <n v="8"/>
    <s v="None"/>
    <s v="Smartphone"/>
    <s v="Credit Card"/>
    <d v="2024-02-28T00:00:00"/>
    <b v="1"/>
    <b v="1"/>
    <s v="Need-based"/>
    <x v="1"/>
    <n v="10"/>
  </r>
  <r>
    <x v="271"/>
    <n v="24"/>
    <s v="Genderfluid"/>
    <x v="0"/>
    <x v="0"/>
    <x v="1"/>
    <x v="0"/>
    <s v="Moutnice"/>
    <s v="Clothing"/>
    <x v="271"/>
    <n v="9"/>
    <x v="1"/>
    <n v="5"/>
    <n v="5"/>
    <n v="2"/>
    <s v="None"/>
    <s v="Very Sensitive"/>
    <n v="1"/>
    <n v="4"/>
    <s v="None"/>
    <s v="Smartphone"/>
    <s v="PayPal"/>
    <d v="2024-09-15T00:00:00"/>
    <b v="1"/>
    <b v="1"/>
    <s v="Impulsive"/>
    <x v="2"/>
    <n v="5"/>
  </r>
  <r>
    <x v="272"/>
    <n v="20"/>
    <s v="Female"/>
    <x v="0"/>
    <x v="2"/>
    <x v="1"/>
    <x v="0"/>
    <s v="Qiryat Yam"/>
    <s v="Furniture"/>
    <x v="272"/>
    <n v="10"/>
    <x v="2"/>
    <n v="3"/>
    <n v="2"/>
    <n v="1"/>
    <s v="None"/>
    <s v="Very Sensitive"/>
    <n v="1"/>
    <n v="6"/>
    <s v="None"/>
    <s v="Tablet"/>
    <s v="Credit Card"/>
    <d v="2024-11-01T00:00:00"/>
    <b v="1"/>
    <b v="1"/>
    <s v="Need-based"/>
    <x v="2"/>
    <n v="6"/>
  </r>
  <r>
    <x v="273"/>
    <n v="27"/>
    <s v="Male"/>
    <x v="1"/>
    <x v="1"/>
    <x v="2"/>
    <x v="0"/>
    <s v="Pirané"/>
    <s v="Toys &amp; Games"/>
    <x v="273"/>
    <n v="7"/>
    <x v="2"/>
    <n v="2"/>
    <n v="1"/>
    <n v="2"/>
    <s v="None"/>
    <s v="Very Sensitive"/>
    <n v="0"/>
    <n v="3"/>
    <s v="None"/>
    <s v="Tablet"/>
    <s v="Cash"/>
    <d v="2024-07-14T00:00:00"/>
    <b v="0"/>
    <b v="1"/>
    <s v="Need-based"/>
    <x v="1"/>
    <n v="1"/>
  </r>
  <r>
    <x v="274"/>
    <n v="47"/>
    <s v="Male"/>
    <x v="1"/>
    <x v="3"/>
    <x v="1"/>
    <x v="0"/>
    <s v="Colima"/>
    <s v="Sports &amp; Outdoors"/>
    <x v="274"/>
    <n v="4"/>
    <x v="2"/>
    <n v="3"/>
    <n v="2"/>
    <n v="1"/>
    <s v="Low"/>
    <s v="Somewhat Sensitive"/>
    <n v="1"/>
    <n v="10"/>
    <s v="None"/>
    <s v="Desktop"/>
    <s v="Cash"/>
    <d v="2024-04-24T00:00:00"/>
    <b v="0"/>
    <b v="1"/>
    <s v="Planned"/>
    <x v="0"/>
    <n v="10"/>
  </r>
  <r>
    <x v="275"/>
    <n v="34"/>
    <s v="Male"/>
    <x v="0"/>
    <x v="1"/>
    <x v="1"/>
    <x v="0"/>
    <s v="Marshintsy"/>
    <s v="Clothing"/>
    <x v="275"/>
    <n v="12"/>
    <x v="2"/>
    <n v="4"/>
    <n v="3"/>
    <n v="0"/>
    <s v="High"/>
    <s v="Very Sensitive"/>
    <n v="0"/>
    <n v="5"/>
    <s v="Medium"/>
    <s v="Desktop"/>
    <s v="Debit Card"/>
    <d v="2024-08-22T00:00:00"/>
    <b v="1"/>
    <b v="0"/>
    <s v="Planned"/>
    <x v="0"/>
    <n v="7"/>
  </r>
  <r>
    <x v="276"/>
    <n v="41"/>
    <s v="Male"/>
    <x v="1"/>
    <x v="2"/>
    <x v="1"/>
    <x v="1"/>
    <s v="Halinów"/>
    <s v="Books"/>
    <x v="276"/>
    <n v="2"/>
    <x v="2"/>
    <n v="3"/>
    <n v="1"/>
    <n v="2"/>
    <s v="High"/>
    <s v="Not Sensitive"/>
    <n v="2"/>
    <n v="8"/>
    <s v="Low"/>
    <s v="Smartphone"/>
    <s v="Other"/>
    <d v="2024-02-20T00:00:00"/>
    <b v="1"/>
    <b v="0"/>
    <s v="Impulsive"/>
    <x v="2"/>
    <n v="12"/>
  </r>
  <r>
    <x v="277"/>
    <n v="26"/>
    <s v="Male"/>
    <x v="1"/>
    <x v="2"/>
    <x v="2"/>
    <x v="0"/>
    <s v="Hallsberg"/>
    <s v="Sports &amp; Outdoors"/>
    <x v="277"/>
    <n v="10"/>
    <x v="1"/>
    <n v="5"/>
    <n v="1"/>
    <n v="1"/>
    <s v="None"/>
    <s v="Not Sensitive"/>
    <n v="1"/>
    <n v="1"/>
    <s v="Medium"/>
    <s v="Smartphone"/>
    <s v="Debit Card"/>
    <d v="2024-01-27T00:00:00"/>
    <b v="1"/>
    <b v="0"/>
    <s v="Wants-based"/>
    <x v="1"/>
    <n v="14"/>
  </r>
  <r>
    <x v="278"/>
    <n v="49"/>
    <s v="Male"/>
    <x v="0"/>
    <x v="2"/>
    <x v="0"/>
    <x v="0"/>
    <s v="Celso Ramos"/>
    <s v="Clothing"/>
    <x v="278"/>
    <n v="6"/>
    <x v="2"/>
    <n v="1"/>
    <n v="1"/>
    <n v="0"/>
    <s v="None"/>
    <s v="Somewhat Sensitive"/>
    <n v="1"/>
    <n v="8"/>
    <s v="Low"/>
    <s v="Tablet"/>
    <s v="Other"/>
    <d v="2024-02-09T00:00:00"/>
    <b v="1"/>
    <b v="0"/>
    <s v="Wants-based"/>
    <x v="1"/>
    <n v="9"/>
  </r>
  <r>
    <x v="279"/>
    <n v="47"/>
    <s v="Female"/>
    <x v="0"/>
    <x v="2"/>
    <x v="1"/>
    <x v="0"/>
    <s v="White River"/>
    <s v="Furniture"/>
    <x v="279"/>
    <n v="12"/>
    <x v="1"/>
    <n v="4"/>
    <n v="4"/>
    <n v="2"/>
    <s v="Medium"/>
    <s v="Somewhat Sensitive"/>
    <n v="2"/>
    <n v="4"/>
    <s v="Low"/>
    <s v="Smartphone"/>
    <s v="PayPal"/>
    <d v="2024-01-28T00:00:00"/>
    <b v="0"/>
    <b v="1"/>
    <s v="Need-based"/>
    <x v="0"/>
    <n v="11"/>
  </r>
  <r>
    <x v="280"/>
    <n v="18"/>
    <s v="Male"/>
    <x v="0"/>
    <x v="0"/>
    <x v="2"/>
    <x v="0"/>
    <s v="Taishihe"/>
    <s v="Travel &amp; Leisure (Flights"/>
    <x v="280"/>
    <n v="4"/>
    <x v="1"/>
    <n v="4"/>
    <n v="5"/>
    <n v="0"/>
    <s v="High"/>
    <s v="Somewhat Sensitive"/>
    <n v="2"/>
    <n v="6"/>
    <s v="Low"/>
    <s v="Smartphone"/>
    <s v="PayPal"/>
    <d v="2024-06-23T00:00:00"/>
    <b v="1"/>
    <b v="1"/>
    <s v="Wants-based"/>
    <x v="2"/>
    <n v="14"/>
  </r>
  <r>
    <x v="281"/>
    <n v="48"/>
    <s v="Female"/>
    <x v="0"/>
    <x v="2"/>
    <x v="2"/>
    <x v="1"/>
    <s v="Shanghu"/>
    <s v="Animal Feed"/>
    <x v="281"/>
    <n v="11"/>
    <x v="0"/>
    <n v="5"/>
    <n v="3"/>
    <n v="0"/>
    <s v="None"/>
    <s v="Very Sensitive"/>
    <n v="1"/>
    <n v="10"/>
    <s v="High"/>
    <s v="Tablet"/>
    <s v="Debit Card"/>
    <d v="2024-08-20T00:00:00"/>
    <b v="1"/>
    <b v="1"/>
    <s v="Impulsive"/>
    <x v="1"/>
    <n v="10"/>
  </r>
  <r>
    <x v="282"/>
    <n v="19"/>
    <s v="Male"/>
    <x v="0"/>
    <x v="1"/>
    <x v="0"/>
    <x v="0"/>
    <s v="Brandsen"/>
    <s v="Baby Products"/>
    <x v="282"/>
    <n v="4"/>
    <x v="1"/>
    <n v="5"/>
    <n v="4"/>
    <n v="0"/>
    <s v="Low"/>
    <s v="Very Sensitive"/>
    <n v="0"/>
    <n v="1"/>
    <s v="None"/>
    <s v="Desktop"/>
    <s v="PayPal"/>
    <d v="2024-11-24T00:00:00"/>
    <b v="0"/>
    <b v="0"/>
    <s v="Wants-based"/>
    <x v="0"/>
    <n v="11"/>
  </r>
  <r>
    <x v="283"/>
    <n v="39"/>
    <s v="Female"/>
    <x v="0"/>
    <x v="3"/>
    <x v="1"/>
    <x v="1"/>
    <s v="Ranot"/>
    <s v="Clothing"/>
    <x v="283"/>
    <n v="9"/>
    <x v="0"/>
    <n v="3"/>
    <n v="2"/>
    <n v="0"/>
    <s v="Low"/>
    <s v="Somewhat Sensitive"/>
    <n v="1"/>
    <n v="10"/>
    <s v="Low"/>
    <s v="Smartphone"/>
    <s v="Debit Card"/>
    <d v="2024-04-19T00:00:00"/>
    <b v="0"/>
    <b v="0"/>
    <s v="Impulsive"/>
    <x v="1"/>
    <n v="4"/>
  </r>
  <r>
    <x v="284"/>
    <n v="48"/>
    <s v="Female"/>
    <x v="1"/>
    <x v="3"/>
    <x v="2"/>
    <x v="0"/>
    <s v="Saint-Jouan-des-Guérets"/>
    <s v="Jewelry &amp; Accessories"/>
    <x v="284"/>
    <n v="5"/>
    <x v="1"/>
    <n v="5"/>
    <n v="2"/>
    <n v="0"/>
    <s v="Medium"/>
    <s v="Somewhat Sensitive"/>
    <n v="2"/>
    <n v="1"/>
    <s v="None"/>
    <s v="Smartphone"/>
    <s v="Other"/>
    <d v="2024-01-26T00:00:00"/>
    <b v="0"/>
    <b v="0"/>
    <s v="Planned"/>
    <x v="0"/>
    <n v="7"/>
  </r>
  <r>
    <x v="285"/>
    <n v="43"/>
    <s v="Female"/>
    <x v="1"/>
    <x v="2"/>
    <x v="2"/>
    <x v="1"/>
    <s v="Da’an"/>
    <s v="Health Care"/>
    <x v="285"/>
    <n v="9"/>
    <x v="0"/>
    <n v="3"/>
    <n v="1"/>
    <n v="2"/>
    <s v="High"/>
    <s v="Not Sensitive"/>
    <n v="0"/>
    <n v="10"/>
    <s v="Medium"/>
    <s v="Tablet"/>
    <s v="PayPal"/>
    <d v="2024-09-06T00:00:00"/>
    <b v="1"/>
    <b v="0"/>
    <s v="Impulsive"/>
    <x v="2"/>
    <n v="3"/>
  </r>
  <r>
    <x v="286"/>
    <n v="31"/>
    <s v="Female"/>
    <x v="1"/>
    <x v="3"/>
    <x v="0"/>
    <x v="1"/>
    <s v="Kisovec"/>
    <s v="Health Care"/>
    <x v="286"/>
    <n v="2"/>
    <x v="0"/>
    <n v="1"/>
    <n v="4"/>
    <n v="0"/>
    <s v="Medium"/>
    <s v="Not Sensitive"/>
    <n v="0"/>
    <n v="9"/>
    <s v="High"/>
    <s v="Desktop"/>
    <s v="PayPal"/>
    <d v="2024-06-29T00:00:00"/>
    <b v="1"/>
    <b v="1"/>
    <s v="Planned"/>
    <x v="2"/>
    <n v="7"/>
  </r>
  <r>
    <x v="287"/>
    <n v="28"/>
    <s v="Female"/>
    <x v="0"/>
    <x v="3"/>
    <x v="0"/>
    <x v="1"/>
    <s v="Ābdānān"/>
    <s v="Home Appliances"/>
    <x v="287"/>
    <n v="12"/>
    <x v="2"/>
    <n v="5"/>
    <n v="3"/>
    <n v="0.25"/>
    <s v="High"/>
    <s v="Very Sensitive"/>
    <n v="1"/>
    <n v="8"/>
    <s v="Low"/>
    <s v="Desktop"/>
    <s v="Debit Card"/>
    <d v="2024-03-03T00:00:00"/>
    <b v="0"/>
    <b v="0"/>
    <s v="Wants-based"/>
    <x v="2"/>
    <n v="3"/>
  </r>
  <r>
    <x v="288"/>
    <n v="29"/>
    <s v="Genderqueer"/>
    <x v="0"/>
    <x v="0"/>
    <x v="2"/>
    <x v="1"/>
    <s v="Dafeng"/>
    <s v="Animal Feed"/>
    <x v="288"/>
    <n v="5"/>
    <x v="1"/>
    <n v="5"/>
    <n v="3"/>
    <n v="0"/>
    <s v="None"/>
    <s v="Somewhat Sensitive"/>
    <n v="0"/>
    <n v="7"/>
    <s v="Low"/>
    <s v="Tablet"/>
    <s v="Cash"/>
    <d v="2024-05-10T00:00:00"/>
    <b v="1"/>
    <b v="0"/>
    <s v="Need-based"/>
    <x v="1"/>
    <n v="9"/>
  </r>
  <r>
    <x v="289"/>
    <n v="45"/>
    <s v="Genderfluid"/>
    <x v="0"/>
    <x v="3"/>
    <x v="1"/>
    <x v="1"/>
    <s v="Campo Maior"/>
    <s v="Jewelry &amp; Accessories"/>
    <x v="289"/>
    <n v="7"/>
    <x v="1"/>
    <n v="4"/>
    <n v="3"/>
    <n v="2"/>
    <s v="High"/>
    <s v="Very Sensitive"/>
    <n v="2"/>
    <n v="6"/>
    <s v="Medium"/>
    <s v="Smartphone"/>
    <s v="Other"/>
    <d v="2024-08-20T00:00:00"/>
    <b v="1"/>
    <b v="1"/>
    <s v="Wants-based"/>
    <x v="2"/>
    <n v="10"/>
  </r>
  <r>
    <x v="290"/>
    <n v="38"/>
    <s v="Male"/>
    <x v="0"/>
    <x v="1"/>
    <x v="2"/>
    <x v="1"/>
    <s v="Sävedalen"/>
    <s v="Books"/>
    <x v="290"/>
    <n v="4"/>
    <x v="1"/>
    <n v="1"/>
    <n v="3"/>
    <n v="1"/>
    <s v="None"/>
    <s v="Very Sensitive"/>
    <n v="1"/>
    <n v="10"/>
    <s v="Medium"/>
    <s v="Tablet"/>
    <s v="Cash"/>
    <d v="2024-11-11T00:00:00"/>
    <b v="0"/>
    <b v="0"/>
    <s v="Planned"/>
    <x v="1"/>
    <n v="14"/>
  </r>
  <r>
    <x v="291"/>
    <n v="30"/>
    <s v="Male"/>
    <x v="0"/>
    <x v="2"/>
    <x v="0"/>
    <x v="0"/>
    <s v="Brikcha"/>
    <s v="Books"/>
    <x v="291"/>
    <n v="8"/>
    <x v="1"/>
    <n v="4"/>
    <n v="4"/>
    <n v="2"/>
    <s v="High"/>
    <s v="Somewhat Sensitive"/>
    <n v="1"/>
    <n v="3"/>
    <s v="Medium"/>
    <s v="Tablet"/>
    <s v="Debit Card"/>
    <d v="2024-05-25T00:00:00"/>
    <b v="1"/>
    <b v="0"/>
    <s v="Wants-based"/>
    <x v="2"/>
    <n v="8"/>
  </r>
  <r>
    <x v="292"/>
    <n v="40"/>
    <s v="Female"/>
    <x v="1"/>
    <x v="2"/>
    <x v="0"/>
    <x v="1"/>
    <s v="Xidianzi"/>
    <s v="Electronics"/>
    <x v="292"/>
    <n v="7"/>
    <x v="2"/>
    <n v="5"/>
    <n v="1"/>
    <n v="1"/>
    <s v="High"/>
    <s v="Very Sensitive"/>
    <n v="0"/>
    <n v="10"/>
    <s v="None"/>
    <s v="Tablet"/>
    <s v="Cash"/>
    <d v="2024-12-23T00:00:00"/>
    <b v="0"/>
    <b v="0"/>
    <s v="Need-based"/>
    <x v="0"/>
    <n v="13"/>
  </r>
  <r>
    <x v="293"/>
    <n v="45"/>
    <s v="Male"/>
    <x v="0"/>
    <x v="0"/>
    <x v="1"/>
    <x v="1"/>
    <s v="La Unión"/>
    <s v="Luxury Goods"/>
    <x v="293"/>
    <n v="7"/>
    <x v="1"/>
    <n v="4"/>
    <n v="2"/>
    <n v="1"/>
    <s v="Low"/>
    <s v="Very Sensitive"/>
    <n v="1"/>
    <n v="6"/>
    <s v="None"/>
    <s v="Tablet"/>
    <s v="Credit Card"/>
    <d v="2024-07-07T00:00:00"/>
    <b v="1"/>
    <b v="1"/>
    <s v="Need-based"/>
    <x v="1"/>
    <n v="1"/>
  </r>
  <r>
    <x v="294"/>
    <n v="44"/>
    <s v="Female"/>
    <x v="1"/>
    <x v="1"/>
    <x v="1"/>
    <x v="0"/>
    <s v="Kliteh"/>
    <s v="Health Supplements"/>
    <x v="294"/>
    <n v="4"/>
    <x v="1"/>
    <n v="2"/>
    <n v="4"/>
    <n v="2"/>
    <s v="Low"/>
    <s v="Very Sensitive"/>
    <n v="0"/>
    <n v="6"/>
    <s v="High"/>
    <s v="Smartphone"/>
    <s v="Credit Card"/>
    <d v="2024-12-30T00:00:00"/>
    <b v="0"/>
    <b v="1"/>
    <s v="Planned"/>
    <x v="0"/>
    <n v="2"/>
  </r>
  <r>
    <x v="295"/>
    <n v="38"/>
    <s v="Female"/>
    <x v="0"/>
    <x v="2"/>
    <x v="1"/>
    <x v="0"/>
    <s v="Béja"/>
    <s v="Gardening &amp; Outdoors"/>
    <x v="295"/>
    <n v="4"/>
    <x v="0"/>
    <n v="4"/>
    <n v="5"/>
    <n v="1"/>
    <s v="Low"/>
    <s v="Not Sensitive"/>
    <n v="2"/>
    <n v="10"/>
    <s v="High"/>
    <s v="Desktop"/>
    <s v="Credit Card"/>
    <d v="2024-03-11T00:00:00"/>
    <b v="0"/>
    <b v="0"/>
    <s v="Impulsive"/>
    <x v="1"/>
    <n v="13"/>
  </r>
  <r>
    <x v="296"/>
    <n v="23"/>
    <s v="Polygender"/>
    <x v="0"/>
    <x v="2"/>
    <x v="0"/>
    <x v="1"/>
    <s v="Ferreira do Alentejo"/>
    <s v="Software &amp; Apps"/>
    <x v="296"/>
    <n v="3"/>
    <x v="0"/>
    <n v="1"/>
    <n v="5"/>
    <n v="0"/>
    <s v="Medium"/>
    <s v="Very Sensitive"/>
    <n v="0"/>
    <n v="7"/>
    <s v="Low"/>
    <s v="Tablet"/>
    <s v="Debit Card"/>
    <d v="2024-07-07T00:00:00"/>
    <b v="0"/>
    <b v="0"/>
    <s v="Planned"/>
    <x v="0"/>
    <n v="4"/>
  </r>
  <r>
    <x v="297"/>
    <n v="30"/>
    <s v="Genderqueer"/>
    <x v="1"/>
    <x v="2"/>
    <x v="0"/>
    <x v="1"/>
    <s v="Gegernoong"/>
    <s v="Sports &amp; Outdoors"/>
    <x v="297"/>
    <n v="3"/>
    <x v="2"/>
    <n v="1"/>
    <n v="3"/>
    <n v="1"/>
    <s v="Medium"/>
    <s v="Not Sensitive"/>
    <n v="1"/>
    <n v="1"/>
    <s v="None"/>
    <s v="Desktop"/>
    <s v="Cash"/>
    <d v="2024-07-24T00:00:00"/>
    <b v="0"/>
    <b v="0"/>
    <s v="Need-based"/>
    <x v="1"/>
    <n v="8"/>
  </r>
  <r>
    <x v="298"/>
    <n v="42"/>
    <s v="Male"/>
    <x v="1"/>
    <x v="2"/>
    <x v="2"/>
    <x v="0"/>
    <s v="La Montañita"/>
    <s v="Health Supplements"/>
    <x v="298"/>
    <n v="3"/>
    <x v="0"/>
    <n v="3"/>
    <n v="1"/>
    <n v="0"/>
    <s v="Low"/>
    <s v="Not Sensitive"/>
    <n v="2"/>
    <n v="8"/>
    <s v="High"/>
    <s v="Desktop"/>
    <s v="Other"/>
    <d v="2024-08-04T00:00:00"/>
    <b v="1"/>
    <b v="1"/>
    <s v="Planned"/>
    <x v="1"/>
    <n v="7"/>
  </r>
  <r>
    <x v="299"/>
    <n v="28"/>
    <s v="Female"/>
    <x v="1"/>
    <x v="2"/>
    <x v="1"/>
    <x v="1"/>
    <s v="Sarishābāri"/>
    <s v="Gardening &amp; Outdoors"/>
    <x v="299"/>
    <n v="10"/>
    <x v="0"/>
    <n v="1"/>
    <n v="3"/>
    <n v="2"/>
    <s v="High"/>
    <s v="Somewhat Sensitive"/>
    <n v="0"/>
    <n v="3"/>
    <s v="Medium"/>
    <s v="Tablet"/>
    <s v="PayPal"/>
    <d v="2024-01-02T00:00:00"/>
    <b v="1"/>
    <b v="0"/>
    <s v="Planned"/>
    <x v="0"/>
    <n v="8"/>
  </r>
  <r>
    <x v="300"/>
    <n v="44"/>
    <s v="Female"/>
    <x v="0"/>
    <x v="1"/>
    <x v="2"/>
    <x v="1"/>
    <s v="Mangge"/>
    <s v="Sports &amp; Outdoors"/>
    <x v="300"/>
    <n v="6"/>
    <x v="0"/>
    <n v="1"/>
    <n v="5"/>
    <n v="1"/>
    <s v="Medium"/>
    <s v="Not Sensitive"/>
    <n v="2"/>
    <n v="5"/>
    <s v="Medium"/>
    <s v="Desktop"/>
    <s v="Other"/>
    <d v="2024-04-09T00:00:00"/>
    <b v="1"/>
    <b v="0"/>
    <s v="Planned"/>
    <x v="2"/>
    <n v="13"/>
  </r>
  <r>
    <x v="301"/>
    <n v="45"/>
    <s v="Male"/>
    <x v="0"/>
    <x v="2"/>
    <x v="0"/>
    <x v="0"/>
    <s v="Chabařovice"/>
    <s v="Software &amp; Apps"/>
    <x v="301"/>
    <n v="2"/>
    <x v="2"/>
    <n v="2"/>
    <n v="5"/>
    <n v="1"/>
    <s v="None"/>
    <s v="Not Sensitive"/>
    <n v="2"/>
    <n v="2"/>
    <s v="High"/>
    <s v="Smartphone"/>
    <s v="Debit Card"/>
    <d v="2024-10-15T00:00:00"/>
    <b v="0"/>
    <b v="0"/>
    <s v="Planned"/>
    <x v="2"/>
    <n v="8"/>
  </r>
  <r>
    <x v="302"/>
    <n v="46"/>
    <s v="Female"/>
    <x v="1"/>
    <x v="0"/>
    <x v="2"/>
    <x v="0"/>
    <s v="Yangping"/>
    <s v="Groceries"/>
    <x v="302"/>
    <n v="7"/>
    <x v="1"/>
    <n v="5"/>
    <n v="1"/>
    <n v="1"/>
    <s v="High"/>
    <s v="Not Sensitive"/>
    <n v="1"/>
    <n v="6"/>
    <s v="Low"/>
    <s v="Tablet"/>
    <s v="Other"/>
    <d v="2024-01-23T00:00:00"/>
    <b v="0"/>
    <b v="0"/>
    <s v="Wants-based"/>
    <x v="1"/>
    <n v="3"/>
  </r>
  <r>
    <x v="303"/>
    <n v="28"/>
    <s v="Female"/>
    <x v="0"/>
    <x v="3"/>
    <x v="0"/>
    <x v="1"/>
    <s v="Berezna"/>
    <s v="Packages)"/>
    <x v="303"/>
    <n v="2"/>
    <x v="0"/>
    <n v="5"/>
    <n v="3"/>
    <n v="2"/>
    <s v="None"/>
    <s v="Somewhat Sensitive"/>
    <n v="1"/>
    <n v="3"/>
    <s v="High"/>
    <s v="Desktop"/>
    <s v="Debit Card"/>
    <d v="2024-12-01T00:00:00"/>
    <b v="0"/>
    <b v="1"/>
    <s v="Impulsive"/>
    <x v="1"/>
    <n v="13"/>
  </r>
  <r>
    <x v="304"/>
    <n v="27"/>
    <s v="Male"/>
    <x v="1"/>
    <x v="1"/>
    <x v="2"/>
    <x v="1"/>
    <s v="Vidual"/>
    <s v="Gardening &amp; Outdoors"/>
    <x v="304"/>
    <n v="7"/>
    <x v="2"/>
    <n v="1"/>
    <n v="1"/>
    <n v="2"/>
    <s v="Low"/>
    <s v="Not Sensitive"/>
    <n v="2"/>
    <n v="2"/>
    <s v="Medium"/>
    <s v="Desktop"/>
    <s v="PayPal"/>
    <d v="2024-02-19T00:00:00"/>
    <b v="1"/>
    <b v="1"/>
    <s v="Impulsive"/>
    <x v="2"/>
    <n v="11"/>
  </r>
  <r>
    <x v="305"/>
    <n v="20"/>
    <s v="Female"/>
    <x v="1"/>
    <x v="1"/>
    <x v="1"/>
    <x v="0"/>
    <s v="Paris 17"/>
    <s v="Office Supplies"/>
    <x v="305"/>
    <n v="11"/>
    <x v="2"/>
    <n v="1"/>
    <n v="1"/>
    <n v="0"/>
    <s v="High"/>
    <s v="Not Sensitive"/>
    <n v="1"/>
    <n v="2"/>
    <s v="Medium"/>
    <s v="Desktop"/>
    <s v="Debit Card"/>
    <d v="2024-08-19T00:00:00"/>
    <b v="0"/>
    <b v="1"/>
    <s v="Impulsive"/>
    <x v="2"/>
    <n v="12"/>
  </r>
  <r>
    <x v="306"/>
    <n v="40"/>
    <s v="Male"/>
    <x v="1"/>
    <x v="0"/>
    <x v="1"/>
    <x v="1"/>
    <s v="Hultsfred"/>
    <s v="Animal Feed"/>
    <x v="306"/>
    <n v="12"/>
    <x v="1"/>
    <n v="2"/>
    <n v="1"/>
    <n v="2"/>
    <s v="None"/>
    <s v="Somewhat Sensitive"/>
    <n v="2"/>
    <n v="5"/>
    <s v="None"/>
    <s v="Tablet"/>
    <s v="Debit Card"/>
    <d v="2024-11-18T00:00:00"/>
    <b v="1"/>
    <b v="0"/>
    <s v="Need-based"/>
    <x v="1"/>
    <n v="13"/>
  </r>
  <r>
    <x v="307"/>
    <n v="36"/>
    <s v="Male"/>
    <x v="0"/>
    <x v="2"/>
    <x v="2"/>
    <x v="0"/>
    <s v="Níkaia"/>
    <s v="Books"/>
    <x v="307"/>
    <n v="5"/>
    <x v="2"/>
    <n v="2"/>
    <n v="1"/>
    <n v="2"/>
    <s v="High"/>
    <s v="Very Sensitive"/>
    <n v="1"/>
    <n v="7"/>
    <s v="None"/>
    <s v="Desktop"/>
    <s v="Other"/>
    <d v="2024-06-04T00:00:00"/>
    <b v="0"/>
    <b v="0"/>
    <s v="Impulsive"/>
    <x v="0"/>
    <n v="13"/>
  </r>
  <r>
    <x v="308"/>
    <n v="43"/>
    <s v="Male"/>
    <x v="1"/>
    <x v="2"/>
    <x v="1"/>
    <x v="0"/>
    <s v="Macayug"/>
    <s v="Jewelry &amp; Accessories"/>
    <x v="308"/>
    <n v="11"/>
    <x v="1"/>
    <n v="4"/>
    <n v="3"/>
    <n v="0"/>
    <s v="None"/>
    <s v="Not Sensitive"/>
    <n v="2"/>
    <n v="5"/>
    <s v="High"/>
    <s v="Desktop"/>
    <s v="Credit Card"/>
    <d v="2024-11-20T00:00:00"/>
    <b v="0"/>
    <b v="1"/>
    <s v="Need-based"/>
    <x v="2"/>
    <n v="13"/>
  </r>
  <r>
    <x v="309"/>
    <n v="26"/>
    <s v="Female"/>
    <x v="1"/>
    <x v="1"/>
    <x v="1"/>
    <x v="0"/>
    <s v="Mahanoro"/>
    <s v="Food &amp; Beverages"/>
    <x v="309"/>
    <n v="8"/>
    <x v="2"/>
    <n v="3"/>
    <n v="5"/>
    <n v="0"/>
    <s v="Low"/>
    <s v="Somewhat Sensitive"/>
    <n v="2"/>
    <n v="7"/>
    <s v="Medium"/>
    <s v="Desktop"/>
    <s v="Debit Card"/>
    <d v="2024-04-21T00:00:00"/>
    <b v="0"/>
    <b v="0"/>
    <s v="Wants-based"/>
    <x v="0"/>
    <n v="11"/>
  </r>
  <r>
    <x v="310"/>
    <n v="29"/>
    <s v="Male"/>
    <x v="0"/>
    <x v="2"/>
    <x v="0"/>
    <x v="1"/>
    <s v="Mozdok"/>
    <s v="Beauty &amp; Personal Care"/>
    <x v="310"/>
    <n v="11"/>
    <x v="1"/>
    <n v="2"/>
    <n v="4"/>
    <n v="2"/>
    <s v="Low"/>
    <s v="Not Sensitive"/>
    <n v="1"/>
    <n v="1"/>
    <s v="High"/>
    <s v="Desktop"/>
    <s v="Other"/>
    <d v="2024-10-20T00:00:00"/>
    <b v="1"/>
    <b v="0"/>
    <s v="Impulsive"/>
    <x v="2"/>
    <n v="7"/>
  </r>
  <r>
    <x v="311"/>
    <n v="34"/>
    <s v="Female"/>
    <x v="0"/>
    <x v="2"/>
    <x v="1"/>
    <x v="1"/>
    <s v="Hoolt"/>
    <s v="Jewelry &amp; Accessories"/>
    <x v="311"/>
    <n v="2"/>
    <x v="1"/>
    <n v="5"/>
    <n v="3"/>
    <n v="2"/>
    <s v="High"/>
    <s v="Very Sensitive"/>
    <n v="2"/>
    <n v="6"/>
    <s v="None"/>
    <s v="Desktop"/>
    <s v="Other"/>
    <d v="2024-02-09T00:00:00"/>
    <b v="0"/>
    <b v="1"/>
    <s v="Need-based"/>
    <x v="1"/>
    <n v="7"/>
  </r>
  <r>
    <x v="312"/>
    <n v="40"/>
    <s v="Male"/>
    <x v="1"/>
    <x v="1"/>
    <x v="0"/>
    <x v="0"/>
    <s v="San Luis"/>
    <s v="Baby Products"/>
    <x v="312"/>
    <n v="8"/>
    <x v="0"/>
    <n v="4"/>
    <n v="5"/>
    <n v="2"/>
    <s v="None"/>
    <s v="Very Sensitive"/>
    <n v="2"/>
    <n v="2"/>
    <s v="High"/>
    <s v="Smartphone"/>
    <s v="Other"/>
    <d v="2024-12-05T00:00:00"/>
    <b v="0"/>
    <b v="0"/>
    <s v="Need-based"/>
    <x v="2"/>
    <n v="14"/>
  </r>
  <r>
    <x v="313"/>
    <n v="42"/>
    <s v="Female"/>
    <x v="1"/>
    <x v="0"/>
    <x v="0"/>
    <x v="0"/>
    <s v="Pergan"/>
    <s v="Beauty &amp; Personal Care"/>
    <x v="313"/>
    <n v="4"/>
    <x v="0"/>
    <n v="2"/>
    <n v="5"/>
    <n v="1"/>
    <s v="Low"/>
    <s v="Not Sensitive"/>
    <n v="1"/>
    <n v="7"/>
    <s v="None"/>
    <s v="Desktop"/>
    <s v="Cash"/>
    <d v="2024-06-28T00:00:00"/>
    <b v="0"/>
    <b v="0"/>
    <s v="Planned"/>
    <x v="0"/>
    <n v="7"/>
  </r>
  <r>
    <x v="314"/>
    <n v="28"/>
    <s v="Male"/>
    <x v="1"/>
    <x v="0"/>
    <x v="0"/>
    <x v="1"/>
    <s v="Kanoni"/>
    <s v="Mobile Accessories"/>
    <x v="314"/>
    <n v="4"/>
    <x v="1"/>
    <n v="3"/>
    <n v="4"/>
    <n v="1"/>
    <s v="Low"/>
    <s v="Not Sensitive"/>
    <n v="1"/>
    <n v="8"/>
    <s v="High"/>
    <s v="Desktop"/>
    <s v="Debit Card"/>
    <d v="2024-08-06T00:00:00"/>
    <b v="0"/>
    <b v="0"/>
    <s v="Impulsive"/>
    <x v="0"/>
    <n v="2"/>
  </r>
  <r>
    <x v="315"/>
    <n v="49"/>
    <s v="Male"/>
    <x v="1"/>
    <x v="1"/>
    <x v="0"/>
    <x v="1"/>
    <s v="Gromadka"/>
    <s v="Toys &amp; Games"/>
    <x v="315"/>
    <n v="7"/>
    <x v="1"/>
    <n v="3"/>
    <n v="3"/>
    <n v="2"/>
    <s v="Low"/>
    <s v="Not Sensitive"/>
    <n v="1"/>
    <n v="6"/>
    <s v="Medium"/>
    <s v="Desktop"/>
    <s v="Debit Card"/>
    <d v="2024-11-22T00:00:00"/>
    <b v="0"/>
    <b v="0"/>
    <s v="Wants-based"/>
    <x v="0"/>
    <n v="13"/>
  </r>
  <r>
    <x v="316"/>
    <n v="46"/>
    <s v="Female"/>
    <x v="1"/>
    <x v="1"/>
    <x v="2"/>
    <x v="0"/>
    <s v="Payapa"/>
    <s v="Electronics"/>
    <x v="316"/>
    <n v="9"/>
    <x v="2"/>
    <n v="5"/>
    <n v="2"/>
    <n v="1"/>
    <s v="Medium"/>
    <s v="Somewhat Sensitive"/>
    <n v="2"/>
    <n v="1"/>
    <s v="Low"/>
    <s v="Smartphone"/>
    <s v="Credit Card"/>
    <d v="2024-08-04T00:00:00"/>
    <b v="0"/>
    <b v="0"/>
    <s v="Impulsive"/>
    <x v="0"/>
    <n v="4"/>
  </r>
  <r>
    <x v="317"/>
    <n v="44"/>
    <s v="Female"/>
    <x v="1"/>
    <x v="3"/>
    <x v="2"/>
    <x v="1"/>
    <s v="Rat Burana"/>
    <s v="Electronics"/>
    <x v="317"/>
    <n v="2"/>
    <x v="2"/>
    <n v="1"/>
    <n v="4"/>
    <n v="2"/>
    <s v="None"/>
    <s v="Not Sensitive"/>
    <n v="0"/>
    <n v="6"/>
    <s v="Medium"/>
    <s v="Smartphone"/>
    <s v="Cash"/>
    <d v="2024-01-12T00:00:00"/>
    <b v="0"/>
    <b v="1"/>
    <s v="Planned"/>
    <x v="0"/>
    <n v="12"/>
  </r>
  <r>
    <x v="318"/>
    <n v="29"/>
    <s v="Male"/>
    <x v="1"/>
    <x v="0"/>
    <x v="1"/>
    <x v="0"/>
    <s v="Trhové Sviny"/>
    <s v="Clothing"/>
    <x v="318"/>
    <n v="7"/>
    <x v="1"/>
    <n v="4"/>
    <n v="5"/>
    <n v="0"/>
    <s v="Low"/>
    <s v="Not Sensitive"/>
    <n v="0"/>
    <n v="7"/>
    <s v="None"/>
    <s v="Desktop"/>
    <s v="Credit Card"/>
    <d v="2024-11-19T00:00:00"/>
    <b v="0"/>
    <b v="1"/>
    <s v="Planned"/>
    <x v="2"/>
    <n v="1"/>
  </r>
  <r>
    <x v="319"/>
    <n v="47"/>
    <s v="Male"/>
    <x v="0"/>
    <x v="3"/>
    <x v="0"/>
    <x v="1"/>
    <s v="Kiev"/>
    <s v="Software &amp; Apps"/>
    <x v="319"/>
    <n v="6"/>
    <x v="0"/>
    <n v="2"/>
    <n v="2"/>
    <n v="1"/>
    <s v="Medium"/>
    <s v="Very Sensitive"/>
    <n v="1"/>
    <n v="6"/>
    <s v="High"/>
    <s v="Smartphone"/>
    <s v="PayPal"/>
    <d v="2024-09-04T00:00:00"/>
    <b v="0"/>
    <b v="0"/>
    <s v="Wants-based"/>
    <x v="1"/>
    <n v="7"/>
  </r>
  <r>
    <x v="320"/>
    <n v="37"/>
    <s v="Female"/>
    <x v="0"/>
    <x v="0"/>
    <x v="0"/>
    <x v="0"/>
    <s v="Créteil"/>
    <s v="Toys &amp; Games"/>
    <x v="320"/>
    <n v="9"/>
    <x v="0"/>
    <n v="5"/>
    <n v="2"/>
    <n v="0"/>
    <s v="None"/>
    <s v="Very Sensitive"/>
    <n v="2"/>
    <n v="3"/>
    <s v="None"/>
    <s v="Desktop"/>
    <s v="Cash"/>
    <d v="2024-08-03T00:00:00"/>
    <b v="0"/>
    <b v="0"/>
    <s v="Planned"/>
    <x v="0"/>
    <n v="14"/>
  </r>
  <r>
    <x v="321"/>
    <n v="47"/>
    <s v="Male"/>
    <x v="1"/>
    <x v="2"/>
    <x v="1"/>
    <x v="0"/>
    <s v="Lomintsevskiy"/>
    <s v="Arts &amp; Crafts"/>
    <x v="321"/>
    <n v="5"/>
    <x v="1"/>
    <n v="5"/>
    <n v="1"/>
    <n v="2"/>
    <s v="Low"/>
    <s v="Somewhat Sensitive"/>
    <n v="1"/>
    <n v="10"/>
    <s v="High"/>
    <s v="Smartphone"/>
    <s v="Other"/>
    <d v="2024-04-08T00:00:00"/>
    <b v="0"/>
    <b v="0"/>
    <s v="Impulsive"/>
    <x v="0"/>
    <n v="5"/>
  </r>
  <r>
    <x v="322"/>
    <n v="24"/>
    <s v="Male"/>
    <x v="1"/>
    <x v="0"/>
    <x v="0"/>
    <x v="1"/>
    <s v="Monchegorsk"/>
    <s v="Sports &amp; Outdoors"/>
    <x v="322"/>
    <n v="3"/>
    <x v="2"/>
    <n v="2"/>
    <n v="3"/>
    <n v="1"/>
    <s v="Low"/>
    <s v="Somewhat Sensitive"/>
    <n v="1"/>
    <n v="6"/>
    <s v="Medium"/>
    <s v="Smartphone"/>
    <s v="Debit Card"/>
    <d v="2024-04-21T00:00:00"/>
    <b v="0"/>
    <b v="0"/>
    <s v="Wants-based"/>
    <x v="2"/>
    <n v="6"/>
  </r>
  <r>
    <x v="323"/>
    <n v="36"/>
    <s v="Male"/>
    <x v="1"/>
    <x v="2"/>
    <x v="2"/>
    <x v="1"/>
    <s v="Olavarría"/>
    <s v="Health Care"/>
    <x v="323"/>
    <n v="7"/>
    <x v="1"/>
    <n v="3"/>
    <n v="5"/>
    <n v="1"/>
    <s v="Low"/>
    <s v="Somewhat Sensitive"/>
    <n v="2"/>
    <n v="8"/>
    <s v="None"/>
    <s v="Tablet"/>
    <s v="Other"/>
    <d v="2024-06-17T00:00:00"/>
    <b v="1"/>
    <b v="0"/>
    <s v="Wants-based"/>
    <x v="1"/>
    <n v="12"/>
  </r>
  <r>
    <x v="324"/>
    <n v="36"/>
    <s v="Female"/>
    <x v="1"/>
    <x v="1"/>
    <x v="0"/>
    <x v="1"/>
    <s v="Jianshan"/>
    <s v="Hotels"/>
    <x v="324"/>
    <n v="7"/>
    <x v="1"/>
    <n v="2"/>
    <n v="2"/>
    <n v="0"/>
    <s v="Medium"/>
    <s v="Very Sensitive"/>
    <n v="1"/>
    <n v="6"/>
    <s v="Medium"/>
    <s v="Tablet"/>
    <s v="Other"/>
    <d v="2024-03-19T00:00:00"/>
    <b v="1"/>
    <b v="0"/>
    <s v="Need-based"/>
    <x v="1"/>
    <n v="8"/>
  </r>
  <r>
    <x v="325"/>
    <n v="49"/>
    <s v="Male"/>
    <x v="0"/>
    <x v="3"/>
    <x v="0"/>
    <x v="0"/>
    <s v="Shreveport"/>
    <s v="Toys &amp; Games"/>
    <x v="325"/>
    <n v="11"/>
    <x v="1"/>
    <n v="2"/>
    <n v="2"/>
    <n v="0"/>
    <s v="High"/>
    <s v="Very Sensitive"/>
    <n v="1"/>
    <n v="10"/>
    <s v="None"/>
    <s v="Tablet"/>
    <s v="Other"/>
    <d v="2024-08-13T00:00:00"/>
    <b v="1"/>
    <b v="1"/>
    <s v="Need-based"/>
    <x v="1"/>
    <n v="3"/>
  </r>
  <r>
    <x v="326"/>
    <n v="19"/>
    <s v="Genderfluid"/>
    <x v="1"/>
    <x v="1"/>
    <x v="1"/>
    <x v="1"/>
    <s v="Pingzhuang"/>
    <s v="Office Supplies"/>
    <x v="326"/>
    <n v="6"/>
    <x v="0"/>
    <n v="5"/>
    <n v="2"/>
    <n v="1"/>
    <s v="Medium"/>
    <s v="Not Sensitive"/>
    <n v="0"/>
    <n v="8"/>
    <s v="High"/>
    <s v="Desktop"/>
    <s v="Debit Card"/>
    <d v="2024-05-29T00:00:00"/>
    <b v="0"/>
    <b v="1"/>
    <s v="Planned"/>
    <x v="2"/>
    <n v="2"/>
  </r>
  <r>
    <x v="327"/>
    <n v="27"/>
    <s v="Female"/>
    <x v="1"/>
    <x v="1"/>
    <x v="0"/>
    <x v="1"/>
    <s v="Celso Ramos"/>
    <s v="Software &amp; Apps"/>
    <x v="327"/>
    <n v="3"/>
    <x v="1"/>
    <n v="4"/>
    <n v="2"/>
    <n v="0"/>
    <s v="Medium"/>
    <s v="Somewhat Sensitive"/>
    <n v="2"/>
    <n v="7"/>
    <s v="None"/>
    <s v="Desktop"/>
    <s v="Other"/>
    <d v="2024-12-03T00:00:00"/>
    <b v="0"/>
    <b v="0"/>
    <s v="Need-based"/>
    <x v="0"/>
    <n v="13"/>
  </r>
  <r>
    <x v="328"/>
    <n v="36"/>
    <s v="Female"/>
    <x v="0"/>
    <x v="1"/>
    <x v="2"/>
    <x v="0"/>
    <s v="Merlo"/>
    <s v="Health Supplements"/>
    <x v="93"/>
    <n v="5"/>
    <x v="0"/>
    <n v="1"/>
    <n v="1"/>
    <n v="2"/>
    <s v="None"/>
    <s v="Somewhat Sensitive"/>
    <n v="2"/>
    <n v="10"/>
    <s v="High"/>
    <s v="Smartphone"/>
    <s v="Credit Card"/>
    <d v="2024-09-19T00:00:00"/>
    <b v="1"/>
    <b v="1"/>
    <s v="Impulsive"/>
    <x v="2"/>
    <n v="11"/>
  </r>
  <r>
    <x v="329"/>
    <n v="37"/>
    <s v="Male"/>
    <x v="1"/>
    <x v="0"/>
    <x v="2"/>
    <x v="0"/>
    <s v="Ziniaré"/>
    <s v="Packages)"/>
    <x v="328"/>
    <n v="5"/>
    <x v="0"/>
    <n v="4"/>
    <n v="4"/>
    <n v="1"/>
    <s v="Low"/>
    <s v="Somewhat Sensitive"/>
    <n v="0"/>
    <n v="1"/>
    <s v="High"/>
    <s v="Desktop"/>
    <s v="PayPal"/>
    <d v="2024-03-22T00:00:00"/>
    <b v="1"/>
    <b v="0"/>
    <s v="Planned"/>
    <x v="1"/>
    <n v="6"/>
  </r>
  <r>
    <x v="330"/>
    <n v="45"/>
    <s v="Female"/>
    <x v="0"/>
    <x v="1"/>
    <x v="2"/>
    <x v="1"/>
    <s v="Zduńska Wola"/>
    <s v="Office Supplies"/>
    <x v="329"/>
    <n v="3"/>
    <x v="1"/>
    <n v="3"/>
    <n v="5"/>
    <n v="0"/>
    <s v="High"/>
    <s v="Somewhat Sensitive"/>
    <n v="0"/>
    <n v="7"/>
    <s v="Medium"/>
    <s v="Desktop"/>
    <s v="Credit Card"/>
    <d v="2024-02-22T00:00:00"/>
    <b v="0"/>
    <b v="1"/>
    <s v="Need-based"/>
    <x v="1"/>
    <n v="3"/>
  </r>
  <r>
    <x v="331"/>
    <n v="47"/>
    <s v="Female"/>
    <x v="0"/>
    <x v="0"/>
    <x v="2"/>
    <x v="0"/>
    <s v="Mount Ayliff"/>
    <s v="Animal Feed"/>
    <x v="330"/>
    <n v="7"/>
    <x v="1"/>
    <n v="2"/>
    <n v="5"/>
    <n v="0"/>
    <s v="Low"/>
    <s v="Very Sensitive"/>
    <n v="0"/>
    <n v="1"/>
    <s v="High"/>
    <s v="Desktop"/>
    <s v="Cash"/>
    <d v="2024-12-25T00:00:00"/>
    <b v="0"/>
    <b v="1"/>
    <s v="Need-based"/>
    <x v="2"/>
    <n v="4"/>
  </r>
  <r>
    <x v="332"/>
    <n v="32"/>
    <s v="Male"/>
    <x v="0"/>
    <x v="1"/>
    <x v="1"/>
    <x v="0"/>
    <s v="Pīrgaaj"/>
    <s v="Hotels"/>
    <x v="331"/>
    <n v="3"/>
    <x v="2"/>
    <n v="1"/>
    <n v="4"/>
    <n v="1"/>
    <s v="Medium"/>
    <s v="Not Sensitive"/>
    <n v="2"/>
    <n v="1"/>
    <s v="Medium"/>
    <s v="Desktop"/>
    <s v="Other"/>
    <d v="2024-08-27T00:00:00"/>
    <b v="0"/>
    <b v="0"/>
    <s v="Impulsive"/>
    <x v="1"/>
    <n v="9"/>
  </r>
  <r>
    <x v="333"/>
    <n v="48"/>
    <s v="Male"/>
    <x v="0"/>
    <x v="0"/>
    <x v="0"/>
    <x v="0"/>
    <s v="Zbraslavice"/>
    <s v="Home Appliances"/>
    <x v="332"/>
    <n v="8"/>
    <x v="0"/>
    <n v="5"/>
    <n v="3"/>
    <n v="0"/>
    <s v="High"/>
    <s v="Somewhat Sensitive"/>
    <n v="1"/>
    <n v="9"/>
    <s v="High"/>
    <s v="Tablet"/>
    <s v="Cash"/>
    <d v="2024-01-28T00:00:00"/>
    <b v="0"/>
    <b v="0"/>
    <s v="Wants-based"/>
    <x v="1"/>
    <n v="5"/>
  </r>
  <r>
    <x v="334"/>
    <n v="20"/>
    <s v="Genderfluid"/>
    <x v="1"/>
    <x v="1"/>
    <x v="2"/>
    <x v="0"/>
    <s v="Xilu"/>
    <s v="Toys &amp; Games"/>
    <x v="333"/>
    <n v="11"/>
    <x v="2"/>
    <n v="1"/>
    <n v="3"/>
    <n v="0"/>
    <s v="Low"/>
    <s v="Somewhat Sensitive"/>
    <n v="1"/>
    <n v="5"/>
    <s v="High"/>
    <s v="Tablet"/>
    <s v="PayPal"/>
    <d v="2024-11-16T00:00:00"/>
    <b v="0"/>
    <b v="0"/>
    <s v="Wants-based"/>
    <x v="1"/>
    <n v="8"/>
  </r>
  <r>
    <x v="335"/>
    <n v="32"/>
    <s v="Male"/>
    <x v="0"/>
    <x v="3"/>
    <x v="1"/>
    <x v="1"/>
    <s v="Bamut"/>
    <s v="Health Supplements"/>
    <x v="334"/>
    <n v="11"/>
    <x v="1"/>
    <n v="2"/>
    <n v="1"/>
    <n v="1"/>
    <s v="High"/>
    <s v="Not Sensitive"/>
    <n v="1"/>
    <n v="8"/>
    <s v="High"/>
    <s v="Smartphone"/>
    <s v="Cash"/>
    <d v="2024-12-08T00:00:00"/>
    <b v="1"/>
    <b v="1"/>
    <s v="Planned"/>
    <x v="2"/>
    <n v="13"/>
  </r>
  <r>
    <x v="336"/>
    <n v="25"/>
    <s v="Male"/>
    <x v="1"/>
    <x v="2"/>
    <x v="1"/>
    <x v="1"/>
    <s v="La Tour-du-Pin"/>
    <s v="Groceries"/>
    <x v="335"/>
    <n v="11"/>
    <x v="1"/>
    <n v="5"/>
    <n v="2"/>
    <n v="2"/>
    <s v="Low"/>
    <s v="Very Sensitive"/>
    <n v="1"/>
    <n v="1"/>
    <s v="None"/>
    <s v="Tablet"/>
    <s v="Credit Card"/>
    <d v="2024-05-15T00:00:00"/>
    <b v="0"/>
    <b v="1"/>
    <s v="Impulsive"/>
    <x v="2"/>
    <n v="4"/>
  </r>
  <r>
    <x v="337"/>
    <n v="42"/>
    <s v="Male"/>
    <x v="0"/>
    <x v="3"/>
    <x v="0"/>
    <x v="0"/>
    <s v="Pader Palwo"/>
    <s v="Packages)"/>
    <x v="336"/>
    <n v="4"/>
    <x v="0"/>
    <n v="3"/>
    <n v="5"/>
    <n v="1"/>
    <s v="None"/>
    <s v="Not Sensitive"/>
    <n v="0"/>
    <n v="1"/>
    <s v="None"/>
    <s v="Smartphone"/>
    <s v="Cash"/>
    <d v="2024-08-03T00:00:00"/>
    <b v="0"/>
    <b v="1"/>
    <s v="Wants-based"/>
    <x v="2"/>
    <n v="6"/>
  </r>
  <r>
    <x v="338"/>
    <n v="37"/>
    <s v="Female"/>
    <x v="1"/>
    <x v="1"/>
    <x v="0"/>
    <x v="1"/>
    <s v="Maurisu"/>
    <s v="Jewelry &amp; Accessories"/>
    <x v="337"/>
    <n v="5"/>
    <x v="0"/>
    <n v="1"/>
    <n v="1"/>
    <n v="2"/>
    <s v="Medium"/>
    <s v="Not Sensitive"/>
    <n v="1"/>
    <n v="4"/>
    <s v="Low"/>
    <s v="Smartphone"/>
    <s v="Debit Card"/>
    <d v="2024-10-07T00:00:00"/>
    <b v="0"/>
    <b v="1"/>
    <s v="Wants-based"/>
    <x v="1"/>
    <n v="3"/>
  </r>
  <r>
    <x v="339"/>
    <n v="21"/>
    <s v="Genderfluid"/>
    <x v="0"/>
    <x v="2"/>
    <x v="2"/>
    <x v="0"/>
    <s v="Gorzyce"/>
    <s v="Packages)"/>
    <x v="338"/>
    <n v="10"/>
    <x v="1"/>
    <n v="4"/>
    <n v="3"/>
    <n v="0"/>
    <s v="Medium"/>
    <s v="Very Sensitive"/>
    <n v="0"/>
    <n v="10"/>
    <s v="High"/>
    <s v="Tablet"/>
    <s v="Cash"/>
    <d v="2024-06-25T00:00:00"/>
    <b v="1"/>
    <b v="0"/>
    <s v="Planned"/>
    <x v="0"/>
    <n v="2"/>
  </r>
  <r>
    <x v="340"/>
    <n v="43"/>
    <s v="Female"/>
    <x v="1"/>
    <x v="2"/>
    <x v="0"/>
    <x v="1"/>
    <s v="Qingyun"/>
    <s v="Food &amp; Beverages"/>
    <x v="339"/>
    <n v="9"/>
    <x v="1"/>
    <n v="5"/>
    <n v="5"/>
    <n v="0"/>
    <s v="Medium"/>
    <s v="Somewhat Sensitive"/>
    <n v="1"/>
    <n v="2"/>
    <s v="Medium"/>
    <s v="Desktop"/>
    <s v="PayPal"/>
    <d v="2024-04-04T00:00:00"/>
    <b v="1"/>
    <b v="0"/>
    <s v="Wants-based"/>
    <x v="0"/>
    <n v="14"/>
  </r>
  <r>
    <x v="341"/>
    <n v="29"/>
    <s v="Female"/>
    <x v="1"/>
    <x v="3"/>
    <x v="0"/>
    <x v="0"/>
    <s v="Jiuxian"/>
    <s v="Packages)"/>
    <x v="340"/>
    <n v="6"/>
    <x v="1"/>
    <n v="5"/>
    <n v="3"/>
    <n v="2"/>
    <s v="Medium"/>
    <s v="Very Sensitive"/>
    <n v="2"/>
    <n v="7"/>
    <s v="None"/>
    <s v="Desktop"/>
    <s v="Other"/>
    <d v="2024-02-29T00:00:00"/>
    <b v="0"/>
    <b v="1"/>
    <s v="Wants-based"/>
    <x v="1"/>
    <n v="3"/>
  </r>
  <r>
    <x v="342"/>
    <n v="28"/>
    <s v="Male"/>
    <x v="0"/>
    <x v="3"/>
    <x v="2"/>
    <x v="0"/>
    <s v="Ndungu"/>
    <s v="Electronics"/>
    <x v="341"/>
    <n v="7"/>
    <x v="2"/>
    <n v="5"/>
    <n v="5"/>
    <n v="2"/>
    <s v="Medium"/>
    <s v="Somewhat Sensitive"/>
    <n v="1"/>
    <n v="8"/>
    <s v="Medium"/>
    <s v="Smartphone"/>
    <s v="Other"/>
    <d v="2024-04-09T00:00:00"/>
    <b v="0"/>
    <b v="1"/>
    <s v="Impulsive"/>
    <x v="0"/>
    <n v="7"/>
  </r>
  <r>
    <x v="343"/>
    <n v="43"/>
    <s v="Male"/>
    <x v="0"/>
    <x v="2"/>
    <x v="2"/>
    <x v="1"/>
    <s v="Emiliano Zapata"/>
    <s v="Furniture"/>
    <x v="342"/>
    <n v="11"/>
    <x v="2"/>
    <n v="3"/>
    <n v="1"/>
    <n v="1"/>
    <s v="Low"/>
    <s v="Very Sensitive"/>
    <n v="0"/>
    <n v="10"/>
    <s v="Medium"/>
    <s v="Tablet"/>
    <s v="Credit Card"/>
    <d v="2024-04-18T00:00:00"/>
    <b v="1"/>
    <b v="1"/>
    <s v="Planned"/>
    <x v="0"/>
    <n v="6"/>
  </r>
  <r>
    <x v="344"/>
    <n v="48"/>
    <s v="Female"/>
    <x v="1"/>
    <x v="3"/>
    <x v="1"/>
    <x v="0"/>
    <s v="Spasskoye"/>
    <s v="Baby Products"/>
    <x v="343"/>
    <n v="10"/>
    <x v="1"/>
    <n v="1"/>
    <n v="5"/>
    <n v="2"/>
    <s v="High"/>
    <s v="Very Sensitive"/>
    <n v="1"/>
    <n v="5"/>
    <s v="None"/>
    <s v="Desktop"/>
    <s v="Other"/>
    <d v="2024-02-02T00:00:00"/>
    <b v="1"/>
    <b v="0"/>
    <s v="Impulsive"/>
    <x v="1"/>
    <n v="4"/>
  </r>
  <r>
    <x v="345"/>
    <n v="26"/>
    <s v="Female"/>
    <x v="0"/>
    <x v="0"/>
    <x v="1"/>
    <x v="1"/>
    <s v="Gierłoż"/>
    <s v="Travel &amp; Leisure (Flights"/>
    <x v="344"/>
    <n v="5"/>
    <x v="0"/>
    <n v="5"/>
    <n v="4"/>
    <n v="0"/>
    <s v="None"/>
    <s v="Very Sensitive"/>
    <n v="0"/>
    <n v="9"/>
    <s v="None"/>
    <s v="Tablet"/>
    <s v="Debit Card"/>
    <d v="2024-04-22T00:00:00"/>
    <b v="1"/>
    <b v="1"/>
    <s v="Planned"/>
    <x v="2"/>
    <n v="13"/>
  </r>
  <r>
    <x v="346"/>
    <n v="42"/>
    <s v="Male"/>
    <x v="0"/>
    <x v="0"/>
    <x v="2"/>
    <x v="1"/>
    <s v="Sobue"/>
    <s v="Software &amp; Apps"/>
    <x v="345"/>
    <n v="2"/>
    <x v="2"/>
    <n v="4"/>
    <n v="5"/>
    <n v="2"/>
    <s v="Low"/>
    <s v="Not Sensitive"/>
    <n v="0"/>
    <n v="2"/>
    <s v="Low"/>
    <s v="Smartphone"/>
    <s v="Other"/>
    <d v="2024-07-14T00:00:00"/>
    <b v="1"/>
    <b v="1"/>
    <s v="Wants-based"/>
    <x v="0"/>
    <n v="8"/>
  </r>
  <r>
    <x v="347"/>
    <n v="27"/>
    <s v="Male"/>
    <x v="0"/>
    <x v="3"/>
    <x v="0"/>
    <x v="0"/>
    <s v="High Point"/>
    <s v="Groceries"/>
    <x v="346"/>
    <n v="3"/>
    <x v="0"/>
    <n v="1"/>
    <n v="2"/>
    <n v="1"/>
    <s v="High"/>
    <s v="Somewhat Sensitive"/>
    <n v="0"/>
    <n v="10"/>
    <s v="Medium"/>
    <s v="Smartphone"/>
    <s v="PayPal"/>
    <d v="2024-09-10T00:00:00"/>
    <b v="1"/>
    <b v="0"/>
    <s v="Wants-based"/>
    <x v="0"/>
    <n v="13"/>
  </r>
  <r>
    <x v="348"/>
    <n v="40"/>
    <s v="Female"/>
    <x v="0"/>
    <x v="0"/>
    <x v="2"/>
    <x v="0"/>
    <s v="Qiankeng"/>
    <s v="Clothing"/>
    <x v="347"/>
    <n v="4"/>
    <x v="0"/>
    <n v="4"/>
    <n v="3"/>
    <n v="2"/>
    <s v="Low"/>
    <s v="Very Sensitive"/>
    <n v="2"/>
    <n v="10"/>
    <s v="High"/>
    <s v="Desktop"/>
    <s v="Cash"/>
    <d v="2024-07-29T00:00:00"/>
    <b v="0"/>
    <b v="1"/>
    <s v="Planned"/>
    <x v="0"/>
    <n v="8"/>
  </r>
  <r>
    <x v="349"/>
    <n v="23"/>
    <s v="Male"/>
    <x v="0"/>
    <x v="2"/>
    <x v="1"/>
    <x v="1"/>
    <s v="Pandean"/>
    <s v="Sports &amp; Outdoors"/>
    <x v="348"/>
    <n v="10"/>
    <x v="0"/>
    <n v="2"/>
    <n v="1"/>
    <n v="0"/>
    <s v="High"/>
    <s v="Not Sensitive"/>
    <n v="0"/>
    <n v="8"/>
    <s v="None"/>
    <s v="Tablet"/>
    <s v="PayPal"/>
    <d v="2024-10-15T00:00:00"/>
    <b v="1"/>
    <b v="1"/>
    <s v="Impulsive"/>
    <x v="1"/>
    <n v="1"/>
  </r>
  <r>
    <x v="350"/>
    <n v="46"/>
    <s v="Male"/>
    <x v="1"/>
    <x v="0"/>
    <x v="1"/>
    <x v="1"/>
    <s v="Phong Điền"/>
    <s v="Office Supplies"/>
    <x v="349"/>
    <n v="11"/>
    <x v="0"/>
    <n v="4"/>
    <n v="2"/>
    <n v="2"/>
    <s v="Low"/>
    <s v="Not Sensitive"/>
    <n v="1"/>
    <n v="8"/>
    <s v="Medium"/>
    <s v="Desktop"/>
    <s v="PayPal"/>
    <d v="2024-07-01T00:00:00"/>
    <b v="0"/>
    <b v="1"/>
    <s v="Wants-based"/>
    <x v="2"/>
    <n v="13"/>
  </r>
  <r>
    <x v="351"/>
    <n v="38"/>
    <s v="Female"/>
    <x v="0"/>
    <x v="3"/>
    <x v="0"/>
    <x v="1"/>
    <s v="Mirów"/>
    <s v="Electronics"/>
    <x v="350"/>
    <n v="4"/>
    <x v="1"/>
    <n v="5"/>
    <n v="4"/>
    <n v="0"/>
    <s v="Low"/>
    <s v="Not Sensitive"/>
    <n v="2"/>
    <n v="9"/>
    <s v="Low"/>
    <s v="Tablet"/>
    <s v="Credit Card"/>
    <d v="2024-05-04T00:00:00"/>
    <b v="1"/>
    <b v="1"/>
    <s v="Wants-based"/>
    <x v="0"/>
    <n v="2"/>
  </r>
  <r>
    <x v="352"/>
    <n v="23"/>
    <s v="Male"/>
    <x v="0"/>
    <x v="0"/>
    <x v="2"/>
    <x v="1"/>
    <s v="Franceville"/>
    <s v="Home Appliances"/>
    <x v="351"/>
    <n v="8"/>
    <x v="2"/>
    <n v="2"/>
    <n v="2"/>
    <n v="2"/>
    <s v="None"/>
    <s v="Very Sensitive"/>
    <n v="2"/>
    <n v="8"/>
    <s v="None"/>
    <s v="Tablet"/>
    <s v="Cash"/>
    <d v="2024-03-02T00:00:00"/>
    <b v="0"/>
    <b v="0"/>
    <s v="Need-based"/>
    <x v="1"/>
    <n v="1"/>
  </r>
  <r>
    <x v="353"/>
    <n v="40"/>
    <s v="Female"/>
    <x v="0"/>
    <x v="0"/>
    <x v="1"/>
    <x v="1"/>
    <s v="Bordeaux"/>
    <s v="Travel &amp; Leisure (Flights"/>
    <x v="352"/>
    <n v="8"/>
    <x v="1"/>
    <n v="1"/>
    <n v="5"/>
    <n v="2"/>
    <s v="Low"/>
    <s v="Not Sensitive"/>
    <n v="1"/>
    <n v="6"/>
    <s v="High"/>
    <s v="Smartphone"/>
    <s v="PayPal"/>
    <d v="2024-04-17T00:00:00"/>
    <b v="1"/>
    <b v="0"/>
    <s v="Planned"/>
    <x v="1"/>
    <n v="12"/>
  </r>
  <r>
    <x v="354"/>
    <n v="34"/>
    <s v="Male"/>
    <x v="1"/>
    <x v="0"/>
    <x v="2"/>
    <x v="1"/>
    <s v="Zamora"/>
    <s v="Electronics"/>
    <x v="353"/>
    <n v="4"/>
    <x v="0"/>
    <n v="3"/>
    <n v="5"/>
    <n v="1"/>
    <s v="High"/>
    <s v="Somewhat Sensitive"/>
    <n v="0"/>
    <n v="8"/>
    <s v="High"/>
    <s v="Desktop"/>
    <s v="Credit Card"/>
    <d v="2024-08-30T00:00:00"/>
    <b v="1"/>
    <b v="1"/>
    <s v="Planned"/>
    <x v="0"/>
    <n v="4"/>
  </r>
  <r>
    <x v="355"/>
    <n v="44"/>
    <s v="Female"/>
    <x v="0"/>
    <x v="2"/>
    <x v="0"/>
    <x v="1"/>
    <s v="Jubaoshan"/>
    <s v="Groceries"/>
    <x v="354"/>
    <n v="6"/>
    <x v="2"/>
    <n v="4"/>
    <n v="1"/>
    <n v="0"/>
    <s v="Medium"/>
    <s v="Very Sensitive"/>
    <n v="0"/>
    <n v="10"/>
    <s v="Low"/>
    <s v="Tablet"/>
    <s v="Cash"/>
    <d v="2024-04-23T00:00:00"/>
    <b v="1"/>
    <b v="1"/>
    <s v="Impulsive"/>
    <x v="1"/>
    <n v="1"/>
  </r>
  <r>
    <x v="356"/>
    <n v="32"/>
    <s v="Female"/>
    <x v="1"/>
    <x v="0"/>
    <x v="2"/>
    <x v="0"/>
    <s v="Shādegān"/>
    <s v="Sports &amp; Outdoors"/>
    <x v="355"/>
    <n v="5"/>
    <x v="0"/>
    <n v="3"/>
    <n v="3"/>
    <n v="2"/>
    <s v="None"/>
    <s v="Not Sensitive"/>
    <n v="2"/>
    <n v="4"/>
    <s v="Medium"/>
    <s v="Tablet"/>
    <s v="Cash"/>
    <d v="2024-11-25T00:00:00"/>
    <b v="1"/>
    <b v="1"/>
    <s v="Impulsive"/>
    <x v="1"/>
    <n v="4"/>
  </r>
  <r>
    <x v="357"/>
    <n v="42"/>
    <s v="Female"/>
    <x v="0"/>
    <x v="1"/>
    <x v="2"/>
    <x v="0"/>
    <s v="Gueltat Zemmour"/>
    <s v="Toys &amp; Games"/>
    <x v="356"/>
    <n v="8"/>
    <x v="1"/>
    <n v="1"/>
    <n v="4"/>
    <n v="2"/>
    <s v="Medium"/>
    <s v="Somewhat Sensitive"/>
    <n v="1"/>
    <n v="2"/>
    <s v="High"/>
    <s v="Smartphone"/>
    <s v="Other"/>
    <d v="2024-12-11T00:00:00"/>
    <b v="0"/>
    <b v="1"/>
    <s v="Impulsive"/>
    <x v="2"/>
    <n v="4"/>
  </r>
  <r>
    <x v="358"/>
    <n v="22"/>
    <s v="Female"/>
    <x v="1"/>
    <x v="3"/>
    <x v="2"/>
    <x v="0"/>
    <s v="Mosal’sk"/>
    <s v="Home Appliances"/>
    <x v="357"/>
    <n v="9"/>
    <x v="2"/>
    <n v="5"/>
    <n v="4"/>
    <n v="1"/>
    <s v="None"/>
    <s v="Not Sensitive"/>
    <n v="0"/>
    <n v="6"/>
    <s v="None"/>
    <s v="Smartphone"/>
    <s v="Credit Card"/>
    <d v="2024-05-25T00:00:00"/>
    <b v="0"/>
    <b v="1"/>
    <s v="Planned"/>
    <x v="0"/>
    <n v="6"/>
  </r>
  <r>
    <x v="359"/>
    <n v="44"/>
    <s v="Female"/>
    <x v="0"/>
    <x v="0"/>
    <x v="1"/>
    <x v="0"/>
    <s v="Kokstad"/>
    <s v="Packages)"/>
    <x v="358"/>
    <n v="7"/>
    <x v="1"/>
    <n v="2"/>
    <n v="3"/>
    <n v="1"/>
    <s v="Medium"/>
    <s v="Somewhat Sensitive"/>
    <n v="2"/>
    <n v="7"/>
    <s v="Medium"/>
    <s v="Desktop"/>
    <s v="Other"/>
    <d v="2024-07-25T00:00:00"/>
    <b v="1"/>
    <b v="1"/>
    <s v="Need-based"/>
    <x v="0"/>
    <n v="5"/>
  </r>
  <r>
    <x v="360"/>
    <n v="29"/>
    <s v="Male"/>
    <x v="0"/>
    <x v="0"/>
    <x v="0"/>
    <x v="0"/>
    <s v="Malasin"/>
    <s v="Gardening &amp; Outdoors"/>
    <x v="359"/>
    <n v="2"/>
    <x v="2"/>
    <n v="3"/>
    <n v="5"/>
    <n v="2"/>
    <s v="Medium"/>
    <s v="Very Sensitive"/>
    <n v="1"/>
    <n v="9"/>
    <s v="Medium"/>
    <s v="Smartphone"/>
    <s v="PayPal"/>
    <d v="2024-05-08T00:00:00"/>
    <b v="1"/>
    <b v="1"/>
    <s v="Wants-based"/>
    <x v="2"/>
    <n v="1"/>
  </r>
  <r>
    <x v="361"/>
    <n v="30"/>
    <s v="Female"/>
    <x v="1"/>
    <x v="1"/>
    <x v="1"/>
    <x v="1"/>
    <s v="Huaqiu"/>
    <s v="Health Supplements"/>
    <x v="360"/>
    <n v="7"/>
    <x v="0"/>
    <n v="1"/>
    <n v="5"/>
    <n v="2"/>
    <s v="None"/>
    <s v="Not Sensitive"/>
    <n v="2"/>
    <n v="7"/>
    <s v="Low"/>
    <s v="Desktop"/>
    <s v="Other"/>
    <d v="2024-05-28T00:00:00"/>
    <b v="1"/>
    <b v="1"/>
    <s v="Need-based"/>
    <x v="2"/>
    <n v="12"/>
  </r>
  <r>
    <x v="362"/>
    <n v="19"/>
    <s v="Female"/>
    <x v="0"/>
    <x v="3"/>
    <x v="2"/>
    <x v="1"/>
    <s v="Loket"/>
    <s v="Health Supplements"/>
    <x v="361"/>
    <n v="7"/>
    <x v="0"/>
    <n v="4"/>
    <n v="3"/>
    <n v="0"/>
    <s v="High"/>
    <s v="Very Sensitive"/>
    <n v="2"/>
    <n v="5"/>
    <s v="None"/>
    <s v="Smartphone"/>
    <s v="Credit Card"/>
    <d v="2024-06-24T00:00:00"/>
    <b v="1"/>
    <b v="1"/>
    <s v="Planned"/>
    <x v="1"/>
    <n v="8"/>
  </r>
  <r>
    <x v="363"/>
    <n v="45"/>
    <s v="Female"/>
    <x v="1"/>
    <x v="2"/>
    <x v="2"/>
    <x v="0"/>
    <s v="Santa Maria do Souto"/>
    <s v="Software &amp; Apps"/>
    <x v="362"/>
    <n v="4"/>
    <x v="0"/>
    <n v="1"/>
    <n v="4"/>
    <n v="1"/>
    <s v="High"/>
    <s v="Somewhat Sensitive"/>
    <n v="1"/>
    <n v="3"/>
    <s v="None"/>
    <s v="Tablet"/>
    <s v="Debit Card"/>
    <d v="2024-01-13T00:00:00"/>
    <b v="0"/>
    <b v="0"/>
    <s v="Wants-based"/>
    <x v="1"/>
    <n v="3"/>
  </r>
  <r>
    <x v="364"/>
    <n v="38"/>
    <s v="Male"/>
    <x v="0"/>
    <x v="0"/>
    <x v="0"/>
    <x v="0"/>
    <s v="Yanshang"/>
    <s v="Software &amp; Apps"/>
    <x v="363"/>
    <n v="6"/>
    <x v="0"/>
    <n v="3"/>
    <n v="2"/>
    <n v="0"/>
    <s v="High"/>
    <s v="Not Sensitive"/>
    <n v="1"/>
    <n v="10"/>
    <s v="Low"/>
    <s v="Smartphone"/>
    <s v="Debit Card"/>
    <d v="2024-03-13T00:00:00"/>
    <b v="1"/>
    <b v="0"/>
    <s v="Need-based"/>
    <x v="0"/>
    <n v="2"/>
  </r>
  <r>
    <x v="365"/>
    <n v="24"/>
    <s v="Female"/>
    <x v="0"/>
    <x v="0"/>
    <x v="0"/>
    <x v="0"/>
    <s v="Tempuran"/>
    <s v="Food &amp; Beverages"/>
    <x v="364"/>
    <n v="11"/>
    <x v="0"/>
    <n v="1"/>
    <n v="5"/>
    <n v="0"/>
    <s v="High"/>
    <s v="Very Sensitive"/>
    <n v="0"/>
    <n v="6"/>
    <s v="High"/>
    <s v="Smartphone"/>
    <s v="PayPal"/>
    <d v="2024-06-28T00:00:00"/>
    <b v="1"/>
    <b v="1"/>
    <s v="Wants-based"/>
    <x v="2"/>
    <n v="5"/>
  </r>
  <r>
    <x v="366"/>
    <n v="42"/>
    <s v="Genderqueer"/>
    <x v="1"/>
    <x v="1"/>
    <x v="0"/>
    <x v="1"/>
    <s v="Karafao"/>
    <s v="Beauty &amp; Personal Care"/>
    <x v="365"/>
    <n v="11"/>
    <x v="2"/>
    <n v="3"/>
    <n v="3"/>
    <n v="0"/>
    <s v="Medium"/>
    <s v="Not Sensitive"/>
    <n v="0"/>
    <n v="3"/>
    <s v="High"/>
    <s v="Tablet"/>
    <s v="Debit Card"/>
    <d v="2024-04-30T00:00:00"/>
    <b v="1"/>
    <b v="0"/>
    <s v="Wants-based"/>
    <x v="2"/>
    <n v="5"/>
  </r>
  <r>
    <x v="367"/>
    <n v="46"/>
    <s v="Female"/>
    <x v="1"/>
    <x v="2"/>
    <x v="1"/>
    <x v="1"/>
    <s v="São Cristóvão"/>
    <s v="Sports &amp; Outdoors"/>
    <x v="366"/>
    <n v="2"/>
    <x v="2"/>
    <n v="3"/>
    <n v="2"/>
    <n v="2"/>
    <s v="Medium"/>
    <s v="Very Sensitive"/>
    <n v="0"/>
    <n v="5"/>
    <s v="None"/>
    <s v="Smartphone"/>
    <s v="Debit Card"/>
    <d v="2024-06-14T00:00:00"/>
    <b v="1"/>
    <b v="0"/>
    <s v="Impulsive"/>
    <x v="1"/>
    <n v="14"/>
  </r>
  <r>
    <x v="368"/>
    <n v="44"/>
    <s v="Female"/>
    <x v="1"/>
    <x v="2"/>
    <x v="1"/>
    <x v="0"/>
    <s v="Buensuseso"/>
    <s v="Luxury Goods"/>
    <x v="367"/>
    <n v="2"/>
    <x v="1"/>
    <n v="2"/>
    <n v="2"/>
    <n v="1"/>
    <s v="High"/>
    <s v="Very Sensitive"/>
    <n v="0"/>
    <n v="7"/>
    <s v="None"/>
    <s v="Smartphone"/>
    <s v="PayPal"/>
    <d v="2024-08-04T00:00:00"/>
    <b v="1"/>
    <b v="1"/>
    <s v="Wants-based"/>
    <x v="0"/>
    <n v="3"/>
  </r>
  <r>
    <x v="369"/>
    <n v="38"/>
    <s v="Male"/>
    <x v="1"/>
    <x v="0"/>
    <x v="2"/>
    <x v="0"/>
    <s v="Blantyre"/>
    <s v="Hotels"/>
    <x v="368"/>
    <n v="4"/>
    <x v="1"/>
    <n v="4"/>
    <n v="4"/>
    <n v="0"/>
    <s v="Medium"/>
    <s v="Not Sensitive"/>
    <n v="0"/>
    <n v="8"/>
    <s v="Medium"/>
    <s v="Smartphone"/>
    <s v="Other"/>
    <d v="2024-05-07T00:00:00"/>
    <b v="0"/>
    <b v="0"/>
    <s v="Impulsive"/>
    <x v="1"/>
    <n v="12"/>
  </r>
  <r>
    <x v="370"/>
    <n v="44"/>
    <s v="Male"/>
    <x v="0"/>
    <x v="1"/>
    <x v="2"/>
    <x v="0"/>
    <s v="Kozel’shchyna"/>
    <s v="Software &amp; Apps"/>
    <x v="369"/>
    <n v="5"/>
    <x v="1"/>
    <n v="4"/>
    <n v="5"/>
    <n v="2"/>
    <s v="None"/>
    <s v="Not Sensitive"/>
    <n v="2"/>
    <n v="8"/>
    <s v="None"/>
    <s v="Smartphone"/>
    <s v="Cash"/>
    <d v="2024-11-15T00:00:00"/>
    <b v="0"/>
    <b v="1"/>
    <s v="Need-based"/>
    <x v="1"/>
    <n v="9"/>
  </r>
  <r>
    <x v="371"/>
    <n v="18"/>
    <s v="Female"/>
    <x v="1"/>
    <x v="1"/>
    <x v="2"/>
    <x v="0"/>
    <s v="Cibuah"/>
    <s v="Electronics"/>
    <x v="370"/>
    <n v="6"/>
    <x v="0"/>
    <n v="5"/>
    <n v="4"/>
    <n v="2"/>
    <s v="None"/>
    <s v="Not Sensitive"/>
    <n v="2"/>
    <n v="4"/>
    <s v="Medium"/>
    <s v="Desktop"/>
    <s v="Credit Card"/>
    <d v="2024-02-16T00:00:00"/>
    <b v="1"/>
    <b v="0"/>
    <s v="Impulsive"/>
    <x v="0"/>
    <n v="3"/>
  </r>
  <r>
    <x v="372"/>
    <n v="37"/>
    <s v="Male"/>
    <x v="0"/>
    <x v="3"/>
    <x v="2"/>
    <x v="1"/>
    <s v="Cockburn Town"/>
    <s v="Home Appliances"/>
    <x v="371"/>
    <n v="2"/>
    <x v="2"/>
    <n v="4"/>
    <n v="2"/>
    <n v="1"/>
    <s v="None"/>
    <s v="Not Sensitive"/>
    <n v="2"/>
    <n v="9"/>
    <s v="Medium"/>
    <s v="Desktop"/>
    <s v="Other"/>
    <d v="2024-08-05T00:00:00"/>
    <b v="1"/>
    <b v="1"/>
    <s v="Planned"/>
    <x v="1"/>
    <n v="6"/>
  </r>
  <r>
    <x v="373"/>
    <n v="31"/>
    <s v="Genderfluid"/>
    <x v="1"/>
    <x v="1"/>
    <x v="2"/>
    <x v="0"/>
    <s v="Maslog"/>
    <s v="Home Appliances"/>
    <x v="372"/>
    <n v="12"/>
    <x v="2"/>
    <n v="5"/>
    <n v="1"/>
    <n v="2"/>
    <s v="None"/>
    <s v="Very Sensitive"/>
    <n v="0"/>
    <n v="8"/>
    <s v="Low"/>
    <s v="Tablet"/>
    <s v="Debit Card"/>
    <d v="2024-08-11T00:00:00"/>
    <b v="1"/>
    <b v="1"/>
    <s v="Wants-based"/>
    <x v="1"/>
    <n v="13"/>
  </r>
  <r>
    <x v="374"/>
    <n v="22"/>
    <s v="Female"/>
    <x v="1"/>
    <x v="2"/>
    <x v="2"/>
    <x v="0"/>
    <s v="Faqqū‘ah"/>
    <s v="Health Care"/>
    <x v="373"/>
    <n v="4"/>
    <x v="0"/>
    <n v="3"/>
    <n v="4"/>
    <n v="0"/>
    <s v="Low"/>
    <s v="Somewhat Sensitive"/>
    <n v="0"/>
    <n v="2"/>
    <s v="High"/>
    <s v="Tablet"/>
    <s v="Other"/>
    <d v="2024-12-15T00:00:00"/>
    <b v="0"/>
    <b v="1"/>
    <s v="Planned"/>
    <x v="2"/>
    <n v="3"/>
  </r>
  <r>
    <x v="375"/>
    <n v="33"/>
    <s v="Male"/>
    <x v="1"/>
    <x v="0"/>
    <x v="1"/>
    <x v="0"/>
    <s v="Yelyzavethradka"/>
    <s v="Groceries"/>
    <x v="374"/>
    <n v="4"/>
    <x v="1"/>
    <n v="3"/>
    <n v="1"/>
    <n v="0"/>
    <s v="High"/>
    <s v="Somewhat Sensitive"/>
    <n v="1"/>
    <n v="9"/>
    <s v="Low"/>
    <s v="Desktop"/>
    <s v="Cash"/>
    <d v="2024-03-06T00:00:00"/>
    <b v="0"/>
    <b v="1"/>
    <s v="Wants-based"/>
    <x v="2"/>
    <n v="7"/>
  </r>
  <r>
    <x v="376"/>
    <n v="20"/>
    <s v="Female"/>
    <x v="1"/>
    <x v="1"/>
    <x v="2"/>
    <x v="1"/>
    <s v="Jackson"/>
    <s v="Office Supplies"/>
    <x v="375"/>
    <n v="7"/>
    <x v="1"/>
    <n v="4"/>
    <n v="2"/>
    <n v="1"/>
    <s v="Low"/>
    <s v="Somewhat Sensitive"/>
    <n v="2"/>
    <n v="6"/>
    <s v="None"/>
    <s v="Desktop"/>
    <s v="Credit Card"/>
    <d v="2024-05-21T00:00:00"/>
    <b v="1"/>
    <b v="1"/>
    <s v="Wants-based"/>
    <x v="2"/>
    <n v="3"/>
  </r>
  <r>
    <x v="377"/>
    <n v="26"/>
    <s v="Male"/>
    <x v="1"/>
    <x v="0"/>
    <x v="1"/>
    <x v="1"/>
    <s v="Itaguaí"/>
    <s v="Gardening &amp; Outdoors"/>
    <x v="376"/>
    <n v="3"/>
    <x v="0"/>
    <n v="1"/>
    <n v="1"/>
    <n v="0"/>
    <s v="Medium"/>
    <s v="Somewhat Sensitive"/>
    <n v="2"/>
    <n v="2"/>
    <s v="None"/>
    <s v="Tablet"/>
    <s v="Cash"/>
    <d v="2024-03-23T00:00:00"/>
    <b v="0"/>
    <b v="1"/>
    <s v="Impulsive"/>
    <x v="2"/>
    <n v="6"/>
  </r>
  <r>
    <x v="378"/>
    <n v="26"/>
    <s v="Male"/>
    <x v="1"/>
    <x v="0"/>
    <x v="1"/>
    <x v="1"/>
    <s v="Fteliá"/>
    <s v="Toys &amp; Games"/>
    <x v="377"/>
    <n v="2"/>
    <x v="0"/>
    <n v="3"/>
    <n v="5"/>
    <n v="2"/>
    <s v="None"/>
    <s v="Very Sensitive"/>
    <n v="2"/>
    <n v="10"/>
    <s v="None"/>
    <s v="Desktop"/>
    <s v="Debit Card"/>
    <d v="2024-09-22T00:00:00"/>
    <b v="0"/>
    <b v="1"/>
    <s v="Planned"/>
    <x v="0"/>
    <n v="13"/>
  </r>
  <r>
    <x v="379"/>
    <n v="21"/>
    <s v="Male"/>
    <x v="1"/>
    <x v="3"/>
    <x v="1"/>
    <x v="0"/>
    <s v="Kiambu"/>
    <s v="Software &amp; Apps"/>
    <x v="378"/>
    <n v="9"/>
    <x v="2"/>
    <n v="3"/>
    <n v="3"/>
    <n v="1"/>
    <s v="None"/>
    <s v="Not Sensitive"/>
    <n v="0"/>
    <n v="10"/>
    <s v="None"/>
    <s v="Smartphone"/>
    <s v="Debit Card"/>
    <d v="2024-04-02T00:00:00"/>
    <b v="1"/>
    <b v="1"/>
    <s v="Planned"/>
    <x v="0"/>
    <n v="6"/>
  </r>
  <r>
    <x v="380"/>
    <n v="43"/>
    <s v="Male"/>
    <x v="1"/>
    <x v="3"/>
    <x v="1"/>
    <x v="1"/>
    <s v="Xibër-Murrizë"/>
    <s v="Food &amp; Beverages"/>
    <x v="379"/>
    <n v="9"/>
    <x v="0"/>
    <n v="2"/>
    <n v="3"/>
    <n v="2"/>
    <s v="Low"/>
    <s v="Very Sensitive"/>
    <n v="2"/>
    <n v="9"/>
    <s v="None"/>
    <s v="Desktop"/>
    <s v="PayPal"/>
    <d v="2024-01-30T00:00:00"/>
    <b v="0"/>
    <b v="1"/>
    <s v="Planned"/>
    <x v="0"/>
    <n v="7"/>
  </r>
  <r>
    <x v="381"/>
    <n v="50"/>
    <s v="Male"/>
    <x v="0"/>
    <x v="1"/>
    <x v="0"/>
    <x v="1"/>
    <s v="Xudat"/>
    <s v="Groceries"/>
    <x v="380"/>
    <n v="12"/>
    <x v="0"/>
    <n v="5"/>
    <n v="1"/>
    <n v="0"/>
    <s v="Medium"/>
    <s v="Somewhat Sensitive"/>
    <n v="0"/>
    <n v="2"/>
    <s v="Medium"/>
    <s v="Desktop"/>
    <s v="Other"/>
    <d v="2024-05-28T00:00:00"/>
    <b v="1"/>
    <b v="0"/>
    <s v="Planned"/>
    <x v="1"/>
    <n v="3"/>
  </r>
  <r>
    <x v="382"/>
    <n v="42"/>
    <s v="Female"/>
    <x v="0"/>
    <x v="0"/>
    <x v="1"/>
    <x v="0"/>
    <s v="Yaodu"/>
    <s v="Hotels"/>
    <x v="381"/>
    <n v="10"/>
    <x v="1"/>
    <n v="5"/>
    <n v="4"/>
    <n v="1"/>
    <s v="Low"/>
    <s v="Not Sensitive"/>
    <n v="2"/>
    <n v="2"/>
    <s v="High"/>
    <s v="Smartphone"/>
    <s v="PayPal"/>
    <d v="2024-08-20T00:00:00"/>
    <b v="1"/>
    <b v="1"/>
    <s v="Planned"/>
    <x v="0"/>
    <n v="5"/>
  </r>
  <r>
    <x v="383"/>
    <n v="29"/>
    <s v="Male"/>
    <x v="1"/>
    <x v="0"/>
    <x v="0"/>
    <x v="0"/>
    <s v="Saint-Gratien"/>
    <s v="Animal Feed"/>
    <x v="382"/>
    <n v="12"/>
    <x v="0"/>
    <n v="2"/>
    <n v="3"/>
    <n v="0"/>
    <s v="High"/>
    <s v="Not Sensitive"/>
    <n v="0"/>
    <n v="3"/>
    <s v="Low"/>
    <s v="Tablet"/>
    <s v="Credit Card"/>
    <d v="2024-02-15T00:00:00"/>
    <b v="0"/>
    <b v="1"/>
    <s v="Wants-based"/>
    <x v="1"/>
    <n v="6"/>
  </r>
  <r>
    <x v="384"/>
    <n v="20"/>
    <s v="Male"/>
    <x v="0"/>
    <x v="2"/>
    <x v="1"/>
    <x v="0"/>
    <s v="Totora"/>
    <s v="Software &amp; Apps"/>
    <x v="383"/>
    <n v="8"/>
    <x v="1"/>
    <n v="2"/>
    <n v="2"/>
    <n v="0"/>
    <s v="High"/>
    <s v="Somewhat Sensitive"/>
    <n v="0"/>
    <n v="9"/>
    <s v="Low"/>
    <s v="Desktop"/>
    <s v="Cash"/>
    <d v="2024-07-13T00:00:00"/>
    <b v="0"/>
    <b v="1"/>
    <s v="Need-based"/>
    <x v="1"/>
    <n v="5"/>
  </r>
  <r>
    <x v="385"/>
    <n v="40"/>
    <s v="Non-binary"/>
    <x v="1"/>
    <x v="0"/>
    <x v="2"/>
    <x v="0"/>
    <s v="Göteborg"/>
    <s v="Home Appliances"/>
    <x v="384"/>
    <n v="4"/>
    <x v="1"/>
    <n v="5"/>
    <n v="2"/>
    <n v="2"/>
    <s v="None"/>
    <s v="Not Sensitive"/>
    <n v="2"/>
    <n v="7"/>
    <s v="High"/>
    <s v="Tablet"/>
    <s v="Other"/>
    <d v="2024-04-17T00:00:00"/>
    <b v="0"/>
    <b v="1"/>
    <s v="Need-based"/>
    <x v="0"/>
    <n v="2"/>
  </r>
  <r>
    <x v="386"/>
    <n v="38"/>
    <s v="Male"/>
    <x v="1"/>
    <x v="3"/>
    <x v="0"/>
    <x v="0"/>
    <s v="Čáslav"/>
    <s v="Jewelry &amp; Accessories"/>
    <x v="385"/>
    <n v="4"/>
    <x v="0"/>
    <n v="5"/>
    <n v="1"/>
    <n v="1"/>
    <s v="High"/>
    <s v="Not Sensitive"/>
    <n v="0"/>
    <n v="1"/>
    <s v="Medium"/>
    <s v="Desktop"/>
    <s v="PayPal"/>
    <d v="2024-11-29T00:00:00"/>
    <b v="0"/>
    <b v="0"/>
    <s v="Planned"/>
    <x v="1"/>
    <n v="10"/>
  </r>
  <r>
    <x v="387"/>
    <n v="45"/>
    <s v="Polygender"/>
    <x v="0"/>
    <x v="2"/>
    <x v="1"/>
    <x v="1"/>
    <s v="Rudnogorsk"/>
    <s v="Hotels"/>
    <x v="386"/>
    <n v="9"/>
    <x v="2"/>
    <n v="5"/>
    <n v="5"/>
    <n v="0"/>
    <s v="Medium"/>
    <s v="Somewhat Sensitive"/>
    <n v="0"/>
    <n v="5"/>
    <s v="High"/>
    <s v="Desktop"/>
    <s v="Cash"/>
    <d v="2024-10-28T00:00:00"/>
    <b v="0"/>
    <b v="1"/>
    <s v="Impulsive"/>
    <x v="0"/>
    <n v="8"/>
  </r>
  <r>
    <x v="388"/>
    <n v="49"/>
    <s v="Male"/>
    <x v="1"/>
    <x v="2"/>
    <x v="1"/>
    <x v="0"/>
    <s v="Pindiga"/>
    <s v="Jewelry &amp; Accessories"/>
    <x v="387"/>
    <n v="6"/>
    <x v="2"/>
    <n v="2"/>
    <n v="1"/>
    <n v="1"/>
    <s v="None"/>
    <s v="Not Sensitive"/>
    <n v="1"/>
    <n v="8"/>
    <s v="Low"/>
    <s v="Desktop"/>
    <s v="Cash"/>
    <d v="2024-07-12T00:00:00"/>
    <b v="1"/>
    <b v="1"/>
    <s v="Need-based"/>
    <x v="2"/>
    <n v="5"/>
  </r>
  <r>
    <x v="389"/>
    <n v="37"/>
    <s v="Male"/>
    <x v="0"/>
    <x v="1"/>
    <x v="1"/>
    <x v="0"/>
    <s v="Adela"/>
    <s v="Baby Products"/>
    <x v="388"/>
    <n v="8"/>
    <x v="0"/>
    <n v="3"/>
    <n v="3"/>
    <n v="1"/>
    <s v="High"/>
    <s v="Somewhat Sensitive"/>
    <n v="2"/>
    <n v="9"/>
    <s v="Medium"/>
    <s v="Tablet"/>
    <s v="Other"/>
    <d v="2024-07-26T00:00:00"/>
    <b v="0"/>
    <b v="0"/>
    <s v="Wants-based"/>
    <x v="1"/>
    <n v="10"/>
  </r>
  <r>
    <x v="390"/>
    <n v="23"/>
    <s v="Polygender"/>
    <x v="0"/>
    <x v="2"/>
    <x v="2"/>
    <x v="1"/>
    <s v="Krajan Baru"/>
    <s v="Toys &amp; Games"/>
    <x v="389"/>
    <n v="12"/>
    <x v="0"/>
    <n v="4"/>
    <n v="1"/>
    <n v="0"/>
    <s v="Medium"/>
    <s v="Somewhat Sensitive"/>
    <n v="2"/>
    <n v="9"/>
    <s v="None"/>
    <s v="Smartphone"/>
    <s v="Other"/>
    <d v="2024-12-05T00:00:00"/>
    <b v="0"/>
    <b v="1"/>
    <s v="Need-based"/>
    <x v="1"/>
    <n v="6"/>
  </r>
  <r>
    <x v="391"/>
    <n v="48"/>
    <s v="Female"/>
    <x v="1"/>
    <x v="0"/>
    <x v="2"/>
    <x v="0"/>
    <s v="Jinqiao"/>
    <s v="Clothing"/>
    <x v="390"/>
    <n v="9"/>
    <x v="0"/>
    <n v="1"/>
    <n v="5"/>
    <n v="1"/>
    <s v="High"/>
    <s v="Very Sensitive"/>
    <n v="1"/>
    <n v="8"/>
    <s v="High"/>
    <s v="Smartphone"/>
    <s v="Other"/>
    <d v="2024-08-12T00:00:00"/>
    <b v="0"/>
    <b v="0"/>
    <s v="Impulsive"/>
    <x v="1"/>
    <n v="14"/>
  </r>
  <r>
    <x v="392"/>
    <n v="19"/>
    <s v="Male"/>
    <x v="0"/>
    <x v="3"/>
    <x v="2"/>
    <x v="0"/>
    <s v="Barg-e Matāl"/>
    <s v="Luxury Goods"/>
    <x v="391"/>
    <n v="9"/>
    <x v="2"/>
    <n v="1"/>
    <n v="1"/>
    <n v="2"/>
    <s v="High"/>
    <s v="Somewhat Sensitive"/>
    <n v="1"/>
    <n v="9"/>
    <s v="Medium"/>
    <s v="Smartphone"/>
    <s v="PayPal"/>
    <d v="2024-01-02T00:00:00"/>
    <b v="1"/>
    <b v="0"/>
    <s v="Impulsive"/>
    <x v="0"/>
    <n v="10"/>
  </r>
  <r>
    <x v="393"/>
    <n v="46"/>
    <s v="Female"/>
    <x v="1"/>
    <x v="1"/>
    <x v="1"/>
    <x v="1"/>
    <s v="Argenteuil"/>
    <s v="Home Appliances"/>
    <x v="392"/>
    <n v="3"/>
    <x v="2"/>
    <n v="3"/>
    <n v="2"/>
    <n v="1"/>
    <s v="Low"/>
    <s v="Very Sensitive"/>
    <n v="0"/>
    <n v="6"/>
    <s v="High"/>
    <s v="Desktop"/>
    <s v="Debit Card"/>
    <d v="2024-11-04T00:00:00"/>
    <b v="1"/>
    <b v="0"/>
    <s v="Planned"/>
    <x v="0"/>
    <n v="10"/>
  </r>
  <r>
    <x v="394"/>
    <n v="39"/>
    <s v="Male"/>
    <x v="0"/>
    <x v="3"/>
    <x v="0"/>
    <x v="1"/>
    <s v="Daying"/>
    <s v="Baby Products"/>
    <x v="393"/>
    <n v="6"/>
    <x v="0"/>
    <n v="5"/>
    <n v="1"/>
    <n v="2"/>
    <s v="High"/>
    <s v="Very Sensitive"/>
    <n v="1"/>
    <n v="8"/>
    <s v="Low"/>
    <s v="Smartphone"/>
    <s v="Debit Card"/>
    <d v="2024-07-05T00:00:00"/>
    <b v="1"/>
    <b v="1"/>
    <s v="Impulsive"/>
    <x v="0"/>
    <n v="11"/>
  </r>
  <r>
    <x v="395"/>
    <n v="27"/>
    <s v="Polygender"/>
    <x v="0"/>
    <x v="3"/>
    <x v="2"/>
    <x v="0"/>
    <s v="Ngrejo"/>
    <s v="Sports &amp; Outdoors"/>
    <x v="394"/>
    <n v="3"/>
    <x v="2"/>
    <n v="5"/>
    <n v="4"/>
    <n v="2"/>
    <s v="Low"/>
    <s v="Somewhat Sensitive"/>
    <n v="1"/>
    <n v="5"/>
    <s v="None"/>
    <s v="Smartphone"/>
    <s v="Cash"/>
    <d v="2024-04-30T00:00:00"/>
    <b v="0"/>
    <b v="0"/>
    <s v="Planned"/>
    <x v="0"/>
    <n v="13"/>
  </r>
  <r>
    <x v="396"/>
    <n v="28"/>
    <s v="Female"/>
    <x v="0"/>
    <x v="0"/>
    <x v="1"/>
    <x v="1"/>
    <s v="Xieba"/>
    <s v="Packages)"/>
    <x v="395"/>
    <n v="10"/>
    <x v="0"/>
    <n v="3"/>
    <n v="1"/>
    <n v="0"/>
    <s v="Low"/>
    <s v="Not Sensitive"/>
    <n v="0"/>
    <n v="9"/>
    <s v="High"/>
    <s v="Smartphone"/>
    <s v="Cash"/>
    <d v="2024-02-16T00:00:00"/>
    <b v="0"/>
    <b v="0"/>
    <s v="Planned"/>
    <x v="1"/>
    <n v="11"/>
  </r>
  <r>
    <x v="397"/>
    <n v="50"/>
    <s v="Female"/>
    <x v="1"/>
    <x v="0"/>
    <x v="1"/>
    <x v="0"/>
    <s v="Sigli"/>
    <s v="Software &amp; Apps"/>
    <x v="396"/>
    <n v="12"/>
    <x v="0"/>
    <n v="5"/>
    <n v="2"/>
    <n v="2"/>
    <s v="None"/>
    <s v="Very Sensitive"/>
    <n v="0"/>
    <n v="8"/>
    <s v="Low"/>
    <s v="Tablet"/>
    <s v="Cash"/>
    <d v="2024-03-20T00:00:00"/>
    <b v="0"/>
    <b v="0"/>
    <s v="Need-based"/>
    <x v="2"/>
    <n v="6"/>
  </r>
  <r>
    <x v="398"/>
    <n v="19"/>
    <s v="Female"/>
    <x v="1"/>
    <x v="3"/>
    <x v="0"/>
    <x v="1"/>
    <s v="Aristóbulo del Valle"/>
    <s v="Gardening &amp; Outdoors"/>
    <x v="397"/>
    <n v="3"/>
    <x v="1"/>
    <n v="5"/>
    <n v="5"/>
    <n v="1"/>
    <s v="Low"/>
    <s v="Not Sensitive"/>
    <n v="0"/>
    <n v="2"/>
    <s v="None"/>
    <s v="Smartphone"/>
    <s v="PayPal"/>
    <d v="2024-10-27T00:00:00"/>
    <b v="1"/>
    <b v="1"/>
    <s v="Wants-based"/>
    <x v="1"/>
    <n v="13"/>
  </r>
  <r>
    <x v="399"/>
    <n v="27"/>
    <s v="Agender"/>
    <x v="0"/>
    <x v="2"/>
    <x v="1"/>
    <x v="1"/>
    <s v="Cane"/>
    <s v="Travel &amp; Leisure (Flights"/>
    <x v="398"/>
    <n v="11"/>
    <x v="2"/>
    <n v="3"/>
    <n v="5"/>
    <n v="1"/>
    <s v="High"/>
    <s v="Not Sensitive"/>
    <n v="2"/>
    <n v="8"/>
    <s v="High"/>
    <s v="Tablet"/>
    <s v="PayPal"/>
    <d v="2024-05-04T00:00:00"/>
    <b v="1"/>
    <b v="0"/>
    <s v="Wants-based"/>
    <x v="0"/>
    <n v="5"/>
  </r>
  <r>
    <x v="400"/>
    <n v="23"/>
    <s v="Male"/>
    <x v="1"/>
    <x v="0"/>
    <x v="2"/>
    <x v="0"/>
    <s v="Podhum"/>
    <s v="Baby Products"/>
    <x v="399"/>
    <n v="5"/>
    <x v="0"/>
    <n v="5"/>
    <n v="2"/>
    <n v="0"/>
    <s v="Medium"/>
    <s v="Very Sensitive"/>
    <n v="2"/>
    <n v="7"/>
    <s v="Low"/>
    <s v="Tablet"/>
    <s v="Credit Card"/>
    <d v="2024-10-31T00:00:00"/>
    <b v="0"/>
    <b v="0"/>
    <s v="Need-based"/>
    <x v="0"/>
    <n v="3"/>
  </r>
  <r>
    <x v="401"/>
    <n v="19"/>
    <s v="Female"/>
    <x v="1"/>
    <x v="2"/>
    <x v="0"/>
    <x v="1"/>
    <s v="Vilar"/>
    <s v="Baby Products"/>
    <x v="400"/>
    <n v="5"/>
    <x v="1"/>
    <n v="3"/>
    <n v="5"/>
    <n v="1"/>
    <s v="Low"/>
    <s v="Very Sensitive"/>
    <n v="0"/>
    <n v="8"/>
    <s v="Low"/>
    <s v="Tablet"/>
    <s v="Credit Card"/>
    <d v="2024-02-06T00:00:00"/>
    <b v="1"/>
    <b v="1"/>
    <s v="Impulsive"/>
    <x v="1"/>
    <n v="12"/>
  </r>
  <r>
    <x v="402"/>
    <n v="22"/>
    <s v="Female"/>
    <x v="0"/>
    <x v="2"/>
    <x v="0"/>
    <x v="1"/>
    <s v="Portela"/>
    <s v="Luxury Goods"/>
    <x v="401"/>
    <n v="9"/>
    <x v="2"/>
    <n v="4"/>
    <n v="5"/>
    <n v="1"/>
    <s v="None"/>
    <s v="Not Sensitive"/>
    <n v="0"/>
    <n v="8"/>
    <s v="Low"/>
    <s v="Smartphone"/>
    <s v="Other"/>
    <d v="2024-07-18T00:00:00"/>
    <b v="0"/>
    <b v="0"/>
    <s v="Need-based"/>
    <x v="1"/>
    <n v="14"/>
  </r>
  <r>
    <x v="403"/>
    <n v="40"/>
    <s v="Male"/>
    <x v="0"/>
    <x v="3"/>
    <x v="1"/>
    <x v="1"/>
    <s v="Arendal"/>
    <s v="Clothing"/>
    <x v="402"/>
    <n v="10"/>
    <x v="2"/>
    <n v="5"/>
    <n v="3"/>
    <n v="0"/>
    <s v="High"/>
    <s v="Very Sensitive"/>
    <n v="1"/>
    <n v="7"/>
    <s v="Medium"/>
    <s v="Desktop"/>
    <s v="PayPal"/>
    <d v="2024-01-06T00:00:00"/>
    <b v="0"/>
    <b v="0"/>
    <s v="Planned"/>
    <x v="1"/>
    <n v="13"/>
  </r>
  <r>
    <x v="404"/>
    <n v="48"/>
    <s v="Male"/>
    <x v="0"/>
    <x v="0"/>
    <x v="0"/>
    <x v="0"/>
    <s v="Nabīnagar"/>
    <s v="Food &amp; Beverages"/>
    <x v="403"/>
    <n v="10"/>
    <x v="2"/>
    <n v="5"/>
    <n v="3"/>
    <n v="2"/>
    <s v="None"/>
    <s v="Somewhat Sensitive"/>
    <n v="2"/>
    <n v="10"/>
    <s v="Medium"/>
    <s v="Desktop"/>
    <s v="PayPal"/>
    <d v="2024-04-04T00:00:00"/>
    <b v="1"/>
    <b v="0"/>
    <s v="Wants-based"/>
    <x v="1"/>
    <n v="7"/>
  </r>
  <r>
    <x v="405"/>
    <n v="49"/>
    <s v="Male"/>
    <x v="0"/>
    <x v="0"/>
    <x v="1"/>
    <x v="1"/>
    <s v="La Ravoire"/>
    <s v="Clothing"/>
    <x v="404"/>
    <n v="3"/>
    <x v="1"/>
    <n v="2"/>
    <n v="5"/>
    <n v="1"/>
    <s v="Medium"/>
    <s v="Somewhat Sensitive"/>
    <n v="0"/>
    <n v="10"/>
    <s v="Medium"/>
    <s v="Smartphone"/>
    <s v="Other"/>
    <d v="2024-02-28T00:00:00"/>
    <b v="0"/>
    <b v="1"/>
    <s v="Wants-based"/>
    <x v="1"/>
    <n v="6"/>
  </r>
  <r>
    <x v="406"/>
    <n v="45"/>
    <s v="Agender"/>
    <x v="0"/>
    <x v="2"/>
    <x v="2"/>
    <x v="0"/>
    <s v="Dostoyevka"/>
    <s v="Home Appliances"/>
    <x v="405"/>
    <n v="8"/>
    <x v="1"/>
    <n v="4"/>
    <n v="3"/>
    <n v="0"/>
    <s v="High"/>
    <s v="Somewhat Sensitive"/>
    <n v="0"/>
    <n v="4"/>
    <s v="Low"/>
    <s v="Tablet"/>
    <s v="Cash"/>
    <d v="2024-10-28T00:00:00"/>
    <b v="1"/>
    <b v="0"/>
    <s v="Wants-based"/>
    <x v="1"/>
    <n v="4"/>
  </r>
  <r>
    <x v="407"/>
    <n v="42"/>
    <s v="Female"/>
    <x v="1"/>
    <x v="0"/>
    <x v="1"/>
    <x v="1"/>
    <s v="Liuzhou"/>
    <s v="Luxury Goods"/>
    <x v="406"/>
    <n v="5"/>
    <x v="1"/>
    <n v="2"/>
    <n v="5"/>
    <n v="0"/>
    <s v="High"/>
    <s v="Very Sensitive"/>
    <n v="0"/>
    <n v="4"/>
    <s v="Medium"/>
    <s v="Tablet"/>
    <s v="Credit Card"/>
    <d v="2024-06-21T00:00:00"/>
    <b v="0"/>
    <b v="1"/>
    <s v="Impulsive"/>
    <x v="0"/>
    <n v="4"/>
  </r>
  <r>
    <x v="408"/>
    <n v="41"/>
    <s v="Female"/>
    <x v="1"/>
    <x v="0"/>
    <x v="0"/>
    <x v="1"/>
    <s v="São Mateus do Maranhão"/>
    <s v="Packages)"/>
    <x v="407"/>
    <n v="9"/>
    <x v="0"/>
    <n v="3"/>
    <n v="1"/>
    <n v="1"/>
    <s v="Medium"/>
    <s v="Very Sensitive"/>
    <n v="0"/>
    <n v="10"/>
    <s v="Medium"/>
    <s v="Desktop"/>
    <s v="PayPal"/>
    <d v="2024-06-06T00:00:00"/>
    <b v="1"/>
    <b v="1"/>
    <s v="Wants-based"/>
    <x v="2"/>
    <n v="11"/>
  </r>
  <r>
    <x v="409"/>
    <n v="23"/>
    <s v="Bigender"/>
    <x v="1"/>
    <x v="1"/>
    <x v="1"/>
    <x v="1"/>
    <s v="Rumbek"/>
    <s v="Software &amp; Apps"/>
    <x v="408"/>
    <n v="8"/>
    <x v="2"/>
    <n v="3"/>
    <n v="4"/>
    <n v="2"/>
    <s v="Low"/>
    <s v="Not Sensitive"/>
    <n v="1"/>
    <n v="1"/>
    <s v="Low"/>
    <s v="Smartphone"/>
    <s v="Other"/>
    <d v="2024-12-24T00:00:00"/>
    <b v="0"/>
    <b v="0"/>
    <s v="Planned"/>
    <x v="1"/>
    <n v="14"/>
  </r>
  <r>
    <x v="410"/>
    <n v="44"/>
    <s v="Female"/>
    <x v="1"/>
    <x v="3"/>
    <x v="1"/>
    <x v="0"/>
    <s v="Cigedang"/>
    <s v="Sports &amp; Outdoors"/>
    <x v="409"/>
    <n v="6"/>
    <x v="2"/>
    <n v="2"/>
    <n v="2"/>
    <n v="2"/>
    <s v="High"/>
    <s v="Not Sensitive"/>
    <n v="2"/>
    <n v="2"/>
    <s v="None"/>
    <s v="Smartphone"/>
    <s v="Other"/>
    <d v="2024-11-14T00:00:00"/>
    <b v="0"/>
    <b v="0"/>
    <s v="Impulsive"/>
    <x v="2"/>
    <n v="1"/>
  </r>
  <r>
    <x v="411"/>
    <n v="42"/>
    <s v="Female"/>
    <x v="1"/>
    <x v="0"/>
    <x v="0"/>
    <x v="0"/>
    <s v="Muaralabuh"/>
    <s v="Packages)"/>
    <x v="410"/>
    <n v="10"/>
    <x v="0"/>
    <n v="2"/>
    <n v="3"/>
    <n v="1"/>
    <s v="High"/>
    <s v="Not Sensitive"/>
    <n v="2"/>
    <n v="1"/>
    <s v="None"/>
    <s v="Smartphone"/>
    <s v="Credit Card"/>
    <d v="2024-12-18T00:00:00"/>
    <b v="0"/>
    <b v="1"/>
    <s v="Need-based"/>
    <x v="0"/>
    <n v="9"/>
  </r>
  <r>
    <x v="412"/>
    <n v="49"/>
    <s v="Female"/>
    <x v="0"/>
    <x v="2"/>
    <x v="0"/>
    <x v="1"/>
    <s v="Chełmiec"/>
    <s v="Sports &amp; Outdoors"/>
    <x v="411"/>
    <n v="5"/>
    <x v="2"/>
    <n v="4"/>
    <n v="3"/>
    <n v="1"/>
    <s v="None"/>
    <s v="Somewhat Sensitive"/>
    <n v="1"/>
    <n v="10"/>
    <s v="Low"/>
    <s v="Smartphone"/>
    <s v="PayPal"/>
    <d v="2024-04-10T00:00:00"/>
    <b v="1"/>
    <b v="1"/>
    <s v="Planned"/>
    <x v="0"/>
    <n v="4"/>
  </r>
  <r>
    <x v="413"/>
    <n v="45"/>
    <s v="Female"/>
    <x v="0"/>
    <x v="2"/>
    <x v="1"/>
    <x v="1"/>
    <s v="Santa Marta"/>
    <s v="Furniture"/>
    <x v="412"/>
    <n v="2"/>
    <x v="0"/>
    <n v="2"/>
    <n v="5"/>
    <n v="0"/>
    <s v="Medium"/>
    <s v="Very Sensitive"/>
    <n v="1"/>
    <n v="1"/>
    <s v="High"/>
    <s v="Smartphone"/>
    <s v="PayPal"/>
    <d v="2024-12-06T00:00:00"/>
    <b v="1"/>
    <b v="0"/>
    <s v="Need-based"/>
    <x v="0"/>
    <n v="7"/>
  </r>
  <r>
    <x v="414"/>
    <n v="36"/>
    <s v="Female"/>
    <x v="0"/>
    <x v="1"/>
    <x v="0"/>
    <x v="0"/>
    <s v="Brändö"/>
    <s v="Furniture"/>
    <x v="413"/>
    <n v="12"/>
    <x v="1"/>
    <n v="1"/>
    <n v="1"/>
    <n v="1"/>
    <s v="High"/>
    <s v="Not Sensitive"/>
    <n v="1"/>
    <n v="5"/>
    <s v="High"/>
    <s v="Desktop"/>
    <s v="Credit Card"/>
    <d v="2024-10-29T00:00:00"/>
    <b v="1"/>
    <b v="0"/>
    <s v="Impulsive"/>
    <x v="1"/>
    <n v="9"/>
  </r>
  <r>
    <x v="415"/>
    <n v="38"/>
    <s v="Female"/>
    <x v="1"/>
    <x v="3"/>
    <x v="1"/>
    <x v="1"/>
    <s v="Liangshuihe"/>
    <s v="Food &amp; Beverages"/>
    <x v="414"/>
    <n v="12"/>
    <x v="2"/>
    <n v="5"/>
    <n v="1"/>
    <n v="2"/>
    <s v="High"/>
    <s v="Not Sensitive"/>
    <n v="0"/>
    <n v="3"/>
    <s v="None"/>
    <s v="Smartphone"/>
    <s v="Credit Card"/>
    <d v="2024-07-10T00:00:00"/>
    <b v="1"/>
    <b v="0"/>
    <s v="Impulsive"/>
    <x v="0"/>
    <n v="8"/>
  </r>
  <r>
    <x v="416"/>
    <n v="44"/>
    <s v="Male"/>
    <x v="0"/>
    <x v="1"/>
    <x v="1"/>
    <x v="0"/>
    <s v="Cimara"/>
    <s v="Health Care"/>
    <x v="415"/>
    <n v="7"/>
    <x v="2"/>
    <n v="1"/>
    <n v="4"/>
    <n v="1"/>
    <s v="Low"/>
    <s v="Not Sensitive"/>
    <n v="0"/>
    <n v="2"/>
    <s v="Medium"/>
    <s v="Desktop"/>
    <s v="PayPal"/>
    <d v="2024-01-30T00:00:00"/>
    <b v="1"/>
    <b v="1"/>
    <s v="Wants-based"/>
    <x v="1"/>
    <n v="4"/>
  </r>
  <r>
    <x v="417"/>
    <n v="37"/>
    <s v="Agender"/>
    <x v="1"/>
    <x v="0"/>
    <x v="0"/>
    <x v="1"/>
    <s v="Sanxing"/>
    <s v="Home Appliances"/>
    <x v="416"/>
    <n v="3"/>
    <x v="1"/>
    <n v="1"/>
    <n v="3"/>
    <n v="0"/>
    <s v="High"/>
    <s v="Somewhat Sensitive"/>
    <n v="2"/>
    <n v="9"/>
    <s v="None"/>
    <s v="Smartphone"/>
    <s v="PayPal"/>
    <d v="2024-08-12T00:00:00"/>
    <b v="1"/>
    <b v="0"/>
    <s v="Impulsive"/>
    <x v="1"/>
    <n v="6"/>
  </r>
  <r>
    <x v="418"/>
    <n v="36"/>
    <s v="Male"/>
    <x v="0"/>
    <x v="3"/>
    <x v="2"/>
    <x v="1"/>
    <s v="Linao"/>
    <s v="Clothing"/>
    <x v="417"/>
    <n v="11"/>
    <x v="1"/>
    <n v="5"/>
    <n v="3"/>
    <n v="2"/>
    <s v="Low"/>
    <s v="Not Sensitive"/>
    <n v="1"/>
    <n v="3"/>
    <s v="None"/>
    <s v="Tablet"/>
    <s v="Cash"/>
    <d v="2024-03-17T00:00:00"/>
    <b v="0"/>
    <b v="0"/>
    <s v="Planned"/>
    <x v="1"/>
    <n v="11"/>
  </r>
  <r>
    <x v="419"/>
    <n v="34"/>
    <s v="Male"/>
    <x v="1"/>
    <x v="0"/>
    <x v="1"/>
    <x v="0"/>
    <s v="Bairan"/>
    <s v="Mobile Accessories"/>
    <x v="418"/>
    <n v="6"/>
    <x v="1"/>
    <n v="2"/>
    <n v="4"/>
    <n v="1"/>
    <s v="High"/>
    <s v="Very Sensitive"/>
    <n v="0"/>
    <n v="2"/>
    <s v="Medium"/>
    <s v="Smartphone"/>
    <s v="Credit Card"/>
    <d v="2024-09-21T00:00:00"/>
    <b v="1"/>
    <b v="1"/>
    <s v="Impulsive"/>
    <x v="0"/>
    <n v="3"/>
  </r>
  <r>
    <x v="420"/>
    <n v="23"/>
    <s v="Male"/>
    <x v="0"/>
    <x v="1"/>
    <x v="1"/>
    <x v="0"/>
    <s v="Abaetetuba"/>
    <s v="Health Care"/>
    <x v="419"/>
    <n v="3"/>
    <x v="2"/>
    <n v="4"/>
    <n v="5"/>
    <n v="2"/>
    <s v="High"/>
    <s v="Very Sensitive"/>
    <n v="0"/>
    <n v="1"/>
    <s v="Low"/>
    <s v="Tablet"/>
    <s v="PayPal"/>
    <d v="2024-03-25T00:00:00"/>
    <b v="1"/>
    <b v="0"/>
    <s v="Planned"/>
    <x v="0"/>
    <n v="4"/>
  </r>
  <r>
    <x v="421"/>
    <n v="35"/>
    <s v="Male"/>
    <x v="1"/>
    <x v="3"/>
    <x v="0"/>
    <x v="1"/>
    <s v="Pasirjaya"/>
    <s v="Furniture"/>
    <x v="420"/>
    <n v="10"/>
    <x v="1"/>
    <n v="5"/>
    <n v="3"/>
    <n v="1"/>
    <s v="Low"/>
    <s v="Somewhat Sensitive"/>
    <n v="0"/>
    <n v="6"/>
    <s v="Medium"/>
    <s v="Desktop"/>
    <s v="PayPal"/>
    <d v="2024-11-12T00:00:00"/>
    <b v="0"/>
    <b v="1"/>
    <s v="Need-based"/>
    <x v="0"/>
    <n v="3"/>
  </r>
  <r>
    <x v="422"/>
    <n v="45"/>
    <s v="Male"/>
    <x v="0"/>
    <x v="2"/>
    <x v="2"/>
    <x v="0"/>
    <s v="Acheng"/>
    <s v="Home Appliances"/>
    <x v="421"/>
    <n v="8"/>
    <x v="0"/>
    <n v="3"/>
    <n v="4"/>
    <n v="2"/>
    <s v="Low"/>
    <s v="Very Sensitive"/>
    <n v="1"/>
    <n v="5"/>
    <s v="None"/>
    <s v="Tablet"/>
    <s v="Cash"/>
    <d v="2024-04-06T00:00:00"/>
    <b v="0"/>
    <b v="0"/>
    <s v="Need-based"/>
    <x v="0"/>
    <n v="6"/>
  </r>
  <r>
    <x v="423"/>
    <n v="38"/>
    <s v="Male"/>
    <x v="1"/>
    <x v="2"/>
    <x v="2"/>
    <x v="1"/>
    <s v="Huakoulongtan"/>
    <s v="Software &amp; Apps"/>
    <x v="422"/>
    <n v="2"/>
    <x v="0"/>
    <n v="5"/>
    <n v="4"/>
    <n v="2"/>
    <s v="Medium"/>
    <s v="Not Sensitive"/>
    <n v="1"/>
    <n v="9"/>
    <s v="Low"/>
    <s v="Tablet"/>
    <s v="Cash"/>
    <d v="2024-11-23T00:00:00"/>
    <b v="0"/>
    <b v="1"/>
    <s v="Need-based"/>
    <x v="2"/>
    <n v="1"/>
  </r>
  <r>
    <x v="424"/>
    <n v="25"/>
    <s v="Male"/>
    <x v="0"/>
    <x v="3"/>
    <x v="2"/>
    <x v="1"/>
    <s v="Burgastai"/>
    <s v="Electronics"/>
    <x v="423"/>
    <n v="6"/>
    <x v="0"/>
    <n v="4"/>
    <n v="2"/>
    <n v="1"/>
    <s v="High"/>
    <s v="Not Sensitive"/>
    <n v="0"/>
    <n v="9"/>
    <s v="Medium"/>
    <s v="Smartphone"/>
    <s v="PayPal"/>
    <d v="2024-07-11T00:00:00"/>
    <b v="0"/>
    <b v="1"/>
    <s v="Need-based"/>
    <x v="0"/>
    <n v="11"/>
  </r>
  <r>
    <x v="425"/>
    <n v="26"/>
    <s v="Male"/>
    <x v="0"/>
    <x v="0"/>
    <x v="2"/>
    <x v="0"/>
    <s v="Chavarría"/>
    <s v="Home Appliances"/>
    <x v="424"/>
    <n v="2"/>
    <x v="0"/>
    <n v="4"/>
    <n v="2"/>
    <n v="1"/>
    <s v="Medium"/>
    <s v="Somewhat Sensitive"/>
    <n v="0"/>
    <n v="1"/>
    <s v="High"/>
    <s v="Smartphone"/>
    <s v="Debit Card"/>
    <d v="2024-04-17T00:00:00"/>
    <b v="1"/>
    <b v="0"/>
    <s v="Need-based"/>
    <x v="0"/>
    <n v="10"/>
  </r>
  <r>
    <x v="426"/>
    <n v="46"/>
    <s v="Female"/>
    <x v="1"/>
    <x v="0"/>
    <x v="1"/>
    <x v="1"/>
    <s v="Demuk"/>
    <s v="Luxury Goods"/>
    <x v="425"/>
    <n v="4"/>
    <x v="2"/>
    <n v="5"/>
    <n v="3"/>
    <n v="0"/>
    <s v="Medium"/>
    <s v="Somewhat Sensitive"/>
    <n v="0"/>
    <n v="5"/>
    <s v="None"/>
    <s v="Desktop"/>
    <s v="Debit Card"/>
    <d v="2024-09-14T00:00:00"/>
    <b v="0"/>
    <b v="1"/>
    <s v="Planned"/>
    <x v="1"/>
    <n v="5"/>
  </r>
  <r>
    <x v="427"/>
    <n v="18"/>
    <s v="Female"/>
    <x v="1"/>
    <x v="1"/>
    <x v="1"/>
    <x v="1"/>
    <s v="Sertolovo"/>
    <s v="Health Supplements"/>
    <x v="426"/>
    <n v="6"/>
    <x v="0"/>
    <n v="5"/>
    <n v="2"/>
    <n v="1"/>
    <s v="Low"/>
    <s v="Not Sensitive"/>
    <n v="1"/>
    <n v="10"/>
    <s v="None"/>
    <s v="Desktop"/>
    <s v="Cash"/>
    <d v="2024-08-08T00:00:00"/>
    <b v="0"/>
    <b v="1"/>
    <s v="Wants-based"/>
    <x v="0"/>
    <n v="2"/>
  </r>
  <r>
    <x v="428"/>
    <n v="46"/>
    <s v="Male"/>
    <x v="0"/>
    <x v="3"/>
    <x v="1"/>
    <x v="0"/>
    <s v="Jixian"/>
    <s v="Gardening &amp; Outdoors"/>
    <x v="427"/>
    <n v="3"/>
    <x v="0"/>
    <n v="3"/>
    <n v="4"/>
    <n v="0"/>
    <s v="None"/>
    <s v="Somewhat Sensitive"/>
    <n v="1"/>
    <n v="9"/>
    <s v="Medium"/>
    <s v="Smartphone"/>
    <s v="Cash"/>
    <d v="2024-05-05T00:00:00"/>
    <b v="0"/>
    <b v="0"/>
    <s v="Planned"/>
    <x v="2"/>
    <n v="10"/>
  </r>
  <r>
    <x v="429"/>
    <n v="19"/>
    <s v="Female"/>
    <x v="1"/>
    <x v="3"/>
    <x v="0"/>
    <x v="1"/>
    <s v="Deqing"/>
    <s v="Baby Products"/>
    <x v="428"/>
    <n v="4"/>
    <x v="0"/>
    <n v="5"/>
    <n v="1"/>
    <n v="0"/>
    <s v="Medium"/>
    <s v="Very Sensitive"/>
    <n v="0"/>
    <n v="4"/>
    <s v="High"/>
    <s v="Desktop"/>
    <s v="Other"/>
    <d v="2024-02-15T00:00:00"/>
    <b v="1"/>
    <b v="0"/>
    <s v="Need-based"/>
    <x v="1"/>
    <n v="4"/>
  </r>
  <r>
    <x v="430"/>
    <n v="37"/>
    <s v="Female"/>
    <x v="0"/>
    <x v="1"/>
    <x v="0"/>
    <x v="0"/>
    <s v="Sala"/>
    <s v="Health Care"/>
    <x v="429"/>
    <n v="11"/>
    <x v="0"/>
    <n v="4"/>
    <n v="2"/>
    <n v="0"/>
    <s v="Medium"/>
    <s v="Very Sensitive"/>
    <n v="0"/>
    <n v="1"/>
    <s v="High"/>
    <s v="Smartphone"/>
    <s v="Other"/>
    <d v="2024-01-26T00:00:00"/>
    <b v="1"/>
    <b v="1"/>
    <s v="Planned"/>
    <x v="2"/>
    <n v="8"/>
  </r>
  <r>
    <x v="431"/>
    <n v="35"/>
    <s v="Female"/>
    <x v="0"/>
    <x v="3"/>
    <x v="1"/>
    <x v="1"/>
    <s v="Dłutów"/>
    <s v="Office Supplies"/>
    <x v="430"/>
    <n v="6"/>
    <x v="1"/>
    <n v="3"/>
    <n v="5"/>
    <n v="2"/>
    <s v="Medium"/>
    <s v="Very Sensitive"/>
    <n v="0"/>
    <n v="1"/>
    <s v="High"/>
    <s v="Desktop"/>
    <s v="Other"/>
    <d v="2024-05-23T00:00:00"/>
    <b v="0"/>
    <b v="1"/>
    <s v="Impulsive"/>
    <x v="2"/>
    <n v="5"/>
  </r>
  <r>
    <x v="432"/>
    <n v="43"/>
    <s v="Male"/>
    <x v="0"/>
    <x v="1"/>
    <x v="2"/>
    <x v="0"/>
    <s v="Regimin"/>
    <s v="Toys &amp; Games"/>
    <x v="431"/>
    <n v="6"/>
    <x v="2"/>
    <n v="1"/>
    <n v="1"/>
    <n v="2"/>
    <s v="Low"/>
    <s v="Very Sensitive"/>
    <n v="0"/>
    <n v="4"/>
    <s v="High"/>
    <s v="Tablet"/>
    <s v="Other"/>
    <d v="2024-04-20T00:00:00"/>
    <b v="0"/>
    <b v="1"/>
    <s v="Wants-based"/>
    <x v="1"/>
    <n v="10"/>
  </r>
  <r>
    <x v="433"/>
    <n v="28"/>
    <s v="Male"/>
    <x v="0"/>
    <x v="1"/>
    <x v="2"/>
    <x v="1"/>
    <s v="Semiletka"/>
    <s v="Toys &amp; Games"/>
    <x v="432"/>
    <n v="6"/>
    <x v="0"/>
    <n v="4"/>
    <n v="5"/>
    <n v="0"/>
    <s v="None"/>
    <s v="Somewhat Sensitive"/>
    <n v="0"/>
    <n v="4"/>
    <s v="High"/>
    <s v="Tablet"/>
    <s v="Other"/>
    <d v="2024-06-09T00:00:00"/>
    <b v="1"/>
    <b v="1"/>
    <s v="Impulsive"/>
    <x v="2"/>
    <n v="13"/>
  </r>
  <r>
    <x v="434"/>
    <n v="25"/>
    <s v="Male"/>
    <x v="0"/>
    <x v="3"/>
    <x v="2"/>
    <x v="1"/>
    <s v="Dayr Sharaf"/>
    <s v="Books"/>
    <x v="433"/>
    <n v="3"/>
    <x v="2"/>
    <n v="3"/>
    <n v="4"/>
    <n v="1"/>
    <s v="Low"/>
    <s v="Very Sensitive"/>
    <n v="1"/>
    <n v="2"/>
    <s v="Medium"/>
    <s v="Smartphone"/>
    <s v="PayPal"/>
    <d v="2024-02-15T00:00:00"/>
    <b v="1"/>
    <b v="1"/>
    <s v="Planned"/>
    <x v="1"/>
    <n v="9"/>
  </r>
  <r>
    <x v="435"/>
    <n v="47"/>
    <s v="Male"/>
    <x v="1"/>
    <x v="2"/>
    <x v="2"/>
    <x v="0"/>
    <s v="Adani"/>
    <s v="Hotels"/>
    <x v="434"/>
    <n v="9"/>
    <x v="0"/>
    <n v="3"/>
    <n v="4"/>
    <n v="0"/>
    <s v="Medium"/>
    <s v="Somewhat Sensitive"/>
    <n v="2"/>
    <n v="5"/>
    <s v="None"/>
    <s v="Smartphone"/>
    <s v="PayPal"/>
    <d v="2024-04-18T00:00:00"/>
    <b v="0"/>
    <b v="1"/>
    <s v="Wants-based"/>
    <x v="1"/>
    <n v="5"/>
  </r>
  <r>
    <x v="436"/>
    <n v="45"/>
    <s v="Polygender"/>
    <x v="0"/>
    <x v="3"/>
    <x v="0"/>
    <x v="0"/>
    <s v="Rakhiv"/>
    <s v="Health Care"/>
    <x v="435"/>
    <n v="12"/>
    <x v="2"/>
    <n v="1"/>
    <n v="3"/>
    <n v="2"/>
    <s v="High"/>
    <s v="Not Sensitive"/>
    <n v="2"/>
    <n v="6"/>
    <s v="None"/>
    <s v="Desktop"/>
    <s v="Cash"/>
    <d v="2024-07-07T00:00:00"/>
    <b v="1"/>
    <b v="1"/>
    <s v="Impulsive"/>
    <x v="1"/>
    <n v="11"/>
  </r>
  <r>
    <x v="437"/>
    <n v="24"/>
    <s v="Non-binary"/>
    <x v="1"/>
    <x v="0"/>
    <x v="1"/>
    <x v="0"/>
    <s v="Ma'an"/>
    <s v="Luxury Goods"/>
    <x v="436"/>
    <n v="9"/>
    <x v="2"/>
    <n v="4"/>
    <n v="2"/>
    <n v="2"/>
    <s v="Medium"/>
    <s v="Somewhat Sensitive"/>
    <n v="1"/>
    <n v="6"/>
    <s v="Low"/>
    <s v="Tablet"/>
    <s v="Other"/>
    <d v="2024-12-15T00:00:00"/>
    <b v="1"/>
    <b v="0"/>
    <s v="Need-based"/>
    <x v="0"/>
    <n v="7"/>
  </r>
  <r>
    <x v="438"/>
    <n v="30"/>
    <s v="Male"/>
    <x v="0"/>
    <x v="3"/>
    <x v="0"/>
    <x v="1"/>
    <s v="Navoiy"/>
    <s v="Home Appliances"/>
    <x v="437"/>
    <n v="12"/>
    <x v="1"/>
    <n v="2"/>
    <n v="1"/>
    <n v="1"/>
    <s v="Medium"/>
    <s v="Somewhat Sensitive"/>
    <n v="2"/>
    <n v="9"/>
    <s v="None"/>
    <s v="Tablet"/>
    <s v="PayPal"/>
    <d v="2024-07-28T00:00:00"/>
    <b v="1"/>
    <b v="0"/>
    <s v="Impulsive"/>
    <x v="2"/>
    <n v="14"/>
  </r>
  <r>
    <x v="439"/>
    <n v="24"/>
    <s v="Female"/>
    <x v="1"/>
    <x v="0"/>
    <x v="1"/>
    <x v="0"/>
    <s v="Sishilichengzi"/>
    <s v="Luxury Goods"/>
    <x v="438"/>
    <n v="8"/>
    <x v="2"/>
    <n v="2"/>
    <n v="4"/>
    <n v="0"/>
    <s v="Low"/>
    <s v="Somewhat Sensitive"/>
    <n v="2"/>
    <n v="8"/>
    <s v="Medium"/>
    <s v="Tablet"/>
    <s v="Cash"/>
    <d v="2024-01-24T00:00:00"/>
    <b v="0"/>
    <b v="1"/>
    <s v="Planned"/>
    <x v="0"/>
    <n v="14"/>
  </r>
  <r>
    <x v="440"/>
    <n v="27"/>
    <s v="Female"/>
    <x v="0"/>
    <x v="0"/>
    <x v="0"/>
    <x v="0"/>
    <s v="Tigaherang"/>
    <s v="Baby Products"/>
    <x v="439"/>
    <n v="9"/>
    <x v="0"/>
    <n v="3"/>
    <n v="5"/>
    <n v="1"/>
    <s v="None"/>
    <s v="Somewhat Sensitive"/>
    <n v="2"/>
    <n v="7"/>
    <s v="Low"/>
    <s v="Smartphone"/>
    <s v="Debit Card"/>
    <d v="2024-02-10T00:00:00"/>
    <b v="1"/>
    <b v="0"/>
    <s v="Wants-based"/>
    <x v="1"/>
    <n v="5"/>
  </r>
  <r>
    <x v="441"/>
    <n v="25"/>
    <s v="Male"/>
    <x v="0"/>
    <x v="1"/>
    <x v="1"/>
    <x v="1"/>
    <s v="Villa Dolores"/>
    <s v="Luxury Goods"/>
    <x v="440"/>
    <n v="12"/>
    <x v="1"/>
    <n v="2"/>
    <n v="1"/>
    <n v="1"/>
    <s v="Low"/>
    <s v="Very Sensitive"/>
    <n v="2"/>
    <n v="4"/>
    <s v="Medium"/>
    <s v="Tablet"/>
    <s v="Debit Card"/>
    <d v="2024-08-31T00:00:00"/>
    <b v="1"/>
    <b v="1"/>
    <s v="Planned"/>
    <x v="0"/>
    <n v="9"/>
  </r>
  <r>
    <x v="442"/>
    <n v="44"/>
    <s v="Bigender"/>
    <x v="0"/>
    <x v="1"/>
    <x v="2"/>
    <x v="0"/>
    <s v="Poá"/>
    <s v="Beauty &amp; Personal Care"/>
    <x v="441"/>
    <n v="11"/>
    <x v="0"/>
    <n v="5"/>
    <n v="5"/>
    <n v="0"/>
    <s v="None"/>
    <s v="Very Sensitive"/>
    <n v="1"/>
    <n v="2"/>
    <s v="Medium"/>
    <s v="Smartphone"/>
    <s v="PayPal"/>
    <d v="2024-07-16T00:00:00"/>
    <b v="0"/>
    <b v="0"/>
    <s v="Wants-based"/>
    <x v="0"/>
    <n v="10"/>
  </r>
  <r>
    <x v="443"/>
    <n v="26"/>
    <s v="Male"/>
    <x v="0"/>
    <x v="3"/>
    <x v="0"/>
    <x v="0"/>
    <s v="Shibushi"/>
    <s v="Food &amp; Beverages"/>
    <x v="442"/>
    <n v="8"/>
    <x v="2"/>
    <n v="1"/>
    <n v="3"/>
    <n v="0"/>
    <s v="Medium"/>
    <s v="Somewhat Sensitive"/>
    <n v="0"/>
    <n v="8"/>
    <s v="Low"/>
    <s v="Desktop"/>
    <s v="Credit Card"/>
    <d v="2024-07-19T00:00:00"/>
    <b v="1"/>
    <b v="0"/>
    <s v="Impulsive"/>
    <x v="0"/>
    <n v="7"/>
  </r>
  <r>
    <x v="444"/>
    <n v="18"/>
    <s v="Female"/>
    <x v="1"/>
    <x v="1"/>
    <x v="1"/>
    <x v="0"/>
    <s v="Tilburg"/>
    <s v="Electronics"/>
    <x v="443"/>
    <n v="6"/>
    <x v="0"/>
    <n v="3"/>
    <n v="2"/>
    <n v="2"/>
    <s v="None"/>
    <s v="Very Sensitive"/>
    <n v="1"/>
    <n v="7"/>
    <s v="High"/>
    <s v="Tablet"/>
    <s v="Credit Card"/>
    <d v="2024-05-17T00:00:00"/>
    <b v="1"/>
    <b v="1"/>
    <s v="Planned"/>
    <x v="1"/>
    <n v="1"/>
  </r>
  <r>
    <x v="445"/>
    <n v="47"/>
    <s v="Female"/>
    <x v="0"/>
    <x v="0"/>
    <x v="0"/>
    <x v="1"/>
    <s v="Ugra"/>
    <s v="Baby Products"/>
    <x v="444"/>
    <n v="7"/>
    <x v="0"/>
    <n v="4"/>
    <n v="4"/>
    <n v="1"/>
    <s v="None"/>
    <s v="Not Sensitive"/>
    <n v="0"/>
    <n v="5"/>
    <s v="Medium"/>
    <s v="Tablet"/>
    <s v="Debit Card"/>
    <d v="2024-04-29T00:00:00"/>
    <b v="1"/>
    <b v="1"/>
    <s v="Need-based"/>
    <x v="0"/>
    <n v="4"/>
  </r>
  <r>
    <x v="446"/>
    <n v="36"/>
    <s v="Male"/>
    <x v="1"/>
    <x v="2"/>
    <x v="1"/>
    <x v="0"/>
    <s v="Montreuil"/>
    <s v="Travel &amp; Leisure (Flights"/>
    <x v="445"/>
    <n v="8"/>
    <x v="1"/>
    <n v="1"/>
    <n v="5"/>
    <n v="2"/>
    <s v="Low"/>
    <s v="Very Sensitive"/>
    <n v="2"/>
    <n v="3"/>
    <s v="High"/>
    <s v="Desktop"/>
    <s v="Other"/>
    <d v="2024-01-04T00:00:00"/>
    <b v="0"/>
    <b v="0"/>
    <s v="Need-based"/>
    <x v="1"/>
    <n v="9"/>
  </r>
  <r>
    <x v="447"/>
    <n v="23"/>
    <s v="Female"/>
    <x v="1"/>
    <x v="3"/>
    <x v="0"/>
    <x v="1"/>
    <s v="Garibaldi"/>
    <s v="Health Care"/>
    <x v="446"/>
    <n v="9"/>
    <x v="1"/>
    <n v="2"/>
    <n v="1"/>
    <n v="2"/>
    <s v="None"/>
    <s v="Very Sensitive"/>
    <n v="0"/>
    <n v="2"/>
    <s v="Medium"/>
    <s v="Desktop"/>
    <s v="PayPal"/>
    <d v="2024-11-07T00:00:00"/>
    <b v="0"/>
    <b v="0"/>
    <s v="Wants-based"/>
    <x v="0"/>
    <n v="5"/>
  </r>
  <r>
    <x v="448"/>
    <n v="49"/>
    <s v="Male"/>
    <x v="1"/>
    <x v="3"/>
    <x v="2"/>
    <x v="1"/>
    <s v="Tiang"/>
    <s v="Electronics"/>
    <x v="447"/>
    <n v="3"/>
    <x v="0"/>
    <n v="1"/>
    <n v="1"/>
    <n v="1"/>
    <s v="None"/>
    <s v="Somewhat Sensitive"/>
    <n v="1"/>
    <n v="9"/>
    <s v="High"/>
    <s v="Smartphone"/>
    <s v="Debit Card"/>
    <d v="2024-04-25T00:00:00"/>
    <b v="1"/>
    <b v="1"/>
    <s v="Need-based"/>
    <x v="1"/>
    <n v="9"/>
  </r>
  <r>
    <x v="449"/>
    <n v="27"/>
    <s v="Female"/>
    <x v="1"/>
    <x v="3"/>
    <x v="0"/>
    <x v="1"/>
    <s v="Mouquim"/>
    <s v="Groceries"/>
    <x v="448"/>
    <n v="12"/>
    <x v="1"/>
    <n v="1"/>
    <n v="5"/>
    <n v="1"/>
    <s v="High"/>
    <s v="Very Sensitive"/>
    <n v="1"/>
    <n v="8"/>
    <s v="None"/>
    <s v="Desktop"/>
    <s v="Cash"/>
    <d v="2024-10-03T00:00:00"/>
    <b v="1"/>
    <b v="0"/>
    <s v="Planned"/>
    <x v="0"/>
    <n v="1"/>
  </r>
  <r>
    <x v="450"/>
    <n v="43"/>
    <s v="Male"/>
    <x v="1"/>
    <x v="2"/>
    <x v="2"/>
    <x v="1"/>
    <s v="Montecristi"/>
    <s v="Beauty &amp; Personal Care"/>
    <x v="449"/>
    <n v="7"/>
    <x v="0"/>
    <n v="4"/>
    <n v="2"/>
    <n v="1"/>
    <s v="Medium"/>
    <s v="Very Sensitive"/>
    <n v="2"/>
    <n v="3"/>
    <s v="Medium"/>
    <s v="Tablet"/>
    <s v="Cash"/>
    <d v="2024-08-07T00:00:00"/>
    <b v="1"/>
    <b v="1"/>
    <s v="Need-based"/>
    <x v="2"/>
    <n v="2"/>
  </r>
  <r>
    <x v="451"/>
    <n v="19"/>
    <s v="Female"/>
    <x v="1"/>
    <x v="0"/>
    <x v="1"/>
    <x v="0"/>
    <s v="Prince Albert"/>
    <s v="Health Care"/>
    <x v="450"/>
    <n v="5"/>
    <x v="0"/>
    <n v="2"/>
    <n v="5"/>
    <n v="1"/>
    <s v="Low"/>
    <s v="Not Sensitive"/>
    <n v="2"/>
    <n v="8"/>
    <s v="High"/>
    <s v="Smartphone"/>
    <s v="PayPal"/>
    <d v="2024-04-11T00:00:00"/>
    <b v="0"/>
    <b v="1"/>
    <s v="Need-based"/>
    <x v="0"/>
    <n v="3"/>
  </r>
  <r>
    <x v="452"/>
    <n v="41"/>
    <s v="Female"/>
    <x v="0"/>
    <x v="0"/>
    <x v="2"/>
    <x v="1"/>
    <s v="Göteborg"/>
    <s v="Toys &amp; Games"/>
    <x v="451"/>
    <n v="10"/>
    <x v="2"/>
    <n v="4"/>
    <n v="2"/>
    <n v="1"/>
    <s v="High"/>
    <s v="Not Sensitive"/>
    <n v="2"/>
    <n v="7"/>
    <s v="Medium"/>
    <s v="Smartphone"/>
    <s v="Credit Card"/>
    <d v="2024-04-25T00:00:00"/>
    <b v="0"/>
    <b v="1"/>
    <s v="Wants-based"/>
    <x v="0"/>
    <n v="3"/>
  </r>
  <r>
    <x v="453"/>
    <n v="29"/>
    <s v="Female"/>
    <x v="0"/>
    <x v="1"/>
    <x v="1"/>
    <x v="0"/>
    <s v="Zaječov"/>
    <s v="Travel &amp; Leisure (Flights"/>
    <x v="452"/>
    <n v="10"/>
    <x v="1"/>
    <n v="4"/>
    <n v="2"/>
    <n v="2"/>
    <s v="None"/>
    <s v="Not Sensitive"/>
    <n v="2"/>
    <n v="2"/>
    <s v="None"/>
    <s v="Desktop"/>
    <s v="Cash"/>
    <d v="2024-04-28T00:00:00"/>
    <b v="0"/>
    <b v="0"/>
    <s v="Planned"/>
    <x v="0"/>
    <n v="4"/>
  </r>
  <r>
    <x v="454"/>
    <n v="25"/>
    <s v="Male"/>
    <x v="1"/>
    <x v="2"/>
    <x v="2"/>
    <x v="1"/>
    <s v="Liushun"/>
    <s v="Food &amp; Beverages"/>
    <x v="453"/>
    <n v="5"/>
    <x v="0"/>
    <n v="4"/>
    <n v="5"/>
    <n v="1"/>
    <s v="High"/>
    <s v="Somewhat Sensitive"/>
    <n v="1"/>
    <n v="1"/>
    <s v="Medium"/>
    <s v="Desktop"/>
    <s v="Debit Card"/>
    <d v="2024-09-09T00:00:00"/>
    <b v="0"/>
    <b v="0"/>
    <s v="Need-based"/>
    <x v="1"/>
    <n v="7"/>
  </r>
  <r>
    <x v="455"/>
    <n v="45"/>
    <s v="Male"/>
    <x v="1"/>
    <x v="2"/>
    <x v="0"/>
    <x v="0"/>
    <s v="Sancha"/>
    <s v="Baby Products"/>
    <x v="454"/>
    <n v="11"/>
    <x v="0"/>
    <n v="3"/>
    <n v="5"/>
    <n v="2"/>
    <s v="High"/>
    <s v="Not Sensitive"/>
    <n v="2"/>
    <n v="1"/>
    <s v="High"/>
    <s v="Smartphone"/>
    <s v="Credit Card"/>
    <d v="2024-05-08T00:00:00"/>
    <b v="1"/>
    <b v="0"/>
    <s v="Impulsive"/>
    <x v="2"/>
    <n v="11"/>
  </r>
  <r>
    <x v="456"/>
    <n v="36"/>
    <s v="Female"/>
    <x v="0"/>
    <x v="3"/>
    <x v="0"/>
    <x v="1"/>
    <s v="Damnoen Saduak"/>
    <s v="Beauty &amp; Personal Care"/>
    <x v="455"/>
    <n v="7"/>
    <x v="2"/>
    <n v="2"/>
    <n v="1"/>
    <n v="1"/>
    <s v="Medium"/>
    <s v="Very Sensitive"/>
    <n v="1"/>
    <n v="10"/>
    <s v="High"/>
    <s v="Desktop"/>
    <s v="PayPal"/>
    <d v="2024-06-09T00:00:00"/>
    <b v="0"/>
    <b v="1"/>
    <s v="Impulsive"/>
    <x v="2"/>
    <n v="11"/>
  </r>
  <r>
    <x v="457"/>
    <n v="21"/>
    <s v="Female"/>
    <x v="1"/>
    <x v="2"/>
    <x v="1"/>
    <x v="1"/>
    <s v="Cianorte"/>
    <s v="Electronics"/>
    <x v="456"/>
    <n v="8"/>
    <x v="2"/>
    <n v="4"/>
    <n v="2"/>
    <n v="1"/>
    <s v="Low"/>
    <s v="Very Sensitive"/>
    <n v="0"/>
    <n v="4"/>
    <s v="High"/>
    <s v="Desktop"/>
    <s v="Debit Card"/>
    <d v="2024-08-27T00:00:00"/>
    <b v="0"/>
    <b v="1"/>
    <s v="Need-based"/>
    <x v="0"/>
    <n v="6"/>
  </r>
  <r>
    <x v="458"/>
    <n v="47"/>
    <s v="Female"/>
    <x v="0"/>
    <x v="2"/>
    <x v="2"/>
    <x v="1"/>
    <s v="Liuzuo"/>
    <s v="Food &amp; Beverages"/>
    <x v="457"/>
    <n v="8"/>
    <x v="1"/>
    <n v="2"/>
    <n v="3"/>
    <n v="1"/>
    <s v="None"/>
    <s v="Somewhat Sensitive"/>
    <n v="2"/>
    <n v="3"/>
    <s v="None"/>
    <s v="Tablet"/>
    <s v="Credit Card"/>
    <d v="2024-04-01T00:00:00"/>
    <b v="1"/>
    <b v="0"/>
    <s v="Impulsive"/>
    <x v="2"/>
    <n v="10"/>
  </r>
  <r>
    <x v="459"/>
    <n v="26"/>
    <s v="Female"/>
    <x v="0"/>
    <x v="2"/>
    <x v="0"/>
    <x v="1"/>
    <s v="Pameungpeuk"/>
    <s v="Toys &amp; Games"/>
    <x v="458"/>
    <n v="9"/>
    <x v="2"/>
    <n v="3"/>
    <n v="3"/>
    <n v="1"/>
    <s v="None"/>
    <s v="Very Sensitive"/>
    <n v="1"/>
    <n v="7"/>
    <s v="None"/>
    <s v="Desktop"/>
    <s v="Credit Card"/>
    <d v="2024-08-29T00:00:00"/>
    <b v="0"/>
    <b v="1"/>
    <s v="Impulsive"/>
    <x v="2"/>
    <n v="12"/>
  </r>
  <r>
    <x v="460"/>
    <n v="25"/>
    <s v="Female"/>
    <x v="0"/>
    <x v="1"/>
    <x v="2"/>
    <x v="1"/>
    <s v="Kāshmar"/>
    <s v="Gardening &amp; Outdoors"/>
    <x v="370"/>
    <n v="6"/>
    <x v="2"/>
    <n v="4"/>
    <n v="3"/>
    <n v="2"/>
    <s v="Low"/>
    <s v="Somewhat Sensitive"/>
    <n v="2"/>
    <n v="9"/>
    <s v="High"/>
    <s v="Desktop"/>
    <s v="Cash"/>
    <d v="2024-09-18T00:00:00"/>
    <b v="1"/>
    <b v="1"/>
    <s v="Wants-based"/>
    <x v="2"/>
    <n v="6"/>
  </r>
  <r>
    <x v="461"/>
    <n v="26"/>
    <s v="Bigender"/>
    <x v="0"/>
    <x v="0"/>
    <x v="0"/>
    <x v="1"/>
    <s v="‘Arad"/>
    <s v="Groceries"/>
    <x v="459"/>
    <n v="9"/>
    <x v="1"/>
    <n v="2"/>
    <n v="4"/>
    <n v="0"/>
    <s v="Medium"/>
    <s v="Very Sensitive"/>
    <n v="1"/>
    <n v="4"/>
    <s v="High"/>
    <s v="Tablet"/>
    <s v="Other"/>
    <d v="2024-09-05T00:00:00"/>
    <b v="0"/>
    <b v="0"/>
    <s v="Need-based"/>
    <x v="0"/>
    <n v="7"/>
  </r>
  <r>
    <x v="462"/>
    <n v="34"/>
    <s v="Male"/>
    <x v="1"/>
    <x v="3"/>
    <x v="0"/>
    <x v="0"/>
    <s v="Lenart v Slov. Goricah"/>
    <s v="Clothing"/>
    <x v="460"/>
    <n v="9"/>
    <x v="0"/>
    <n v="5"/>
    <n v="4"/>
    <n v="0"/>
    <s v="Low"/>
    <s v="Somewhat Sensitive"/>
    <n v="2"/>
    <n v="3"/>
    <s v="High"/>
    <s v="Desktop"/>
    <s v="Cash"/>
    <d v="2024-08-06T00:00:00"/>
    <b v="0"/>
    <b v="1"/>
    <s v="Need-based"/>
    <x v="0"/>
    <n v="7"/>
  </r>
  <r>
    <x v="463"/>
    <n v="48"/>
    <s v="Male"/>
    <x v="1"/>
    <x v="3"/>
    <x v="2"/>
    <x v="0"/>
    <s v="Bigaa"/>
    <s v="Toys &amp; Games"/>
    <x v="461"/>
    <n v="2"/>
    <x v="1"/>
    <n v="2"/>
    <n v="5"/>
    <n v="0"/>
    <s v="Medium"/>
    <s v="Not Sensitive"/>
    <n v="2"/>
    <n v="9"/>
    <s v="High"/>
    <s v="Tablet"/>
    <s v="Credit Card"/>
    <d v="2024-06-18T00:00:00"/>
    <b v="1"/>
    <b v="0"/>
    <s v="Impulsive"/>
    <x v="0"/>
    <n v="6"/>
  </r>
  <r>
    <x v="464"/>
    <n v="19"/>
    <s v="Male"/>
    <x v="1"/>
    <x v="1"/>
    <x v="0"/>
    <x v="0"/>
    <s v="Guadalupe"/>
    <s v="Food &amp; Beverages"/>
    <x v="462"/>
    <n v="12"/>
    <x v="0"/>
    <n v="4"/>
    <n v="4"/>
    <n v="2"/>
    <s v="Medium"/>
    <s v="Somewhat Sensitive"/>
    <n v="1"/>
    <n v="5"/>
    <s v="Low"/>
    <s v="Desktop"/>
    <s v="Credit Card"/>
    <d v="2024-08-26T00:00:00"/>
    <b v="0"/>
    <b v="0"/>
    <s v="Need-based"/>
    <x v="0"/>
    <n v="4"/>
  </r>
  <r>
    <x v="465"/>
    <n v="37"/>
    <s v="Female"/>
    <x v="1"/>
    <x v="2"/>
    <x v="0"/>
    <x v="0"/>
    <s v="Xiaruyue"/>
    <s v="Groceries"/>
    <x v="463"/>
    <n v="8"/>
    <x v="1"/>
    <n v="5"/>
    <n v="2"/>
    <n v="0"/>
    <s v="Medium"/>
    <s v="Very Sensitive"/>
    <n v="2"/>
    <n v="4"/>
    <s v="Low"/>
    <s v="Tablet"/>
    <s v="Debit Card"/>
    <d v="2024-04-24T00:00:00"/>
    <b v="1"/>
    <b v="1"/>
    <s v="Wants-based"/>
    <x v="2"/>
    <n v="1"/>
  </r>
  <r>
    <x v="466"/>
    <n v="23"/>
    <s v="Female"/>
    <x v="1"/>
    <x v="2"/>
    <x v="0"/>
    <x v="0"/>
    <s v="Gweedore"/>
    <s v="Gardening &amp; Outdoors"/>
    <x v="464"/>
    <n v="8"/>
    <x v="0"/>
    <n v="3"/>
    <n v="5"/>
    <n v="0"/>
    <s v="None"/>
    <s v="Somewhat Sensitive"/>
    <n v="2"/>
    <n v="1"/>
    <s v="Low"/>
    <s v="Tablet"/>
    <s v="Credit Card"/>
    <d v="2024-08-08T00:00:00"/>
    <b v="1"/>
    <b v="1"/>
    <s v="Wants-based"/>
    <x v="0"/>
    <n v="12"/>
  </r>
  <r>
    <x v="467"/>
    <n v="34"/>
    <s v="Female"/>
    <x v="1"/>
    <x v="2"/>
    <x v="2"/>
    <x v="1"/>
    <s v="Przelewice"/>
    <s v="Health Care"/>
    <x v="465"/>
    <n v="11"/>
    <x v="1"/>
    <n v="3"/>
    <n v="5"/>
    <n v="1"/>
    <s v="High"/>
    <s v="Not Sensitive"/>
    <n v="0"/>
    <n v="2"/>
    <s v="None"/>
    <s v="Desktop"/>
    <s v="Cash"/>
    <d v="2024-09-05T00:00:00"/>
    <b v="0"/>
    <b v="0"/>
    <s v="Impulsive"/>
    <x v="1"/>
    <n v="8"/>
  </r>
  <r>
    <x v="468"/>
    <n v="42"/>
    <s v="Male"/>
    <x v="1"/>
    <x v="1"/>
    <x v="0"/>
    <x v="0"/>
    <s v="Dalumangcob"/>
    <s v="Gardening &amp; Outdoors"/>
    <x v="466"/>
    <n v="6"/>
    <x v="1"/>
    <n v="1"/>
    <n v="1"/>
    <n v="0"/>
    <s v="Medium"/>
    <s v="Very Sensitive"/>
    <n v="2"/>
    <n v="5"/>
    <s v="Low"/>
    <s v="Smartphone"/>
    <s v="Other"/>
    <d v="2024-04-16T00:00:00"/>
    <b v="1"/>
    <b v="0"/>
    <s v="Planned"/>
    <x v="2"/>
    <n v="8"/>
  </r>
  <r>
    <x v="469"/>
    <n v="28"/>
    <s v="Female"/>
    <x v="1"/>
    <x v="2"/>
    <x v="2"/>
    <x v="0"/>
    <s v="Cravo Norte"/>
    <s v="Arts &amp; Crafts"/>
    <x v="467"/>
    <n v="8"/>
    <x v="2"/>
    <n v="2"/>
    <n v="2"/>
    <n v="2"/>
    <s v="Low"/>
    <s v="Very Sensitive"/>
    <n v="1"/>
    <n v="2"/>
    <s v="Low"/>
    <s v="Smartphone"/>
    <s v="Credit Card"/>
    <d v="2024-07-17T00:00:00"/>
    <b v="1"/>
    <b v="1"/>
    <s v="Need-based"/>
    <x v="0"/>
    <n v="6"/>
  </r>
  <r>
    <x v="470"/>
    <n v="28"/>
    <s v="Male"/>
    <x v="1"/>
    <x v="3"/>
    <x v="2"/>
    <x v="0"/>
    <s v="Montería"/>
    <s v="Furniture"/>
    <x v="468"/>
    <n v="11"/>
    <x v="2"/>
    <n v="5"/>
    <n v="2"/>
    <n v="2"/>
    <s v="None"/>
    <s v="Not Sensitive"/>
    <n v="2"/>
    <n v="3"/>
    <s v="None"/>
    <s v="Smartphone"/>
    <s v="Credit Card"/>
    <d v="2024-03-18T00:00:00"/>
    <b v="1"/>
    <b v="1"/>
    <s v="Wants-based"/>
    <x v="2"/>
    <n v="10"/>
  </r>
  <r>
    <x v="471"/>
    <n v="33"/>
    <s v="Male"/>
    <x v="0"/>
    <x v="1"/>
    <x v="1"/>
    <x v="1"/>
    <s v="Mikun’"/>
    <s v="Food &amp; Beverages"/>
    <x v="469"/>
    <n v="5"/>
    <x v="2"/>
    <n v="5"/>
    <n v="4"/>
    <n v="1"/>
    <s v="Medium"/>
    <s v="Not Sensitive"/>
    <n v="0"/>
    <n v="6"/>
    <s v="None"/>
    <s v="Tablet"/>
    <s v="Cash"/>
    <d v="2024-07-18T00:00:00"/>
    <b v="0"/>
    <b v="1"/>
    <s v="Impulsive"/>
    <x v="0"/>
    <n v="6"/>
  </r>
  <r>
    <x v="472"/>
    <n v="31"/>
    <s v="Female"/>
    <x v="0"/>
    <x v="1"/>
    <x v="2"/>
    <x v="1"/>
    <s v="Samamiya"/>
    <s v="Hotels"/>
    <x v="470"/>
    <n v="4"/>
    <x v="2"/>
    <n v="5"/>
    <n v="2"/>
    <n v="0.3"/>
    <s v="Low"/>
    <s v="Not Sensitive"/>
    <n v="2"/>
    <n v="9"/>
    <s v="High"/>
    <s v="Tablet"/>
    <s v="PayPal"/>
    <d v="2024-05-31T00:00:00"/>
    <b v="0"/>
    <b v="1"/>
    <s v="Wants-based"/>
    <x v="2"/>
    <n v="5"/>
  </r>
  <r>
    <x v="473"/>
    <n v="20"/>
    <s v="Female"/>
    <x v="0"/>
    <x v="2"/>
    <x v="0"/>
    <x v="1"/>
    <s v="Tanahmerah"/>
    <s v="Jewelry &amp; Accessories"/>
    <x v="471"/>
    <n v="2"/>
    <x v="2"/>
    <n v="3"/>
    <n v="5"/>
    <n v="0.2"/>
    <s v="High"/>
    <s v="Somewhat Sensitive"/>
    <n v="1"/>
    <n v="2"/>
    <s v="Medium"/>
    <s v="Smartphone"/>
    <s v="Other"/>
    <d v="2024-01-21T00:00:00"/>
    <b v="1"/>
    <b v="0"/>
    <s v="Wants-based"/>
    <x v="0"/>
    <n v="9"/>
  </r>
  <r>
    <x v="474"/>
    <n v="32"/>
    <s v="Male"/>
    <x v="1"/>
    <x v="3"/>
    <x v="1"/>
    <x v="1"/>
    <s v="Örebro"/>
    <s v="Food &amp; Beverages"/>
    <x v="472"/>
    <n v="4"/>
    <x v="1"/>
    <n v="1"/>
    <n v="3"/>
    <n v="0"/>
    <s v="High"/>
    <s v="Somewhat Sensitive"/>
    <n v="0"/>
    <n v="4"/>
    <s v="Medium"/>
    <s v="Desktop"/>
    <s v="Debit Card"/>
    <d v="2024-06-15T00:00:00"/>
    <b v="0"/>
    <b v="1"/>
    <s v="Wants-based"/>
    <x v="1"/>
    <n v="12"/>
  </r>
  <r>
    <x v="475"/>
    <n v="27"/>
    <s v="Female"/>
    <x v="0"/>
    <x v="1"/>
    <x v="0"/>
    <x v="1"/>
    <s v="Kefar Yona"/>
    <s v="Jewelry &amp; Accessories"/>
    <x v="473"/>
    <n v="3"/>
    <x v="1"/>
    <n v="4"/>
    <n v="5"/>
    <n v="1"/>
    <s v="Low"/>
    <s v="Not Sensitive"/>
    <n v="1"/>
    <n v="6"/>
    <s v="High"/>
    <s v="Smartphone"/>
    <s v="Cash"/>
    <d v="2024-04-19T00:00:00"/>
    <b v="1"/>
    <b v="1"/>
    <s v="Wants-based"/>
    <x v="1"/>
    <n v="11"/>
  </r>
  <r>
    <x v="476"/>
    <n v="19"/>
    <s v="Female"/>
    <x v="0"/>
    <x v="2"/>
    <x v="0"/>
    <x v="0"/>
    <s v="Pasto"/>
    <s v="Sports &amp; Outdoors"/>
    <x v="474"/>
    <n v="10"/>
    <x v="1"/>
    <n v="5"/>
    <n v="1"/>
    <n v="2"/>
    <s v="Low"/>
    <s v="Somewhat Sensitive"/>
    <n v="1"/>
    <n v="3"/>
    <s v="Low"/>
    <s v="Tablet"/>
    <s v="Debit Card"/>
    <d v="2024-09-12T00:00:00"/>
    <b v="1"/>
    <b v="1"/>
    <s v="Planned"/>
    <x v="0"/>
    <n v="8"/>
  </r>
  <r>
    <x v="477"/>
    <n v="50"/>
    <s v="Male"/>
    <x v="0"/>
    <x v="1"/>
    <x v="1"/>
    <x v="0"/>
    <s v="Huangtan"/>
    <s v="Beauty &amp; Personal Care"/>
    <x v="475"/>
    <n v="11"/>
    <x v="2"/>
    <n v="5"/>
    <n v="4"/>
    <n v="1"/>
    <s v="High"/>
    <s v="Somewhat Sensitive"/>
    <n v="1"/>
    <n v="5"/>
    <s v="High"/>
    <s v="Desktop"/>
    <s v="PayPal"/>
    <d v="2024-09-04T00:00:00"/>
    <b v="0"/>
    <b v="1"/>
    <s v="Planned"/>
    <x v="2"/>
    <n v="8"/>
  </r>
  <r>
    <x v="478"/>
    <n v="40"/>
    <s v="Polygender"/>
    <x v="1"/>
    <x v="0"/>
    <x v="0"/>
    <x v="0"/>
    <s v="Il’inskiy"/>
    <s v="Packages)"/>
    <x v="476"/>
    <n v="10"/>
    <x v="1"/>
    <n v="5"/>
    <n v="5"/>
    <n v="0.2"/>
    <s v="High"/>
    <s v="Somewhat Sensitive"/>
    <n v="1"/>
    <n v="1"/>
    <s v="Medium"/>
    <s v="Desktop"/>
    <s v="Other"/>
    <d v="2024-04-28T00:00:00"/>
    <b v="1"/>
    <b v="1"/>
    <s v="Wants-based"/>
    <x v="0"/>
    <n v="8"/>
  </r>
  <r>
    <x v="479"/>
    <n v="20"/>
    <s v="Male"/>
    <x v="1"/>
    <x v="0"/>
    <x v="0"/>
    <x v="1"/>
    <s v="Ugljevik"/>
    <s v="Sports &amp; Outdoors"/>
    <x v="477"/>
    <n v="8"/>
    <x v="2"/>
    <n v="3"/>
    <n v="4"/>
    <n v="0.3"/>
    <s v="None"/>
    <s v="Somewhat Sensitive"/>
    <n v="1"/>
    <n v="8"/>
    <s v="High"/>
    <s v="Smartphone"/>
    <s v="PayPal"/>
    <d v="2024-12-08T00:00:00"/>
    <b v="0"/>
    <b v="1"/>
    <s v="Wants-based"/>
    <x v="1"/>
    <n v="6"/>
  </r>
  <r>
    <x v="480"/>
    <n v="24"/>
    <s v="Female"/>
    <x v="0"/>
    <x v="0"/>
    <x v="2"/>
    <x v="0"/>
    <s v="Na Chaluai"/>
    <s v="Luxury Goods"/>
    <x v="478"/>
    <n v="12"/>
    <x v="2"/>
    <n v="3"/>
    <n v="3"/>
    <n v="2"/>
    <s v="Medium"/>
    <s v="Very Sensitive"/>
    <n v="0"/>
    <n v="9"/>
    <s v="High"/>
    <s v="Smartphone"/>
    <s v="Other"/>
    <d v="2024-11-05T00:00:00"/>
    <b v="1"/>
    <b v="0"/>
    <s v="Need-based"/>
    <x v="2"/>
    <n v="7"/>
  </r>
  <r>
    <x v="481"/>
    <n v="46"/>
    <s v="Male"/>
    <x v="0"/>
    <x v="1"/>
    <x v="1"/>
    <x v="0"/>
    <s v="Marolambo"/>
    <s v="Beauty &amp; Personal Care"/>
    <x v="479"/>
    <n v="6"/>
    <x v="0"/>
    <n v="2"/>
    <n v="3"/>
    <n v="2"/>
    <s v="Medium"/>
    <s v="Somewhat Sensitive"/>
    <n v="1"/>
    <n v="7"/>
    <s v="Low"/>
    <s v="Tablet"/>
    <s v="Other"/>
    <d v="2024-02-13T00:00:00"/>
    <b v="0"/>
    <b v="1"/>
    <s v="Impulsive"/>
    <x v="1"/>
    <n v="14"/>
  </r>
  <r>
    <x v="482"/>
    <n v="50"/>
    <s v="Male"/>
    <x v="1"/>
    <x v="0"/>
    <x v="2"/>
    <x v="1"/>
    <s v="Wiwilí"/>
    <s v="Health Supplements"/>
    <x v="480"/>
    <n v="3"/>
    <x v="0"/>
    <n v="1"/>
    <n v="1"/>
    <n v="1"/>
    <s v="Medium"/>
    <s v="Very Sensitive"/>
    <n v="0"/>
    <n v="10"/>
    <s v="Medium"/>
    <s v="Desktop"/>
    <s v="Other"/>
    <d v="2024-01-25T00:00:00"/>
    <b v="1"/>
    <b v="1"/>
    <s v="Wants-based"/>
    <x v="2"/>
    <n v="9"/>
  </r>
  <r>
    <x v="483"/>
    <n v="29"/>
    <s v="Female"/>
    <x v="1"/>
    <x v="1"/>
    <x v="0"/>
    <x v="0"/>
    <s v="Cali"/>
    <s v="Groceries"/>
    <x v="481"/>
    <n v="5"/>
    <x v="0"/>
    <n v="3"/>
    <n v="1"/>
    <n v="0"/>
    <s v="Medium"/>
    <s v="Very Sensitive"/>
    <n v="2"/>
    <n v="6"/>
    <s v="Low"/>
    <s v="Tablet"/>
    <s v="PayPal"/>
    <d v="2024-08-22T00:00:00"/>
    <b v="0"/>
    <b v="1"/>
    <s v="Wants-based"/>
    <x v="0"/>
    <n v="11"/>
  </r>
  <r>
    <x v="484"/>
    <n v="34"/>
    <s v="Genderfluid"/>
    <x v="1"/>
    <x v="3"/>
    <x v="0"/>
    <x v="1"/>
    <s v="Tamana"/>
    <s v="Electronics"/>
    <x v="482"/>
    <n v="3"/>
    <x v="2"/>
    <n v="3"/>
    <n v="4"/>
    <n v="2"/>
    <s v="Medium"/>
    <s v="Very Sensitive"/>
    <n v="2"/>
    <n v="3"/>
    <s v="None"/>
    <s v="Tablet"/>
    <s v="Cash"/>
    <d v="2024-11-14T00:00:00"/>
    <b v="0"/>
    <b v="1"/>
    <s v="Impulsive"/>
    <x v="1"/>
    <n v="8"/>
  </r>
  <r>
    <x v="485"/>
    <n v="44"/>
    <s v="Female"/>
    <x v="1"/>
    <x v="2"/>
    <x v="0"/>
    <x v="1"/>
    <s v="Miyazu"/>
    <s v="Jewelry &amp; Accessories"/>
    <x v="483"/>
    <n v="7"/>
    <x v="2"/>
    <n v="2"/>
    <n v="1"/>
    <n v="2"/>
    <s v="None"/>
    <s v="Very Sensitive"/>
    <n v="0"/>
    <n v="9"/>
    <s v="Low"/>
    <s v="Smartphone"/>
    <s v="PayPal"/>
    <d v="2024-11-10T00:00:00"/>
    <b v="0"/>
    <b v="1"/>
    <s v="Impulsive"/>
    <x v="1"/>
    <n v="8"/>
  </r>
  <r>
    <x v="486"/>
    <n v="38"/>
    <s v="Genderqueer"/>
    <x v="0"/>
    <x v="0"/>
    <x v="2"/>
    <x v="1"/>
    <s v="Gryfów Śląski"/>
    <s v="Groceries"/>
    <x v="484"/>
    <n v="4"/>
    <x v="2"/>
    <n v="2"/>
    <n v="2"/>
    <n v="0"/>
    <s v="None"/>
    <s v="Somewhat Sensitive"/>
    <n v="1"/>
    <n v="9"/>
    <s v="None"/>
    <s v="Smartphone"/>
    <s v="Other"/>
    <d v="2024-10-03T00:00:00"/>
    <b v="0"/>
    <b v="0"/>
    <s v="Wants-based"/>
    <x v="1"/>
    <n v="1"/>
  </r>
  <r>
    <x v="487"/>
    <n v="22"/>
    <s v="Genderfluid"/>
    <x v="1"/>
    <x v="2"/>
    <x v="1"/>
    <x v="0"/>
    <s v="Pinagsibaan"/>
    <s v="Baby Products"/>
    <x v="485"/>
    <n v="11"/>
    <x v="2"/>
    <n v="4"/>
    <n v="2"/>
    <n v="1"/>
    <s v="Low"/>
    <s v="Very Sensitive"/>
    <n v="0"/>
    <n v="3"/>
    <s v="High"/>
    <s v="Tablet"/>
    <s v="Credit Card"/>
    <d v="2024-08-30T00:00:00"/>
    <b v="1"/>
    <b v="1"/>
    <s v="Planned"/>
    <x v="1"/>
    <n v="4"/>
  </r>
  <r>
    <x v="488"/>
    <n v="44"/>
    <s v="Male"/>
    <x v="1"/>
    <x v="1"/>
    <x v="2"/>
    <x v="1"/>
    <s v="Jardin"/>
    <s v="Home Appliances"/>
    <x v="486"/>
    <n v="9"/>
    <x v="2"/>
    <n v="4"/>
    <n v="4"/>
    <n v="1"/>
    <s v="None"/>
    <s v="Somewhat Sensitive"/>
    <n v="2"/>
    <n v="5"/>
    <s v="Medium"/>
    <s v="Desktop"/>
    <s v="Other"/>
    <d v="2024-10-09T00:00:00"/>
    <b v="0"/>
    <b v="1"/>
    <s v="Planned"/>
    <x v="0"/>
    <n v="1"/>
  </r>
  <r>
    <x v="489"/>
    <n v="43"/>
    <s v="Female"/>
    <x v="1"/>
    <x v="3"/>
    <x v="2"/>
    <x v="0"/>
    <s v="Aguilares"/>
    <s v="Jewelry &amp; Accessories"/>
    <x v="487"/>
    <n v="2"/>
    <x v="0"/>
    <n v="5"/>
    <n v="1"/>
    <n v="1"/>
    <s v="High"/>
    <s v="Not Sensitive"/>
    <n v="1"/>
    <n v="3"/>
    <s v="Low"/>
    <s v="Smartphone"/>
    <s v="PayPal"/>
    <d v="2024-11-02T00:00:00"/>
    <b v="1"/>
    <b v="0"/>
    <s v="Wants-based"/>
    <x v="2"/>
    <n v="10"/>
  </r>
  <r>
    <x v="490"/>
    <n v="25"/>
    <s v="Male"/>
    <x v="0"/>
    <x v="3"/>
    <x v="2"/>
    <x v="1"/>
    <s v="Muslyumovo"/>
    <s v="Animal Feed"/>
    <x v="488"/>
    <n v="6"/>
    <x v="0"/>
    <n v="1"/>
    <n v="2"/>
    <n v="1"/>
    <s v="Low"/>
    <s v="Very Sensitive"/>
    <n v="1"/>
    <n v="5"/>
    <s v="Low"/>
    <s v="Smartphone"/>
    <s v="PayPal"/>
    <d v="2024-07-02T00:00:00"/>
    <b v="1"/>
    <b v="1"/>
    <s v="Wants-based"/>
    <x v="2"/>
    <n v="7"/>
  </r>
  <r>
    <x v="491"/>
    <n v="21"/>
    <s v="Female"/>
    <x v="0"/>
    <x v="3"/>
    <x v="2"/>
    <x v="1"/>
    <s v="Taiyuan"/>
    <s v="Mobile Accessories"/>
    <x v="489"/>
    <n v="4"/>
    <x v="2"/>
    <n v="3"/>
    <n v="2"/>
    <n v="1"/>
    <s v="High"/>
    <s v="Very Sensitive"/>
    <n v="0"/>
    <n v="4"/>
    <s v="High"/>
    <s v="Desktop"/>
    <s v="Cash"/>
    <d v="2024-10-08T00:00:00"/>
    <b v="0"/>
    <b v="0"/>
    <s v="Wants-based"/>
    <x v="1"/>
    <n v="1"/>
  </r>
  <r>
    <x v="492"/>
    <n v="29"/>
    <s v="Female"/>
    <x v="0"/>
    <x v="0"/>
    <x v="1"/>
    <x v="1"/>
    <s v="Chatturat"/>
    <s v="Baby Products"/>
    <x v="490"/>
    <n v="10"/>
    <x v="2"/>
    <n v="5"/>
    <n v="3"/>
    <n v="0"/>
    <s v="Medium"/>
    <s v="Very Sensitive"/>
    <n v="1"/>
    <n v="4"/>
    <s v="Low"/>
    <s v="Desktop"/>
    <s v="Credit Card"/>
    <d v="2024-06-04T00:00:00"/>
    <b v="0"/>
    <b v="0"/>
    <s v="Wants-based"/>
    <x v="1"/>
    <n v="4"/>
  </r>
  <r>
    <x v="493"/>
    <n v="41"/>
    <s v="Male"/>
    <x v="1"/>
    <x v="3"/>
    <x v="2"/>
    <x v="1"/>
    <s v="Paisha"/>
    <s v="Toys &amp; Games"/>
    <x v="491"/>
    <n v="7"/>
    <x v="0"/>
    <n v="3"/>
    <n v="4"/>
    <n v="1"/>
    <s v="None"/>
    <s v="Somewhat Sensitive"/>
    <n v="1"/>
    <n v="9"/>
    <s v="High"/>
    <s v="Desktop"/>
    <s v="Credit Card"/>
    <d v="2024-08-13T00:00:00"/>
    <b v="1"/>
    <b v="1"/>
    <s v="Need-based"/>
    <x v="0"/>
    <n v="9"/>
  </r>
  <r>
    <x v="494"/>
    <n v="38"/>
    <s v="Genderfluid"/>
    <x v="1"/>
    <x v="3"/>
    <x v="2"/>
    <x v="1"/>
    <s v="Kadugadung"/>
    <s v="Travel &amp; Leisure (Flights"/>
    <x v="492"/>
    <n v="10"/>
    <x v="2"/>
    <n v="2"/>
    <n v="3"/>
    <n v="0"/>
    <s v="Medium"/>
    <s v="Not Sensitive"/>
    <n v="1"/>
    <n v="6"/>
    <s v="High"/>
    <s v="Desktop"/>
    <s v="PayPal"/>
    <d v="2024-03-27T00:00:00"/>
    <b v="0"/>
    <b v="0"/>
    <s v="Need-based"/>
    <x v="2"/>
    <n v="8"/>
  </r>
  <r>
    <x v="495"/>
    <n v="26"/>
    <s v="Male"/>
    <x v="1"/>
    <x v="2"/>
    <x v="0"/>
    <x v="1"/>
    <s v="Paris 15"/>
    <s v="Luxury Goods"/>
    <x v="493"/>
    <n v="12"/>
    <x v="0"/>
    <n v="5"/>
    <n v="1"/>
    <n v="1"/>
    <s v="Medium"/>
    <s v="Somewhat Sensitive"/>
    <n v="1"/>
    <n v="8"/>
    <s v="High"/>
    <s v="Desktop"/>
    <s v="PayPal"/>
    <d v="2024-01-06T00:00:00"/>
    <b v="0"/>
    <b v="1"/>
    <s v="Planned"/>
    <x v="1"/>
    <n v="1"/>
  </r>
  <r>
    <x v="496"/>
    <n v="41"/>
    <s v="Female"/>
    <x v="0"/>
    <x v="2"/>
    <x v="2"/>
    <x v="0"/>
    <s v="Dualing"/>
    <s v="Toys &amp; Games"/>
    <x v="494"/>
    <n v="2"/>
    <x v="1"/>
    <n v="3"/>
    <n v="3"/>
    <n v="2"/>
    <s v="Medium"/>
    <s v="Very Sensitive"/>
    <n v="2"/>
    <n v="1"/>
    <s v="Low"/>
    <s v="Tablet"/>
    <s v="PayPal"/>
    <d v="2024-08-26T00:00:00"/>
    <b v="1"/>
    <b v="0"/>
    <s v="Impulsive"/>
    <x v="0"/>
    <n v="6"/>
  </r>
  <r>
    <x v="497"/>
    <n v="46"/>
    <s v="Female"/>
    <x v="1"/>
    <x v="1"/>
    <x v="0"/>
    <x v="1"/>
    <s v="Adelaide"/>
    <s v="Sports &amp; Outdoors"/>
    <x v="495"/>
    <n v="11"/>
    <x v="0"/>
    <n v="4"/>
    <n v="3"/>
    <n v="0"/>
    <s v="High"/>
    <s v="Very Sensitive"/>
    <n v="0"/>
    <n v="6"/>
    <s v="None"/>
    <s v="Tablet"/>
    <s v="PayPal"/>
    <d v="2024-05-20T00:00:00"/>
    <b v="0"/>
    <b v="0"/>
    <s v="Impulsive"/>
    <x v="0"/>
    <n v="11"/>
  </r>
  <r>
    <x v="498"/>
    <n v="39"/>
    <s v="Genderqueer"/>
    <x v="1"/>
    <x v="2"/>
    <x v="0"/>
    <x v="0"/>
    <s v="Pingshi"/>
    <s v="Gardening &amp; Outdoors"/>
    <x v="496"/>
    <n v="5"/>
    <x v="0"/>
    <n v="1"/>
    <n v="1"/>
    <n v="1"/>
    <s v="Medium"/>
    <s v="Very Sensitive"/>
    <n v="2"/>
    <n v="6"/>
    <s v="None"/>
    <s v="Smartphone"/>
    <s v="PayPal"/>
    <d v="2024-07-19T00:00:00"/>
    <b v="1"/>
    <b v="0"/>
    <s v="Planned"/>
    <x v="2"/>
    <n v="10"/>
  </r>
  <r>
    <x v="499"/>
    <n v="43"/>
    <s v="Male"/>
    <x v="0"/>
    <x v="3"/>
    <x v="0"/>
    <x v="0"/>
    <s v="Renshan"/>
    <s v="Electronics"/>
    <x v="497"/>
    <n v="11"/>
    <x v="0"/>
    <n v="4"/>
    <n v="3"/>
    <n v="2"/>
    <s v="Low"/>
    <s v="Not Sensitive"/>
    <n v="1"/>
    <n v="7"/>
    <s v="None"/>
    <s v="Tablet"/>
    <s v="Other"/>
    <d v="2024-12-08T00:00:00"/>
    <b v="0"/>
    <b v="1"/>
    <s v="Wants-based"/>
    <x v="2"/>
    <n v="8"/>
  </r>
  <r>
    <x v="500"/>
    <n v="44"/>
    <s v="Genderfluid"/>
    <x v="0"/>
    <x v="0"/>
    <x v="0"/>
    <x v="0"/>
    <s v="Sobinka"/>
    <s v="Clothing"/>
    <x v="498"/>
    <n v="10"/>
    <x v="0"/>
    <n v="1"/>
    <n v="1"/>
    <n v="0"/>
    <s v="Low"/>
    <s v="Somewhat Sensitive"/>
    <n v="2"/>
    <n v="7"/>
    <s v="None"/>
    <s v="Desktop"/>
    <s v="PayPal"/>
    <d v="2024-05-28T00:00:00"/>
    <b v="0"/>
    <b v="0"/>
    <s v="Planned"/>
    <x v="1"/>
    <n v="1"/>
  </r>
  <r>
    <x v="501"/>
    <n v="26"/>
    <s v="Male"/>
    <x v="0"/>
    <x v="2"/>
    <x v="0"/>
    <x v="0"/>
    <s v="Narol"/>
    <s v="Beauty &amp; Personal Care"/>
    <x v="499"/>
    <n v="5"/>
    <x v="1"/>
    <n v="5"/>
    <n v="2"/>
    <n v="0"/>
    <s v="Medium"/>
    <s v="Not Sensitive"/>
    <n v="0"/>
    <n v="4"/>
    <s v="Medium"/>
    <s v="Desktop"/>
    <s v="Cash"/>
    <d v="2024-05-26T00:00:00"/>
    <b v="1"/>
    <b v="0"/>
    <s v="Need-based"/>
    <x v="0"/>
    <n v="4"/>
  </r>
  <r>
    <x v="502"/>
    <n v="29"/>
    <s v="Male"/>
    <x v="0"/>
    <x v="2"/>
    <x v="2"/>
    <x v="1"/>
    <s v="Fresno"/>
    <s v="Office Supplies"/>
    <x v="500"/>
    <n v="8"/>
    <x v="2"/>
    <n v="4"/>
    <n v="5"/>
    <n v="1"/>
    <s v="High"/>
    <s v="Not Sensitive"/>
    <n v="0"/>
    <n v="6"/>
    <s v="None"/>
    <s v="Tablet"/>
    <s v="Credit Card"/>
    <d v="2024-06-06T00:00:00"/>
    <b v="0"/>
    <b v="0"/>
    <s v="Wants-based"/>
    <x v="1"/>
    <n v="11"/>
  </r>
  <r>
    <x v="503"/>
    <n v="50"/>
    <s v="Male"/>
    <x v="1"/>
    <x v="2"/>
    <x v="1"/>
    <x v="1"/>
    <s v="Vabalninkas"/>
    <s v="Mobile Accessories"/>
    <x v="501"/>
    <n v="2"/>
    <x v="1"/>
    <n v="2"/>
    <n v="4"/>
    <n v="0"/>
    <s v="None"/>
    <s v="Somewhat Sensitive"/>
    <n v="2"/>
    <n v="2"/>
    <s v="Medium"/>
    <s v="Smartphone"/>
    <s v="Cash"/>
    <d v="2024-02-27T00:00:00"/>
    <b v="0"/>
    <b v="1"/>
    <s v="Impulsive"/>
    <x v="2"/>
    <n v="13"/>
  </r>
  <r>
    <x v="504"/>
    <n v="19"/>
    <s v="Female"/>
    <x v="1"/>
    <x v="3"/>
    <x v="2"/>
    <x v="0"/>
    <s v="Jambuwerkrajan"/>
    <s v="Toys &amp; Games"/>
    <x v="502"/>
    <n v="3"/>
    <x v="2"/>
    <n v="4"/>
    <n v="2"/>
    <n v="2"/>
    <s v="Low"/>
    <s v="Very Sensitive"/>
    <n v="0"/>
    <n v="9"/>
    <s v="Medium"/>
    <s v="Smartphone"/>
    <s v="Credit Card"/>
    <d v="2024-07-17T00:00:00"/>
    <b v="1"/>
    <b v="1"/>
    <s v="Impulsive"/>
    <x v="1"/>
    <n v="4"/>
  </r>
  <r>
    <x v="505"/>
    <n v="27"/>
    <s v="Male"/>
    <x v="1"/>
    <x v="2"/>
    <x v="1"/>
    <x v="0"/>
    <s v="Ozubulu"/>
    <s v="Health Supplements"/>
    <x v="503"/>
    <n v="10"/>
    <x v="1"/>
    <n v="2"/>
    <n v="3"/>
    <n v="1"/>
    <s v="High"/>
    <s v="Very Sensitive"/>
    <n v="2"/>
    <n v="2"/>
    <s v="Medium"/>
    <s v="Desktop"/>
    <s v="Other"/>
    <d v="2024-07-08T00:00:00"/>
    <b v="0"/>
    <b v="1"/>
    <s v="Wants-based"/>
    <x v="1"/>
    <n v="8"/>
  </r>
  <r>
    <x v="506"/>
    <n v="34"/>
    <s v="Female"/>
    <x v="1"/>
    <x v="0"/>
    <x v="1"/>
    <x v="1"/>
    <s v="Nakhchivan"/>
    <s v="Arts &amp; Crafts"/>
    <x v="504"/>
    <n v="7"/>
    <x v="1"/>
    <n v="3"/>
    <n v="4"/>
    <n v="0"/>
    <s v="High"/>
    <s v="Very Sensitive"/>
    <n v="2"/>
    <n v="3"/>
    <s v="High"/>
    <s v="Desktop"/>
    <s v="Debit Card"/>
    <d v="2024-06-19T00:00:00"/>
    <b v="0"/>
    <b v="1"/>
    <s v="Wants-based"/>
    <x v="2"/>
    <n v="1"/>
  </r>
  <r>
    <x v="507"/>
    <n v="39"/>
    <s v="Male"/>
    <x v="1"/>
    <x v="3"/>
    <x v="0"/>
    <x v="0"/>
    <s v="Curumaní"/>
    <s v="Packages)"/>
    <x v="505"/>
    <n v="6"/>
    <x v="1"/>
    <n v="3"/>
    <n v="2"/>
    <n v="1"/>
    <s v="None"/>
    <s v="Very Sensitive"/>
    <n v="0"/>
    <n v="4"/>
    <s v="None"/>
    <s v="Desktop"/>
    <s v="Credit Card"/>
    <d v="2024-05-17T00:00:00"/>
    <b v="0"/>
    <b v="1"/>
    <s v="Impulsive"/>
    <x v="0"/>
    <n v="11"/>
  </r>
  <r>
    <x v="508"/>
    <n v="44"/>
    <s v="Male"/>
    <x v="1"/>
    <x v="3"/>
    <x v="2"/>
    <x v="1"/>
    <s v="Praia"/>
    <s v="Animal Feed"/>
    <x v="506"/>
    <n v="10"/>
    <x v="2"/>
    <n v="5"/>
    <n v="5"/>
    <n v="0"/>
    <s v="None"/>
    <s v="Somewhat Sensitive"/>
    <n v="0"/>
    <n v="6"/>
    <s v="Low"/>
    <s v="Desktop"/>
    <s v="Credit Card"/>
    <d v="2024-10-20T00:00:00"/>
    <b v="1"/>
    <b v="0"/>
    <s v="Need-based"/>
    <x v="2"/>
    <n v="7"/>
  </r>
  <r>
    <x v="509"/>
    <n v="20"/>
    <s v="Female"/>
    <x v="0"/>
    <x v="0"/>
    <x v="1"/>
    <x v="0"/>
    <s v="São Cristóvão"/>
    <s v="Toys &amp; Games"/>
    <x v="507"/>
    <n v="2"/>
    <x v="2"/>
    <n v="4"/>
    <n v="5"/>
    <n v="1"/>
    <s v="None"/>
    <s v="Somewhat Sensitive"/>
    <n v="1"/>
    <n v="6"/>
    <s v="None"/>
    <s v="Smartphone"/>
    <s v="Debit Card"/>
    <d v="2024-09-19T00:00:00"/>
    <b v="1"/>
    <b v="0"/>
    <s v="Planned"/>
    <x v="1"/>
    <n v="13"/>
  </r>
  <r>
    <x v="510"/>
    <n v="42"/>
    <s v="Female"/>
    <x v="0"/>
    <x v="1"/>
    <x v="1"/>
    <x v="1"/>
    <s v="Pallisa"/>
    <s v="Hotels"/>
    <x v="508"/>
    <n v="5"/>
    <x v="1"/>
    <n v="2"/>
    <n v="1"/>
    <n v="2"/>
    <s v="Medium"/>
    <s v="Not Sensitive"/>
    <n v="0"/>
    <n v="10"/>
    <s v="High"/>
    <s v="Smartphone"/>
    <s v="Other"/>
    <d v="2024-05-21T00:00:00"/>
    <b v="1"/>
    <b v="0"/>
    <s v="Impulsive"/>
    <x v="0"/>
    <n v="11"/>
  </r>
  <r>
    <x v="511"/>
    <n v="22"/>
    <s v="Female"/>
    <x v="0"/>
    <x v="0"/>
    <x v="2"/>
    <x v="1"/>
    <s v="San Pascual"/>
    <s v="Groceries"/>
    <x v="509"/>
    <n v="7"/>
    <x v="0"/>
    <n v="4"/>
    <n v="5"/>
    <n v="2"/>
    <s v="High"/>
    <s v="Very Sensitive"/>
    <n v="0"/>
    <n v="1"/>
    <s v="High"/>
    <s v="Tablet"/>
    <s v="Debit Card"/>
    <d v="2024-02-05T00:00:00"/>
    <b v="0"/>
    <b v="0"/>
    <s v="Wants-based"/>
    <x v="0"/>
    <n v="4"/>
  </r>
  <r>
    <x v="512"/>
    <n v="30"/>
    <s v="Male"/>
    <x v="1"/>
    <x v="0"/>
    <x v="0"/>
    <x v="0"/>
    <s v="‘Aşīrah ash Shamālīyah"/>
    <s v="Jewelry &amp; Accessories"/>
    <x v="510"/>
    <n v="6"/>
    <x v="1"/>
    <n v="1"/>
    <n v="3"/>
    <n v="1"/>
    <s v="High"/>
    <s v="Very Sensitive"/>
    <n v="0"/>
    <n v="4"/>
    <s v="Low"/>
    <s v="Smartphone"/>
    <s v="Debit Card"/>
    <d v="2024-02-29T00:00:00"/>
    <b v="0"/>
    <b v="0"/>
    <s v="Impulsive"/>
    <x v="2"/>
    <n v="11"/>
  </r>
  <r>
    <x v="513"/>
    <n v="39"/>
    <s v="Male"/>
    <x v="1"/>
    <x v="3"/>
    <x v="2"/>
    <x v="1"/>
    <s v="Dom Pedrito"/>
    <s v="Groceries"/>
    <x v="511"/>
    <n v="10"/>
    <x v="1"/>
    <n v="3"/>
    <n v="4"/>
    <n v="1"/>
    <s v="None"/>
    <s v="Somewhat Sensitive"/>
    <n v="1"/>
    <n v="3"/>
    <s v="Medium"/>
    <s v="Smartphone"/>
    <s v="Debit Card"/>
    <d v="2024-07-04T00:00:00"/>
    <b v="1"/>
    <b v="0"/>
    <s v="Planned"/>
    <x v="2"/>
    <n v="10"/>
  </r>
  <r>
    <x v="514"/>
    <n v="19"/>
    <s v="Female"/>
    <x v="1"/>
    <x v="1"/>
    <x v="0"/>
    <x v="1"/>
    <s v="San Sebastián de Yalí"/>
    <s v="Jewelry &amp; Accessories"/>
    <x v="512"/>
    <n v="4"/>
    <x v="0"/>
    <n v="3"/>
    <n v="3"/>
    <n v="1"/>
    <s v="Medium"/>
    <s v="Not Sensitive"/>
    <n v="0"/>
    <n v="3"/>
    <s v="Medium"/>
    <s v="Smartphone"/>
    <s v="Cash"/>
    <d v="2024-10-29T00:00:00"/>
    <b v="0"/>
    <b v="0"/>
    <s v="Impulsive"/>
    <x v="1"/>
    <n v="8"/>
  </r>
  <r>
    <x v="515"/>
    <n v="26"/>
    <s v="Female"/>
    <x v="0"/>
    <x v="2"/>
    <x v="0"/>
    <x v="0"/>
    <s v="Shchëkino"/>
    <s v="Packages)"/>
    <x v="513"/>
    <n v="7"/>
    <x v="2"/>
    <n v="3"/>
    <n v="5"/>
    <n v="2"/>
    <s v="Low"/>
    <s v="Very Sensitive"/>
    <n v="0"/>
    <n v="9"/>
    <s v="Medium"/>
    <s v="Tablet"/>
    <s v="Other"/>
    <d v="2024-10-17T00:00:00"/>
    <b v="1"/>
    <b v="0"/>
    <s v="Planned"/>
    <x v="1"/>
    <n v="2"/>
  </r>
  <r>
    <x v="516"/>
    <n v="21"/>
    <s v="Female"/>
    <x v="1"/>
    <x v="0"/>
    <x v="1"/>
    <x v="0"/>
    <s v="Turkestan"/>
    <s v="Furniture"/>
    <x v="514"/>
    <n v="10"/>
    <x v="2"/>
    <n v="1"/>
    <n v="4"/>
    <n v="2"/>
    <s v="High"/>
    <s v="Somewhat Sensitive"/>
    <n v="1"/>
    <n v="9"/>
    <s v="High"/>
    <s v="Desktop"/>
    <s v="Debit Card"/>
    <d v="2024-11-04T00:00:00"/>
    <b v="1"/>
    <b v="1"/>
    <s v="Wants-based"/>
    <x v="1"/>
    <n v="4"/>
  </r>
  <r>
    <x v="517"/>
    <n v="37"/>
    <s v="Male"/>
    <x v="0"/>
    <x v="3"/>
    <x v="2"/>
    <x v="1"/>
    <s v="Rzeczenica"/>
    <s v="Luxury Goods"/>
    <x v="515"/>
    <n v="12"/>
    <x v="0"/>
    <n v="3"/>
    <n v="5"/>
    <n v="2"/>
    <s v="Low"/>
    <s v="Very Sensitive"/>
    <n v="0"/>
    <n v="6"/>
    <s v="None"/>
    <s v="Desktop"/>
    <s v="PayPal"/>
    <d v="2024-11-21T00:00:00"/>
    <b v="1"/>
    <b v="1"/>
    <s v="Planned"/>
    <x v="0"/>
    <n v="1"/>
  </r>
  <r>
    <x v="518"/>
    <n v="23"/>
    <s v="Male"/>
    <x v="1"/>
    <x v="0"/>
    <x v="1"/>
    <x v="1"/>
    <s v="Perzów"/>
    <s v="Mobile Accessories"/>
    <x v="516"/>
    <n v="12"/>
    <x v="2"/>
    <n v="2"/>
    <n v="4"/>
    <n v="2"/>
    <s v="Low"/>
    <s v="Somewhat Sensitive"/>
    <n v="0"/>
    <n v="4"/>
    <s v="High"/>
    <s v="Desktop"/>
    <s v="Other"/>
    <d v="2024-03-25T00:00:00"/>
    <b v="1"/>
    <b v="1"/>
    <s v="Planned"/>
    <x v="2"/>
    <n v="12"/>
  </r>
  <r>
    <x v="519"/>
    <n v="46"/>
    <s v="Male"/>
    <x v="0"/>
    <x v="0"/>
    <x v="2"/>
    <x v="0"/>
    <s v="Sabon Gari-Nangere"/>
    <s v="Software &amp; Apps"/>
    <x v="517"/>
    <n v="2"/>
    <x v="1"/>
    <n v="1"/>
    <n v="3"/>
    <n v="0"/>
    <s v="High"/>
    <s v="Very Sensitive"/>
    <n v="1"/>
    <n v="7"/>
    <s v="None"/>
    <s v="Desktop"/>
    <s v="Debit Card"/>
    <d v="2024-04-20T00:00:00"/>
    <b v="0"/>
    <b v="0"/>
    <s v="Need-based"/>
    <x v="1"/>
    <n v="12"/>
  </r>
  <r>
    <x v="520"/>
    <n v="35"/>
    <s v="Female"/>
    <x v="0"/>
    <x v="3"/>
    <x v="2"/>
    <x v="1"/>
    <s v="Hengshui"/>
    <s v="Health Care"/>
    <x v="518"/>
    <n v="10"/>
    <x v="0"/>
    <n v="5"/>
    <n v="3"/>
    <n v="0"/>
    <s v="Low"/>
    <s v="Somewhat Sensitive"/>
    <n v="1"/>
    <n v="9"/>
    <s v="Low"/>
    <s v="Desktop"/>
    <s v="Credit Card"/>
    <d v="2024-04-14T00:00:00"/>
    <b v="1"/>
    <b v="1"/>
    <s v="Planned"/>
    <x v="0"/>
    <n v="7"/>
  </r>
  <r>
    <x v="521"/>
    <n v="33"/>
    <s v="Non-binary"/>
    <x v="0"/>
    <x v="2"/>
    <x v="1"/>
    <x v="0"/>
    <s v="Nantes"/>
    <s v="Animal Feed"/>
    <x v="519"/>
    <n v="10"/>
    <x v="2"/>
    <n v="5"/>
    <n v="4"/>
    <n v="0"/>
    <s v="Low"/>
    <s v="Not Sensitive"/>
    <n v="1"/>
    <n v="8"/>
    <s v="Medium"/>
    <s v="Desktop"/>
    <s v="PayPal"/>
    <d v="2024-06-04T00:00:00"/>
    <b v="1"/>
    <b v="1"/>
    <s v="Wants-based"/>
    <x v="1"/>
    <n v="8"/>
  </r>
  <r>
    <x v="522"/>
    <n v="47"/>
    <s v="Male"/>
    <x v="0"/>
    <x v="3"/>
    <x v="1"/>
    <x v="0"/>
    <s v="Tamorot"/>
    <s v="Gardening &amp; Outdoors"/>
    <x v="520"/>
    <n v="5"/>
    <x v="0"/>
    <n v="5"/>
    <n v="1"/>
    <n v="2"/>
    <s v="High"/>
    <s v="Very Sensitive"/>
    <n v="1"/>
    <n v="1"/>
    <s v="Low"/>
    <s v="Desktop"/>
    <s v="PayPal"/>
    <d v="2024-01-28T00:00:00"/>
    <b v="1"/>
    <b v="0"/>
    <s v="Planned"/>
    <x v="0"/>
    <n v="14"/>
  </r>
  <r>
    <x v="523"/>
    <n v="32"/>
    <s v="Male"/>
    <x v="1"/>
    <x v="2"/>
    <x v="0"/>
    <x v="1"/>
    <s v="Sinchao"/>
    <s v="Health Supplements"/>
    <x v="521"/>
    <n v="6"/>
    <x v="0"/>
    <n v="4"/>
    <n v="4"/>
    <n v="0"/>
    <s v="Medium"/>
    <s v="Very Sensitive"/>
    <n v="2"/>
    <n v="2"/>
    <s v="None"/>
    <s v="Smartphone"/>
    <s v="PayPal"/>
    <d v="2024-05-15T00:00:00"/>
    <b v="0"/>
    <b v="0"/>
    <s v="Impulsive"/>
    <x v="1"/>
    <n v="6"/>
  </r>
  <r>
    <x v="524"/>
    <n v="20"/>
    <s v="Male"/>
    <x v="0"/>
    <x v="2"/>
    <x v="0"/>
    <x v="1"/>
    <s v="Anding"/>
    <s v="Furniture"/>
    <x v="522"/>
    <n v="11"/>
    <x v="0"/>
    <n v="4"/>
    <n v="5"/>
    <n v="0"/>
    <s v="High"/>
    <s v="Very Sensitive"/>
    <n v="2"/>
    <n v="8"/>
    <s v="Low"/>
    <s v="Tablet"/>
    <s v="Other"/>
    <d v="2024-07-19T00:00:00"/>
    <b v="1"/>
    <b v="0"/>
    <s v="Planned"/>
    <x v="0"/>
    <n v="3"/>
  </r>
  <r>
    <x v="525"/>
    <n v="37"/>
    <s v="Female"/>
    <x v="1"/>
    <x v="1"/>
    <x v="0"/>
    <x v="0"/>
    <s v="Rukem"/>
    <s v="Arts &amp; Crafts"/>
    <x v="523"/>
    <n v="6"/>
    <x v="2"/>
    <n v="3"/>
    <n v="2"/>
    <n v="0"/>
    <s v="Medium"/>
    <s v="Very Sensitive"/>
    <n v="0"/>
    <n v="2"/>
    <s v="High"/>
    <s v="Desktop"/>
    <s v="Cash"/>
    <d v="2024-04-15T00:00:00"/>
    <b v="0"/>
    <b v="0"/>
    <s v="Wants-based"/>
    <x v="2"/>
    <n v="6"/>
  </r>
  <r>
    <x v="526"/>
    <n v="35"/>
    <s v="Non-binary"/>
    <x v="1"/>
    <x v="3"/>
    <x v="2"/>
    <x v="1"/>
    <s v="Bogovarovo"/>
    <s v="Clothing"/>
    <x v="524"/>
    <n v="9"/>
    <x v="0"/>
    <n v="1"/>
    <n v="2"/>
    <n v="0"/>
    <s v="Medium"/>
    <s v="Somewhat Sensitive"/>
    <n v="1"/>
    <n v="2"/>
    <s v="Low"/>
    <s v="Tablet"/>
    <s v="PayPal"/>
    <d v="2024-09-11T00:00:00"/>
    <b v="0"/>
    <b v="0"/>
    <s v="Planned"/>
    <x v="2"/>
    <n v="13"/>
  </r>
  <r>
    <x v="527"/>
    <n v="18"/>
    <s v="Female"/>
    <x v="0"/>
    <x v="1"/>
    <x v="1"/>
    <x v="1"/>
    <s v="Valbo"/>
    <s v="Furniture"/>
    <x v="525"/>
    <n v="7"/>
    <x v="1"/>
    <n v="5"/>
    <n v="3"/>
    <n v="2"/>
    <s v="None"/>
    <s v="Not Sensitive"/>
    <n v="1"/>
    <n v="5"/>
    <s v="Low"/>
    <s v="Desktop"/>
    <s v="Cash"/>
    <d v="2024-03-10T00:00:00"/>
    <b v="0"/>
    <b v="0"/>
    <s v="Planned"/>
    <x v="1"/>
    <n v="8"/>
  </r>
  <r>
    <x v="528"/>
    <n v="27"/>
    <s v="Male"/>
    <x v="0"/>
    <x v="2"/>
    <x v="1"/>
    <x v="1"/>
    <s v="Jaguaruana"/>
    <s v="Sports &amp; Outdoors"/>
    <x v="526"/>
    <n v="6"/>
    <x v="0"/>
    <n v="2"/>
    <n v="5"/>
    <n v="0"/>
    <s v="High"/>
    <s v="Not Sensitive"/>
    <n v="0"/>
    <n v="6"/>
    <s v="Low"/>
    <s v="Desktop"/>
    <s v="Other"/>
    <d v="2024-01-14T00:00:00"/>
    <b v="0"/>
    <b v="0"/>
    <s v="Impulsive"/>
    <x v="0"/>
    <n v="1"/>
  </r>
  <r>
    <x v="529"/>
    <n v="29"/>
    <s v="Female"/>
    <x v="1"/>
    <x v="0"/>
    <x v="0"/>
    <x v="0"/>
    <s v="Ţāqchah Khānah"/>
    <s v="Mobile Accessories"/>
    <x v="527"/>
    <n v="12"/>
    <x v="0"/>
    <n v="4"/>
    <n v="5"/>
    <n v="1"/>
    <s v="High"/>
    <s v="Somewhat Sensitive"/>
    <n v="0"/>
    <n v="9"/>
    <s v="High"/>
    <s v="Smartphone"/>
    <s v="Debit Card"/>
    <d v="2024-05-29T00:00:00"/>
    <b v="0"/>
    <b v="0"/>
    <s v="Wants-based"/>
    <x v="1"/>
    <n v="3"/>
  </r>
  <r>
    <x v="530"/>
    <n v="24"/>
    <s v="Male"/>
    <x v="1"/>
    <x v="2"/>
    <x v="2"/>
    <x v="1"/>
    <s v="Lipovci"/>
    <s v="Sports &amp; Outdoors"/>
    <x v="528"/>
    <n v="5"/>
    <x v="0"/>
    <n v="4"/>
    <n v="3"/>
    <n v="0"/>
    <s v="Medium"/>
    <s v="Not Sensitive"/>
    <n v="2"/>
    <n v="7"/>
    <s v="None"/>
    <s v="Smartphone"/>
    <s v="Debit Card"/>
    <d v="2024-08-31T00:00:00"/>
    <b v="0"/>
    <b v="1"/>
    <s v="Need-based"/>
    <x v="2"/>
    <n v="14"/>
  </r>
  <r>
    <x v="531"/>
    <n v="27"/>
    <s v="Male"/>
    <x v="1"/>
    <x v="1"/>
    <x v="0"/>
    <x v="1"/>
    <s v="Panagyurishte"/>
    <s v="Software &amp; Apps"/>
    <x v="529"/>
    <n v="10"/>
    <x v="1"/>
    <n v="3"/>
    <n v="1"/>
    <n v="2"/>
    <s v="Low"/>
    <s v="Somewhat Sensitive"/>
    <n v="1"/>
    <n v="9"/>
    <s v="High"/>
    <s v="Desktop"/>
    <s v="Other"/>
    <d v="2024-12-23T00:00:00"/>
    <b v="1"/>
    <b v="1"/>
    <s v="Wants-based"/>
    <x v="2"/>
    <n v="14"/>
  </r>
  <r>
    <x v="532"/>
    <n v="34"/>
    <s v="Male"/>
    <x v="1"/>
    <x v="1"/>
    <x v="2"/>
    <x v="1"/>
    <s v="Thị Trấn Than Uyên"/>
    <s v="Health Care"/>
    <x v="530"/>
    <n v="10"/>
    <x v="2"/>
    <n v="2"/>
    <n v="2"/>
    <n v="2"/>
    <s v="None"/>
    <s v="Very Sensitive"/>
    <n v="0"/>
    <n v="8"/>
    <s v="High"/>
    <s v="Tablet"/>
    <s v="Cash"/>
    <d v="2024-01-16T00:00:00"/>
    <b v="1"/>
    <b v="1"/>
    <s v="Wants-based"/>
    <x v="1"/>
    <n v="11"/>
  </r>
  <r>
    <x v="533"/>
    <n v="21"/>
    <s v="Male"/>
    <x v="0"/>
    <x v="3"/>
    <x v="0"/>
    <x v="0"/>
    <s v="Clichy"/>
    <s v="Sports &amp; Outdoors"/>
    <x v="531"/>
    <n v="9"/>
    <x v="1"/>
    <n v="5"/>
    <n v="2"/>
    <n v="1"/>
    <s v="Low"/>
    <s v="Somewhat Sensitive"/>
    <n v="1"/>
    <n v="3"/>
    <s v="High"/>
    <s v="Tablet"/>
    <s v="Cash"/>
    <d v="2024-03-04T00:00:00"/>
    <b v="1"/>
    <b v="1"/>
    <s v="Impulsive"/>
    <x v="0"/>
    <n v="3"/>
  </r>
  <r>
    <x v="534"/>
    <n v="18"/>
    <s v="Male"/>
    <x v="1"/>
    <x v="2"/>
    <x v="1"/>
    <x v="1"/>
    <s v="Kłoczew"/>
    <s v="Home Appliances"/>
    <x v="532"/>
    <n v="3"/>
    <x v="1"/>
    <n v="2"/>
    <n v="4"/>
    <n v="1"/>
    <s v="Medium"/>
    <s v="Very Sensitive"/>
    <n v="1"/>
    <n v="3"/>
    <s v="None"/>
    <s v="Smartphone"/>
    <s v="Other"/>
    <d v="2024-09-24T00:00:00"/>
    <b v="0"/>
    <b v="1"/>
    <s v="Wants-based"/>
    <x v="2"/>
    <n v="11"/>
  </r>
  <r>
    <x v="535"/>
    <n v="50"/>
    <s v="Bigender"/>
    <x v="1"/>
    <x v="0"/>
    <x v="1"/>
    <x v="1"/>
    <s v="Zhukovo"/>
    <s v="Electronics"/>
    <x v="533"/>
    <n v="9"/>
    <x v="2"/>
    <n v="1"/>
    <n v="4"/>
    <n v="0"/>
    <s v="High"/>
    <s v="Not Sensitive"/>
    <n v="2"/>
    <n v="5"/>
    <s v="High"/>
    <s v="Smartphone"/>
    <s v="Credit Card"/>
    <d v="2024-10-07T00:00:00"/>
    <b v="0"/>
    <b v="1"/>
    <s v="Need-based"/>
    <x v="0"/>
    <n v="10"/>
  </r>
  <r>
    <x v="536"/>
    <n v="31"/>
    <s v="Male"/>
    <x v="0"/>
    <x v="1"/>
    <x v="2"/>
    <x v="1"/>
    <s v="Nyköping"/>
    <s v="Travel &amp; Leisure (Flights"/>
    <x v="534"/>
    <n v="2"/>
    <x v="1"/>
    <n v="3"/>
    <n v="3"/>
    <n v="0"/>
    <s v="Low"/>
    <s v="Very Sensitive"/>
    <n v="1"/>
    <n v="9"/>
    <s v="Low"/>
    <s v="Smartphone"/>
    <s v="Credit Card"/>
    <d v="2024-03-25T00:00:00"/>
    <b v="1"/>
    <b v="0"/>
    <s v="Impulsive"/>
    <x v="0"/>
    <n v="7"/>
  </r>
  <r>
    <x v="537"/>
    <n v="45"/>
    <s v="Male"/>
    <x v="1"/>
    <x v="0"/>
    <x v="2"/>
    <x v="1"/>
    <s v="Jianmin"/>
    <s v="Baby Products"/>
    <x v="535"/>
    <n v="3"/>
    <x v="1"/>
    <n v="1"/>
    <n v="5"/>
    <n v="2"/>
    <s v="High"/>
    <s v="Very Sensitive"/>
    <n v="1"/>
    <n v="8"/>
    <s v="None"/>
    <s v="Tablet"/>
    <s v="Debit Card"/>
    <d v="2024-08-20T00:00:00"/>
    <b v="0"/>
    <b v="0"/>
    <s v="Impulsive"/>
    <x v="2"/>
    <n v="11"/>
  </r>
  <r>
    <x v="538"/>
    <n v="29"/>
    <s v="Male"/>
    <x v="0"/>
    <x v="1"/>
    <x v="2"/>
    <x v="0"/>
    <s v="Bucaramanga"/>
    <s v="Health Supplements"/>
    <x v="536"/>
    <n v="4"/>
    <x v="0"/>
    <n v="1"/>
    <n v="1"/>
    <n v="0"/>
    <s v="High"/>
    <s v="Somewhat Sensitive"/>
    <n v="1"/>
    <n v="10"/>
    <s v="Low"/>
    <s v="Tablet"/>
    <s v="Credit Card"/>
    <d v="2024-12-07T00:00:00"/>
    <b v="1"/>
    <b v="1"/>
    <s v="Need-based"/>
    <x v="1"/>
    <n v="8"/>
  </r>
  <r>
    <x v="539"/>
    <n v="36"/>
    <s v="Male"/>
    <x v="1"/>
    <x v="2"/>
    <x v="1"/>
    <x v="0"/>
    <s v="Kudanding"/>
    <s v="Office Supplies"/>
    <x v="537"/>
    <n v="11"/>
    <x v="0"/>
    <n v="5"/>
    <n v="1"/>
    <n v="0"/>
    <s v="High"/>
    <s v="Very Sensitive"/>
    <n v="0"/>
    <n v="3"/>
    <s v="High"/>
    <s v="Desktop"/>
    <s v="Credit Card"/>
    <d v="2024-09-03T00:00:00"/>
    <b v="0"/>
    <b v="0"/>
    <s v="Need-based"/>
    <x v="1"/>
    <n v="11"/>
  </r>
  <r>
    <x v="540"/>
    <n v="27"/>
    <s v="Female"/>
    <x v="1"/>
    <x v="2"/>
    <x v="2"/>
    <x v="1"/>
    <s v="Kyoto"/>
    <s v="Jewelry &amp; Accessories"/>
    <x v="538"/>
    <n v="12"/>
    <x v="0"/>
    <n v="5"/>
    <n v="1"/>
    <n v="0"/>
    <s v="High"/>
    <s v="Not Sensitive"/>
    <n v="2"/>
    <n v="1"/>
    <s v="None"/>
    <s v="Desktop"/>
    <s v="PayPal"/>
    <d v="2024-02-09T00:00:00"/>
    <b v="0"/>
    <b v="1"/>
    <s v="Wants-based"/>
    <x v="0"/>
    <n v="6"/>
  </r>
  <r>
    <x v="541"/>
    <n v="24"/>
    <s v="Male"/>
    <x v="1"/>
    <x v="1"/>
    <x v="1"/>
    <x v="0"/>
    <s v="Saraburi"/>
    <s v="Books"/>
    <x v="539"/>
    <n v="3"/>
    <x v="0"/>
    <n v="1"/>
    <n v="5"/>
    <n v="2"/>
    <s v="High"/>
    <s v="Not Sensitive"/>
    <n v="2"/>
    <n v="10"/>
    <s v="Medium"/>
    <s v="Tablet"/>
    <s v="Other"/>
    <d v="2024-03-27T00:00:00"/>
    <b v="0"/>
    <b v="0"/>
    <s v="Wants-based"/>
    <x v="2"/>
    <n v="6"/>
  </r>
  <r>
    <x v="542"/>
    <n v="49"/>
    <s v="Agender"/>
    <x v="1"/>
    <x v="2"/>
    <x v="1"/>
    <x v="0"/>
    <s v="Negeriagung"/>
    <s v="Groceries"/>
    <x v="540"/>
    <n v="10"/>
    <x v="1"/>
    <n v="5"/>
    <n v="3"/>
    <n v="0"/>
    <s v="Medium"/>
    <s v="Very Sensitive"/>
    <n v="1"/>
    <n v="1"/>
    <s v="Low"/>
    <s v="Desktop"/>
    <s v="Credit Card"/>
    <d v="2024-12-29T00:00:00"/>
    <b v="0"/>
    <b v="0"/>
    <s v="Wants-based"/>
    <x v="1"/>
    <n v="2"/>
  </r>
  <r>
    <x v="543"/>
    <n v="21"/>
    <s v="Bigender"/>
    <x v="0"/>
    <x v="3"/>
    <x v="1"/>
    <x v="1"/>
    <s v="Latacunga"/>
    <s v="Sports &amp; Outdoors"/>
    <x v="541"/>
    <n v="4"/>
    <x v="2"/>
    <n v="5"/>
    <n v="3"/>
    <n v="2"/>
    <s v="Low"/>
    <s v="Not Sensitive"/>
    <n v="1"/>
    <n v="9"/>
    <s v="None"/>
    <s v="Desktop"/>
    <s v="Credit Card"/>
    <d v="2024-10-20T00:00:00"/>
    <b v="0"/>
    <b v="0"/>
    <s v="Planned"/>
    <x v="2"/>
    <n v="1"/>
  </r>
  <r>
    <x v="544"/>
    <n v="19"/>
    <s v="Female"/>
    <x v="0"/>
    <x v="0"/>
    <x v="2"/>
    <x v="1"/>
    <s v="Guanzhou"/>
    <s v="Mobile Accessories"/>
    <x v="542"/>
    <n v="10"/>
    <x v="0"/>
    <n v="2"/>
    <n v="3"/>
    <n v="0"/>
    <s v="Low"/>
    <s v="Very Sensitive"/>
    <n v="0"/>
    <n v="8"/>
    <s v="Low"/>
    <s v="Desktop"/>
    <s v="Other"/>
    <d v="2024-09-03T00:00:00"/>
    <b v="0"/>
    <b v="0"/>
    <s v="Need-based"/>
    <x v="0"/>
    <n v="6"/>
  </r>
  <r>
    <x v="545"/>
    <n v="23"/>
    <s v="Female"/>
    <x v="0"/>
    <x v="0"/>
    <x v="0"/>
    <x v="1"/>
    <s v="Tabuc Pontevedra"/>
    <s v="Mobile Accessories"/>
    <x v="543"/>
    <n v="7"/>
    <x v="1"/>
    <n v="1"/>
    <n v="5"/>
    <n v="0"/>
    <s v="Low"/>
    <s v="Not Sensitive"/>
    <n v="1"/>
    <n v="6"/>
    <s v="Low"/>
    <s v="Smartphone"/>
    <s v="PayPal"/>
    <d v="2024-03-13T00:00:00"/>
    <b v="1"/>
    <b v="1"/>
    <s v="Need-based"/>
    <x v="1"/>
    <n v="8"/>
  </r>
  <r>
    <x v="546"/>
    <n v="28"/>
    <s v="Female"/>
    <x v="1"/>
    <x v="3"/>
    <x v="2"/>
    <x v="1"/>
    <s v="Kabale"/>
    <s v="Groceries"/>
    <x v="544"/>
    <n v="2"/>
    <x v="0"/>
    <n v="5"/>
    <n v="1"/>
    <n v="0"/>
    <s v="Low"/>
    <s v="Very Sensitive"/>
    <n v="0"/>
    <n v="3"/>
    <s v="Low"/>
    <s v="Desktop"/>
    <s v="Debit Card"/>
    <d v="2024-02-04T00:00:00"/>
    <b v="0"/>
    <b v="1"/>
    <s v="Need-based"/>
    <x v="0"/>
    <n v="3"/>
  </r>
  <r>
    <x v="547"/>
    <n v="27"/>
    <s v="Female"/>
    <x v="1"/>
    <x v="3"/>
    <x v="2"/>
    <x v="1"/>
    <s v="Malveira"/>
    <s v="Home Appliances"/>
    <x v="545"/>
    <n v="7"/>
    <x v="0"/>
    <n v="2"/>
    <n v="3"/>
    <n v="2"/>
    <s v="None"/>
    <s v="Very Sensitive"/>
    <n v="2"/>
    <n v="3"/>
    <s v="Low"/>
    <s v="Desktop"/>
    <s v="Debit Card"/>
    <d v="2024-03-31T00:00:00"/>
    <b v="1"/>
    <b v="0"/>
    <s v="Impulsive"/>
    <x v="0"/>
    <n v="14"/>
  </r>
  <r>
    <x v="548"/>
    <n v="47"/>
    <s v="Female"/>
    <x v="1"/>
    <x v="3"/>
    <x v="0"/>
    <x v="0"/>
    <s v="Veiga"/>
    <s v="Jewelry &amp; Accessories"/>
    <x v="546"/>
    <n v="8"/>
    <x v="2"/>
    <n v="3"/>
    <n v="3"/>
    <n v="1"/>
    <s v="None"/>
    <s v="Very Sensitive"/>
    <n v="2"/>
    <n v="4"/>
    <s v="High"/>
    <s v="Tablet"/>
    <s v="Cash"/>
    <d v="2024-07-17T00:00:00"/>
    <b v="1"/>
    <b v="1"/>
    <s v="Planned"/>
    <x v="2"/>
    <n v="8"/>
  </r>
  <r>
    <x v="549"/>
    <n v="20"/>
    <s v="Agender"/>
    <x v="1"/>
    <x v="2"/>
    <x v="2"/>
    <x v="0"/>
    <s v="Jagistay"/>
    <s v="Packages)"/>
    <x v="547"/>
    <n v="7"/>
    <x v="0"/>
    <n v="3"/>
    <n v="4"/>
    <n v="2"/>
    <s v="High"/>
    <s v="Not Sensitive"/>
    <n v="0"/>
    <n v="4"/>
    <s v="High"/>
    <s v="Tablet"/>
    <s v="Credit Card"/>
    <d v="2024-06-16T00:00:00"/>
    <b v="1"/>
    <b v="1"/>
    <s v="Need-based"/>
    <x v="0"/>
    <n v="12"/>
  </r>
  <r>
    <x v="550"/>
    <n v="26"/>
    <s v="Female"/>
    <x v="1"/>
    <x v="1"/>
    <x v="2"/>
    <x v="1"/>
    <s v="Yuannan"/>
    <s v="Electronics"/>
    <x v="548"/>
    <n v="7"/>
    <x v="0"/>
    <n v="4"/>
    <n v="3"/>
    <n v="0"/>
    <s v="Medium"/>
    <s v="Not Sensitive"/>
    <n v="1"/>
    <n v="10"/>
    <s v="High"/>
    <s v="Tablet"/>
    <s v="Credit Card"/>
    <d v="2024-04-13T00:00:00"/>
    <b v="1"/>
    <b v="1"/>
    <s v="Planned"/>
    <x v="0"/>
    <n v="6"/>
  </r>
  <r>
    <x v="551"/>
    <n v="49"/>
    <s v="Male"/>
    <x v="1"/>
    <x v="1"/>
    <x v="0"/>
    <x v="0"/>
    <s v="Mount Darwin"/>
    <s v="Health Supplements"/>
    <x v="549"/>
    <n v="4"/>
    <x v="1"/>
    <n v="4"/>
    <n v="4"/>
    <n v="1"/>
    <s v="None"/>
    <s v="Very Sensitive"/>
    <n v="1"/>
    <n v="5"/>
    <s v="None"/>
    <s v="Tablet"/>
    <s v="Credit Card"/>
    <d v="2024-08-12T00:00:00"/>
    <b v="1"/>
    <b v="0"/>
    <s v="Wants-based"/>
    <x v="0"/>
    <n v="1"/>
  </r>
  <r>
    <x v="552"/>
    <n v="39"/>
    <s v="Female"/>
    <x v="1"/>
    <x v="2"/>
    <x v="2"/>
    <x v="1"/>
    <s v="Qal‘eh-ye Khvājeh"/>
    <s v="Beauty &amp; Personal Care"/>
    <x v="550"/>
    <n v="12"/>
    <x v="1"/>
    <n v="1"/>
    <n v="4"/>
    <n v="0"/>
    <s v="None"/>
    <s v="Somewhat Sensitive"/>
    <n v="0"/>
    <n v="6"/>
    <s v="None"/>
    <s v="Desktop"/>
    <s v="PayPal"/>
    <d v="2024-12-17T00:00:00"/>
    <b v="1"/>
    <b v="0"/>
    <s v="Impulsive"/>
    <x v="2"/>
    <n v="3"/>
  </r>
  <r>
    <x v="553"/>
    <n v="22"/>
    <s v="Male"/>
    <x v="0"/>
    <x v="3"/>
    <x v="2"/>
    <x v="0"/>
    <s v="Veiga"/>
    <s v="Travel &amp; Leisure (Flights"/>
    <x v="551"/>
    <n v="3"/>
    <x v="0"/>
    <n v="4"/>
    <n v="5"/>
    <n v="0"/>
    <s v="Medium"/>
    <s v="Not Sensitive"/>
    <n v="2"/>
    <n v="6"/>
    <s v="None"/>
    <s v="Desktop"/>
    <s v="Cash"/>
    <d v="2024-09-25T00:00:00"/>
    <b v="0"/>
    <b v="0"/>
    <s v="Need-based"/>
    <x v="0"/>
    <n v="7"/>
  </r>
  <r>
    <x v="554"/>
    <n v="25"/>
    <s v="Male"/>
    <x v="1"/>
    <x v="1"/>
    <x v="1"/>
    <x v="0"/>
    <s v="Al Qarārah"/>
    <s v="Health Supplements"/>
    <x v="552"/>
    <n v="11"/>
    <x v="1"/>
    <n v="2"/>
    <n v="5"/>
    <n v="2"/>
    <s v="High"/>
    <s v="Somewhat Sensitive"/>
    <n v="0"/>
    <n v="4"/>
    <s v="Medium"/>
    <s v="Smartphone"/>
    <s v="Other"/>
    <d v="2024-06-24T00:00:00"/>
    <b v="1"/>
    <b v="0"/>
    <s v="Impulsive"/>
    <x v="2"/>
    <n v="11"/>
  </r>
  <r>
    <x v="555"/>
    <n v="30"/>
    <s v="Female"/>
    <x v="0"/>
    <x v="0"/>
    <x v="0"/>
    <x v="0"/>
    <s v="Fandriana"/>
    <s v="Office Supplies"/>
    <x v="553"/>
    <n v="9"/>
    <x v="0"/>
    <n v="3"/>
    <n v="4"/>
    <n v="1"/>
    <s v="Low"/>
    <s v="Somewhat Sensitive"/>
    <n v="2"/>
    <n v="4"/>
    <s v="Medium"/>
    <s v="Smartphone"/>
    <s v="Credit Card"/>
    <d v="2024-11-18T00:00:00"/>
    <b v="1"/>
    <b v="0"/>
    <s v="Need-based"/>
    <x v="1"/>
    <n v="13"/>
  </r>
  <r>
    <x v="556"/>
    <n v="19"/>
    <s v="Polygender"/>
    <x v="1"/>
    <x v="0"/>
    <x v="0"/>
    <x v="1"/>
    <s v="Carregueira"/>
    <s v="Jewelry &amp; Accessories"/>
    <x v="554"/>
    <n v="3"/>
    <x v="2"/>
    <n v="1"/>
    <n v="4"/>
    <n v="1"/>
    <s v="High"/>
    <s v="Somewhat Sensitive"/>
    <n v="1"/>
    <n v="4"/>
    <s v="Medium"/>
    <s v="Tablet"/>
    <s v="Cash"/>
    <d v="2024-08-06T00:00:00"/>
    <b v="1"/>
    <b v="0"/>
    <s v="Impulsive"/>
    <x v="1"/>
    <n v="13"/>
  </r>
  <r>
    <x v="557"/>
    <n v="35"/>
    <s v="Male"/>
    <x v="1"/>
    <x v="3"/>
    <x v="2"/>
    <x v="0"/>
    <s v="Lincheng"/>
    <s v="Clothing"/>
    <x v="555"/>
    <n v="12"/>
    <x v="0"/>
    <n v="3"/>
    <n v="2"/>
    <n v="1"/>
    <s v="Low"/>
    <s v="Not Sensitive"/>
    <n v="1"/>
    <n v="1"/>
    <s v="Medium"/>
    <s v="Tablet"/>
    <s v="Cash"/>
    <d v="2024-09-15T00:00:00"/>
    <b v="0"/>
    <b v="0"/>
    <s v="Planned"/>
    <x v="2"/>
    <n v="4"/>
  </r>
  <r>
    <x v="558"/>
    <n v="45"/>
    <s v="Male"/>
    <x v="0"/>
    <x v="2"/>
    <x v="1"/>
    <x v="1"/>
    <s v="Semenivka"/>
    <s v="Luxury Goods"/>
    <x v="556"/>
    <n v="3"/>
    <x v="1"/>
    <n v="3"/>
    <n v="5"/>
    <n v="1"/>
    <s v="High"/>
    <s v="Somewhat Sensitive"/>
    <n v="2"/>
    <n v="10"/>
    <s v="High"/>
    <s v="Desktop"/>
    <s v="Cash"/>
    <d v="2024-07-08T00:00:00"/>
    <b v="1"/>
    <b v="0"/>
    <s v="Planned"/>
    <x v="1"/>
    <n v="7"/>
  </r>
  <r>
    <x v="559"/>
    <n v="20"/>
    <s v="Male"/>
    <x v="1"/>
    <x v="1"/>
    <x v="1"/>
    <x v="1"/>
    <s v="Yläne"/>
    <s v="Gardening &amp; Outdoors"/>
    <x v="557"/>
    <n v="6"/>
    <x v="0"/>
    <n v="4"/>
    <n v="1"/>
    <n v="2"/>
    <s v="None"/>
    <s v="Somewhat Sensitive"/>
    <n v="0"/>
    <n v="6"/>
    <s v="Low"/>
    <s v="Desktop"/>
    <s v="Debit Card"/>
    <d v="2024-10-17T00:00:00"/>
    <b v="0"/>
    <b v="1"/>
    <s v="Planned"/>
    <x v="0"/>
    <n v="6"/>
  </r>
  <r>
    <x v="560"/>
    <n v="48"/>
    <s v="Male"/>
    <x v="0"/>
    <x v="3"/>
    <x v="1"/>
    <x v="1"/>
    <s v="Cendagah"/>
    <s v="Gardening &amp; Outdoors"/>
    <x v="558"/>
    <n v="10"/>
    <x v="2"/>
    <n v="1"/>
    <n v="4"/>
    <n v="1"/>
    <s v="Medium"/>
    <s v="Somewhat Sensitive"/>
    <n v="2"/>
    <n v="9"/>
    <s v="High"/>
    <s v="Tablet"/>
    <s v="Cash"/>
    <d v="2024-06-16T00:00:00"/>
    <b v="1"/>
    <b v="1"/>
    <s v="Wants-based"/>
    <x v="2"/>
    <n v="13"/>
  </r>
  <r>
    <x v="561"/>
    <n v="23"/>
    <s v="Male"/>
    <x v="0"/>
    <x v="1"/>
    <x v="2"/>
    <x v="1"/>
    <s v="Fīrūzābād"/>
    <s v="Hotels"/>
    <x v="559"/>
    <n v="2"/>
    <x v="1"/>
    <n v="4"/>
    <n v="2"/>
    <n v="0"/>
    <s v="None"/>
    <s v="Somewhat Sensitive"/>
    <n v="1"/>
    <n v="8"/>
    <s v="Low"/>
    <s v="Tablet"/>
    <s v="Other"/>
    <d v="2024-10-30T00:00:00"/>
    <b v="1"/>
    <b v="0"/>
    <s v="Wants-based"/>
    <x v="1"/>
    <n v="13"/>
  </r>
  <r>
    <x v="562"/>
    <n v="49"/>
    <s v="Female"/>
    <x v="1"/>
    <x v="2"/>
    <x v="1"/>
    <x v="1"/>
    <s v="Trondheim"/>
    <s v="Toys &amp; Games"/>
    <x v="560"/>
    <n v="11"/>
    <x v="1"/>
    <n v="1"/>
    <n v="5"/>
    <n v="2"/>
    <s v="None"/>
    <s v="Very Sensitive"/>
    <n v="1"/>
    <n v="8"/>
    <s v="High"/>
    <s v="Smartphone"/>
    <s v="PayPal"/>
    <d v="2024-08-13T00:00:00"/>
    <b v="0"/>
    <b v="1"/>
    <s v="Wants-based"/>
    <x v="2"/>
    <n v="6"/>
  </r>
  <r>
    <x v="563"/>
    <n v="23"/>
    <s v="Female"/>
    <x v="0"/>
    <x v="2"/>
    <x v="0"/>
    <x v="1"/>
    <s v="Yakovlevo"/>
    <s v="Electronics"/>
    <x v="561"/>
    <n v="3"/>
    <x v="0"/>
    <n v="1"/>
    <n v="1"/>
    <n v="2"/>
    <s v="Medium"/>
    <s v="Somewhat Sensitive"/>
    <n v="0"/>
    <n v="4"/>
    <s v="None"/>
    <s v="Desktop"/>
    <s v="PayPal"/>
    <d v="2024-09-03T00:00:00"/>
    <b v="1"/>
    <b v="0"/>
    <s v="Impulsive"/>
    <x v="2"/>
    <n v="1"/>
  </r>
  <r>
    <x v="564"/>
    <n v="39"/>
    <s v="Male"/>
    <x v="0"/>
    <x v="2"/>
    <x v="1"/>
    <x v="1"/>
    <s v="Katav-Ivanovsk"/>
    <s v="Gardening &amp; Outdoors"/>
    <x v="562"/>
    <n v="8"/>
    <x v="2"/>
    <n v="5"/>
    <n v="3"/>
    <n v="0"/>
    <s v="High"/>
    <s v="Somewhat Sensitive"/>
    <n v="1"/>
    <n v="3"/>
    <s v="None"/>
    <s v="Smartphone"/>
    <s v="PayPal"/>
    <d v="2024-07-01T00:00:00"/>
    <b v="0"/>
    <b v="1"/>
    <s v="Wants-based"/>
    <x v="0"/>
    <n v="8"/>
  </r>
  <r>
    <x v="565"/>
    <n v="45"/>
    <s v="Male"/>
    <x v="1"/>
    <x v="0"/>
    <x v="1"/>
    <x v="1"/>
    <s v="Voznesenskoye"/>
    <s v="Animal Feed"/>
    <x v="563"/>
    <n v="7"/>
    <x v="1"/>
    <n v="4"/>
    <n v="1"/>
    <n v="0"/>
    <s v="Low"/>
    <s v="Very Sensitive"/>
    <n v="0"/>
    <n v="1"/>
    <s v="None"/>
    <s v="Desktop"/>
    <s v="Cash"/>
    <d v="2024-05-11T00:00:00"/>
    <b v="1"/>
    <b v="0"/>
    <s v="Wants-based"/>
    <x v="1"/>
    <n v="8"/>
  </r>
  <r>
    <x v="566"/>
    <n v="31"/>
    <s v="Genderqueer"/>
    <x v="1"/>
    <x v="3"/>
    <x v="2"/>
    <x v="1"/>
    <s v="Voskhod"/>
    <s v="Groceries"/>
    <x v="564"/>
    <n v="3"/>
    <x v="1"/>
    <n v="2"/>
    <n v="5"/>
    <n v="2"/>
    <s v="High"/>
    <s v="Very Sensitive"/>
    <n v="1"/>
    <n v="9"/>
    <s v="None"/>
    <s v="Desktop"/>
    <s v="PayPal"/>
    <d v="2024-09-28T00:00:00"/>
    <b v="1"/>
    <b v="0"/>
    <s v="Planned"/>
    <x v="2"/>
    <n v="8"/>
  </r>
  <r>
    <x v="567"/>
    <n v="19"/>
    <s v="Female"/>
    <x v="0"/>
    <x v="0"/>
    <x v="0"/>
    <x v="1"/>
    <s v="Gudja"/>
    <s v="Electronics"/>
    <x v="565"/>
    <n v="3"/>
    <x v="0"/>
    <n v="3"/>
    <n v="3"/>
    <n v="0"/>
    <s v="High"/>
    <s v="Somewhat Sensitive"/>
    <n v="1"/>
    <n v="9"/>
    <s v="None"/>
    <s v="Smartphone"/>
    <s v="Other"/>
    <d v="2024-02-18T00:00:00"/>
    <b v="1"/>
    <b v="1"/>
    <s v="Wants-based"/>
    <x v="2"/>
    <n v="3"/>
  </r>
  <r>
    <x v="568"/>
    <n v="27"/>
    <s v="Male"/>
    <x v="0"/>
    <x v="1"/>
    <x v="0"/>
    <x v="1"/>
    <s v="Gawul"/>
    <s v="Gardening &amp; Outdoors"/>
    <x v="566"/>
    <n v="12"/>
    <x v="0"/>
    <n v="3"/>
    <n v="2"/>
    <n v="0"/>
    <s v="High"/>
    <s v="Not Sensitive"/>
    <n v="0"/>
    <n v="5"/>
    <s v="High"/>
    <s v="Tablet"/>
    <s v="PayPal"/>
    <d v="2024-11-28T00:00:00"/>
    <b v="1"/>
    <b v="0"/>
    <s v="Need-based"/>
    <x v="2"/>
    <n v="2"/>
  </r>
  <r>
    <x v="569"/>
    <n v="32"/>
    <s v="Bigender"/>
    <x v="0"/>
    <x v="3"/>
    <x v="2"/>
    <x v="1"/>
    <s v="Sobeok"/>
    <s v="Clothing"/>
    <x v="567"/>
    <n v="5"/>
    <x v="0"/>
    <n v="1"/>
    <n v="4"/>
    <n v="2"/>
    <s v="Low"/>
    <s v="Very Sensitive"/>
    <n v="1"/>
    <n v="4"/>
    <s v="Low"/>
    <s v="Desktop"/>
    <s v="Cash"/>
    <d v="2024-11-15T00:00:00"/>
    <b v="1"/>
    <b v="0"/>
    <s v="Wants-based"/>
    <x v="0"/>
    <n v="1"/>
  </r>
  <r>
    <x v="570"/>
    <n v="24"/>
    <s v="Male"/>
    <x v="0"/>
    <x v="0"/>
    <x v="2"/>
    <x v="1"/>
    <s v="Nanhuang"/>
    <s v="Home Appliances"/>
    <x v="568"/>
    <n v="7"/>
    <x v="0"/>
    <n v="2"/>
    <n v="4"/>
    <n v="0"/>
    <s v="High"/>
    <s v="Somewhat Sensitive"/>
    <n v="0"/>
    <n v="7"/>
    <s v="None"/>
    <s v="Tablet"/>
    <s v="Cash"/>
    <d v="2024-07-24T00:00:00"/>
    <b v="1"/>
    <b v="1"/>
    <s v="Impulsive"/>
    <x v="0"/>
    <n v="1"/>
  </r>
  <r>
    <x v="571"/>
    <n v="22"/>
    <s v="Male"/>
    <x v="0"/>
    <x v="0"/>
    <x v="2"/>
    <x v="1"/>
    <s v="Tanudan"/>
    <s v="Groceries"/>
    <x v="569"/>
    <n v="4"/>
    <x v="0"/>
    <n v="1"/>
    <n v="4"/>
    <n v="1"/>
    <s v="None"/>
    <s v="Somewhat Sensitive"/>
    <n v="2"/>
    <n v="8"/>
    <s v="Low"/>
    <s v="Smartphone"/>
    <s v="Credit Card"/>
    <d v="2024-01-27T00:00:00"/>
    <b v="1"/>
    <b v="1"/>
    <s v="Wants-based"/>
    <x v="0"/>
    <n v="4"/>
  </r>
  <r>
    <x v="572"/>
    <n v="46"/>
    <s v="Male"/>
    <x v="1"/>
    <x v="1"/>
    <x v="1"/>
    <x v="0"/>
    <s v="Jiaozuo"/>
    <s v="Electronics"/>
    <x v="570"/>
    <n v="6"/>
    <x v="2"/>
    <n v="5"/>
    <n v="5"/>
    <n v="2"/>
    <s v="High"/>
    <s v="Somewhat Sensitive"/>
    <n v="2"/>
    <n v="4"/>
    <s v="High"/>
    <s v="Smartphone"/>
    <s v="Debit Card"/>
    <d v="2024-05-15T00:00:00"/>
    <b v="0"/>
    <b v="1"/>
    <s v="Need-based"/>
    <x v="0"/>
    <n v="13"/>
  </r>
  <r>
    <x v="573"/>
    <n v="37"/>
    <s v="Female"/>
    <x v="0"/>
    <x v="0"/>
    <x v="0"/>
    <x v="0"/>
    <s v="Takāb"/>
    <s v="Software &amp; Apps"/>
    <x v="571"/>
    <n v="6"/>
    <x v="0"/>
    <n v="2"/>
    <n v="4"/>
    <n v="0"/>
    <s v="High"/>
    <s v="Somewhat Sensitive"/>
    <n v="1"/>
    <n v="7"/>
    <s v="None"/>
    <s v="Smartphone"/>
    <s v="Other"/>
    <d v="2024-01-20T00:00:00"/>
    <b v="1"/>
    <b v="0"/>
    <s v="Impulsive"/>
    <x v="2"/>
    <n v="7"/>
  </r>
  <r>
    <x v="574"/>
    <n v="34"/>
    <s v="Male"/>
    <x v="1"/>
    <x v="1"/>
    <x v="0"/>
    <x v="1"/>
    <s v="Gualeguay"/>
    <s v="Travel &amp; Leisure (Flights"/>
    <x v="572"/>
    <n v="8"/>
    <x v="2"/>
    <n v="5"/>
    <n v="3"/>
    <n v="2"/>
    <s v="Medium"/>
    <s v="Somewhat Sensitive"/>
    <n v="0"/>
    <n v="3"/>
    <s v="Medium"/>
    <s v="Tablet"/>
    <s v="Cash"/>
    <d v="2024-04-11T00:00:00"/>
    <b v="0"/>
    <b v="1"/>
    <s v="Planned"/>
    <x v="1"/>
    <n v="1"/>
  </r>
  <r>
    <x v="575"/>
    <n v="32"/>
    <s v="Male"/>
    <x v="0"/>
    <x v="1"/>
    <x v="2"/>
    <x v="1"/>
    <s v="Lagoa Seca"/>
    <s v="Groceries"/>
    <x v="573"/>
    <n v="2"/>
    <x v="2"/>
    <n v="3"/>
    <n v="5"/>
    <n v="1"/>
    <s v="None"/>
    <s v="Not Sensitive"/>
    <n v="2"/>
    <n v="2"/>
    <s v="Low"/>
    <s v="Desktop"/>
    <s v="Other"/>
    <d v="2024-11-10T00:00:00"/>
    <b v="1"/>
    <b v="0"/>
    <s v="Need-based"/>
    <x v="0"/>
    <n v="13"/>
  </r>
  <r>
    <x v="576"/>
    <n v="44"/>
    <s v="Male"/>
    <x v="1"/>
    <x v="3"/>
    <x v="1"/>
    <x v="0"/>
    <s v="Bugarama"/>
    <s v="Gardening &amp; Outdoors"/>
    <x v="574"/>
    <n v="2"/>
    <x v="1"/>
    <n v="4"/>
    <n v="2"/>
    <n v="0"/>
    <s v="None"/>
    <s v="Somewhat Sensitive"/>
    <n v="1"/>
    <n v="6"/>
    <s v="Medium"/>
    <s v="Desktop"/>
    <s v="PayPal"/>
    <d v="2024-04-18T00:00:00"/>
    <b v="0"/>
    <b v="0"/>
    <s v="Wants-based"/>
    <x v="2"/>
    <n v="14"/>
  </r>
  <r>
    <x v="577"/>
    <n v="24"/>
    <s v="Female"/>
    <x v="0"/>
    <x v="3"/>
    <x v="0"/>
    <x v="0"/>
    <s v="Dicamay"/>
    <s v="Mobile Accessories"/>
    <x v="575"/>
    <n v="11"/>
    <x v="0"/>
    <n v="5"/>
    <n v="4"/>
    <n v="0"/>
    <s v="Medium"/>
    <s v="Somewhat Sensitive"/>
    <n v="0"/>
    <n v="6"/>
    <s v="High"/>
    <s v="Tablet"/>
    <s v="PayPal"/>
    <d v="2024-04-24T00:00:00"/>
    <b v="0"/>
    <b v="1"/>
    <s v="Impulsive"/>
    <x v="2"/>
    <n v="2"/>
  </r>
  <r>
    <x v="578"/>
    <n v="22"/>
    <s v="Genderqueer"/>
    <x v="0"/>
    <x v="2"/>
    <x v="2"/>
    <x v="0"/>
    <s v="Xiluodu"/>
    <s v="Luxury Goods"/>
    <x v="576"/>
    <n v="5"/>
    <x v="2"/>
    <n v="2"/>
    <n v="2"/>
    <n v="0"/>
    <s v="High"/>
    <s v="Very Sensitive"/>
    <n v="1"/>
    <n v="6"/>
    <s v="Medium"/>
    <s v="Desktop"/>
    <s v="PayPal"/>
    <d v="2024-11-19T00:00:00"/>
    <b v="1"/>
    <b v="0"/>
    <s v="Need-based"/>
    <x v="2"/>
    <n v="1"/>
  </r>
  <r>
    <x v="579"/>
    <n v="37"/>
    <s v="Agender"/>
    <x v="1"/>
    <x v="1"/>
    <x v="1"/>
    <x v="1"/>
    <s v="Ḩabābah"/>
    <s v="Clothing"/>
    <x v="577"/>
    <n v="2"/>
    <x v="1"/>
    <n v="2"/>
    <n v="2"/>
    <n v="0"/>
    <s v="High"/>
    <s v="Not Sensitive"/>
    <n v="0"/>
    <n v="4"/>
    <s v="Low"/>
    <s v="Tablet"/>
    <s v="Credit Card"/>
    <d v="2024-01-12T00:00:00"/>
    <b v="0"/>
    <b v="0"/>
    <s v="Impulsive"/>
    <x v="1"/>
    <n v="1"/>
  </r>
  <r>
    <x v="580"/>
    <n v="41"/>
    <s v="Female"/>
    <x v="0"/>
    <x v="3"/>
    <x v="2"/>
    <x v="1"/>
    <s v="Lobuk"/>
    <s v="Clothing"/>
    <x v="578"/>
    <n v="7"/>
    <x v="1"/>
    <n v="4"/>
    <n v="5"/>
    <n v="0"/>
    <s v="None"/>
    <s v="Not Sensitive"/>
    <n v="0"/>
    <n v="1"/>
    <s v="None"/>
    <s v="Tablet"/>
    <s v="Debit Card"/>
    <d v="2024-03-11T00:00:00"/>
    <b v="1"/>
    <b v="0"/>
    <s v="Planned"/>
    <x v="0"/>
    <n v="8"/>
  </r>
  <r>
    <x v="581"/>
    <n v="32"/>
    <s v="Male"/>
    <x v="1"/>
    <x v="3"/>
    <x v="1"/>
    <x v="0"/>
    <s v="Waiwukak"/>
    <s v="Office Supplies"/>
    <x v="579"/>
    <n v="7"/>
    <x v="1"/>
    <n v="5"/>
    <n v="3"/>
    <n v="1"/>
    <s v="None"/>
    <s v="Very Sensitive"/>
    <n v="2"/>
    <n v="6"/>
    <s v="Low"/>
    <s v="Smartphone"/>
    <s v="PayPal"/>
    <d v="2024-10-11T00:00:00"/>
    <b v="0"/>
    <b v="0"/>
    <s v="Wants-based"/>
    <x v="2"/>
    <n v="7"/>
  </r>
  <r>
    <x v="582"/>
    <n v="37"/>
    <s v="Female"/>
    <x v="1"/>
    <x v="3"/>
    <x v="0"/>
    <x v="1"/>
    <s v="Abaeté"/>
    <s v="Arts &amp; Crafts"/>
    <x v="580"/>
    <n v="6"/>
    <x v="1"/>
    <n v="5"/>
    <n v="5"/>
    <n v="0"/>
    <s v="Medium"/>
    <s v="Very Sensitive"/>
    <n v="0"/>
    <n v="7"/>
    <s v="Low"/>
    <s v="Desktop"/>
    <s v="Other"/>
    <d v="2024-12-15T00:00:00"/>
    <b v="0"/>
    <b v="1"/>
    <s v="Impulsive"/>
    <x v="1"/>
    <n v="7"/>
  </r>
  <r>
    <x v="583"/>
    <n v="41"/>
    <s v="Male"/>
    <x v="0"/>
    <x v="2"/>
    <x v="1"/>
    <x v="0"/>
    <s v="Xiaqiao"/>
    <s v="Food &amp; Beverages"/>
    <x v="581"/>
    <n v="12"/>
    <x v="1"/>
    <n v="5"/>
    <n v="3"/>
    <n v="2"/>
    <s v="High"/>
    <s v="Very Sensitive"/>
    <n v="0"/>
    <n v="4"/>
    <s v="Low"/>
    <s v="Desktop"/>
    <s v="Cash"/>
    <d v="2024-06-11T00:00:00"/>
    <b v="1"/>
    <b v="1"/>
    <s v="Impulsive"/>
    <x v="1"/>
    <n v="12"/>
  </r>
  <r>
    <x v="584"/>
    <n v="37"/>
    <s v="Female"/>
    <x v="1"/>
    <x v="1"/>
    <x v="1"/>
    <x v="1"/>
    <s v="Zubūbah"/>
    <s v="Books"/>
    <x v="24"/>
    <n v="12"/>
    <x v="1"/>
    <n v="2"/>
    <n v="5"/>
    <n v="0"/>
    <s v="None"/>
    <s v="Very Sensitive"/>
    <n v="0"/>
    <n v="9"/>
    <s v="Low"/>
    <s v="Tablet"/>
    <s v="Credit Card"/>
    <d v="2024-05-08T00:00:00"/>
    <b v="0"/>
    <b v="1"/>
    <s v="Planned"/>
    <x v="2"/>
    <n v="6"/>
  </r>
  <r>
    <x v="585"/>
    <n v="43"/>
    <s v="Male"/>
    <x v="0"/>
    <x v="2"/>
    <x v="1"/>
    <x v="1"/>
    <s v="Kęsowo"/>
    <s v="Animal Feed"/>
    <x v="582"/>
    <n v="12"/>
    <x v="0"/>
    <n v="1"/>
    <n v="2"/>
    <n v="1"/>
    <s v="Medium"/>
    <s v="Very Sensitive"/>
    <n v="0"/>
    <n v="7"/>
    <s v="Medium"/>
    <s v="Tablet"/>
    <s v="Other"/>
    <d v="2024-10-12T00:00:00"/>
    <b v="1"/>
    <b v="0"/>
    <s v="Planned"/>
    <x v="1"/>
    <n v="9"/>
  </r>
  <r>
    <x v="586"/>
    <n v="49"/>
    <s v="Male"/>
    <x v="1"/>
    <x v="1"/>
    <x v="1"/>
    <x v="0"/>
    <s v="Colombo"/>
    <s v="Baby Products"/>
    <x v="583"/>
    <n v="6"/>
    <x v="0"/>
    <n v="2"/>
    <n v="1"/>
    <n v="0"/>
    <s v="Medium"/>
    <s v="Somewhat Sensitive"/>
    <n v="2"/>
    <n v="7"/>
    <s v="Medium"/>
    <s v="Tablet"/>
    <s v="PayPal"/>
    <d v="2024-10-05T00:00:00"/>
    <b v="1"/>
    <b v="0"/>
    <s v="Wants-based"/>
    <x v="2"/>
    <n v="12"/>
  </r>
  <r>
    <x v="587"/>
    <n v="27"/>
    <s v="Female"/>
    <x v="1"/>
    <x v="1"/>
    <x v="0"/>
    <x v="1"/>
    <s v="Messíni"/>
    <s v="Food &amp; Beverages"/>
    <x v="584"/>
    <n v="2"/>
    <x v="2"/>
    <n v="1"/>
    <n v="5"/>
    <n v="1"/>
    <s v="High"/>
    <s v="Very Sensitive"/>
    <n v="1"/>
    <n v="2"/>
    <s v="None"/>
    <s v="Tablet"/>
    <s v="PayPal"/>
    <d v="2024-11-19T00:00:00"/>
    <b v="0"/>
    <b v="1"/>
    <s v="Wants-based"/>
    <x v="1"/>
    <n v="10"/>
  </r>
  <r>
    <x v="588"/>
    <n v="41"/>
    <s v="Male"/>
    <x v="0"/>
    <x v="2"/>
    <x v="1"/>
    <x v="1"/>
    <s v="Yishui"/>
    <s v="Health Care"/>
    <x v="585"/>
    <n v="6"/>
    <x v="2"/>
    <n v="5"/>
    <n v="1"/>
    <n v="1"/>
    <s v="Low"/>
    <s v="Somewhat Sensitive"/>
    <n v="1"/>
    <n v="8"/>
    <s v="None"/>
    <s v="Tablet"/>
    <s v="Debit Card"/>
    <d v="2024-01-12T00:00:00"/>
    <b v="0"/>
    <b v="1"/>
    <s v="Need-based"/>
    <x v="1"/>
    <n v="9"/>
  </r>
  <r>
    <x v="589"/>
    <n v="33"/>
    <s v="Male"/>
    <x v="1"/>
    <x v="3"/>
    <x v="0"/>
    <x v="0"/>
    <s v="Nanyaojie"/>
    <s v="Packages)"/>
    <x v="586"/>
    <n v="2"/>
    <x v="1"/>
    <n v="2"/>
    <n v="1"/>
    <n v="1"/>
    <s v="High"/>
    <s v="Very Sensitive"/>
    <n v="2"/>
    <n v="8"/>
    <s v="Medium"/>
    <s v="Tablet"/>
    <s v="Cash"/>
    <d v="2024-12-09T00:00:00"/>
    <b v="1"/>
    <b v="1"/>
    <s v="Planned"/>
    <x v="0"/>
    <n v="10"/>
  </r>
  <r>
    <x v="590"/>
    <n v="46"/>
    <s v="Male"/>
    <x v="0"/>
    <x v="3"/>
    <x v="2"/>
    <x v="0"/>
    <s v="Buzen"/>
    <s v="Travel &amp; Leisure (Flights"/>
    <x v="587"/>
    <n v="3"/>
    <x v="1"/>
    <n v="1"/>
    <n v="5"/>
    <n v="0"/>
    <s v="Medium"/>
    <s v="Somewhat Sensitive"/>
    <n v="2"/>
    <n v="7"/>
    <s v="None"/>
    <s v="Smartphone"/>
    <s v="PayPal"/>
    <d v="2024-01-15T00:00:00"/>
    <b v="0"/>
    <b v="0"/>
    <s v="Wants-based"/>
    <x v="0"/>
    <n v="6"/>
  </r>
  <r>
    <x v="591"/>
    <n v="42"/>
    <s v="Female"/>
    <x v="0"/>
    <x v="0"/>
    <x v="0"/>
    <x v="0"/>
    <s v="Bom Jesus do Itabapoana"/>
    <s v="Travel &amp; Leisure (Flights"/>
    <x v="588"/>
    <n v="4"/>
    <x v="1"/>
    <n v="4"/>
    <n v="4"/>
    <n v="2"/>
    <s v="None"/>
    <s v="Somewhat Sensitive"/>
    <n v="1"/>
    <n v="6"/>
    <s v="High"/>
    <s v="Smartphone"/>
    <s v="Debit Card"/>
    <d v="2024-11-21T00:00:00"/>
    <b v="0"/>
    <b v="0"/>
    <s v="Wants-based"/>
    <x v="2"/>
    <n v="3"/>
  </r>
  <r>
    <x v="592"/>
    <n v="27"/>
    <s v="Male"/>
    <x v="0"/>
    <x v="2"/>
    <x v="1"/>
    <x v="0"/>
    <s v="Centenario"/>
    <s v="Beauty &amp; Personal Care"/>
    <x v="589"/>
    <n v="12"/>
    <x v="0"/>
    <n v="2"/>
    <n v="5"/>
    <n v="0.3"/>
    <s v="Low"/>
    <s v="Very Sensitive"/>
    <n v="0"/>
    <n v="4"/>
    <s v="Low"/>
    <s v="Desktop"/>
    <s v="Credit Card"/>
    <d v="2024-07-05T00:00:00"/>
    <b v="0"/>
    <b v="1"/>
    <s v="Need-based"/>
    <x v="0"/>
    <n v="7"/>
  </r>
  <r>
    <x v="593"/>
    <n v="29"/>
    <s v="Male"/>
    <x v="1"/>
    <x v="3"/>
    <x v="0"/>
    <x v="0"/>
    <s v="Al Jīzah"/>
    <s v="Animal Feed"/>
    <x v="590"/>
    <n v="9"/>
    <x v="1"/>
    <n v="4"/>
    <n v="1"/>
    <n v="0"/>
    <s v="Low"/>
    <s v="Not Sensitive"/>
    <n v="1"/>
    <n v="6"/>
    <s v="High"/>
    <s v="Tablet"/>
    <s v="PayPal"/>
    <d v="2024-11-15T00:00:00"/>
    <b v="1"/>
    <b v="1"/>
    <s v="Need-based"/>
    <x v="0"/>
    <n v="8"/>
  </r>
  <r>
    <x v="594"/>
    <n v="38"/>
    <s v="Male"/>
    <x v="1"/>
    <x v="1"/>
    <x v="2"/>
    <x v="0"/>
    <s v="Thị Trấn Cẩm Thủy"/>
    <s v="Electronics"/>
    <x v="591"/>
    <n v="8"/>
    <x v="2"/>
    <n v="5"/>
    <n v="2"/>
    <n v="1"/>
    <s v="None"/>
    <s v="Somewhat Sensitive"/>
    <n v="2"/>
    <n v="10"/>
    <s v="High"/>
    <s v="Desktop"/>
    <s v="PayPal"/>
    <d v="2024-07-06T00:00:00"/>
    <b v="0"/>
    <b v="1"/>
    <s v="Impulsive"/>
    <x v="2"/>
    <n v="3"/>
  </r>
  <r>
    <x v="595"/>
    <n v="21"/>
    <s v="Male"/>
    <x v="0"/>
    <x v="2"/>
    <x v="0"/>
    <x v="0"/>
    <s v="Curahkalak Tengah"/>
    <s v="Gardening &amp; Outdoors"/>
    <x v="592"/>
    <n v="9"/>
    <x v="0"/>
    <n v="2"/>
    <n v="1"/>
    <n v="2"/>
    <s v="High"/>
    <s v="Not Sensitive"/>
    <n v="2"/>
    <n v="8"/>
    <s v="Medium"/>
    <s v="Smartphone"/>
    <s v="Other"/>
    <d v="2024-08-23T00:00:00"/>
    <b v="0"/>
    <b v="1"/>
    <s v="Need-based"/>
    <x v="2"/>
    <n v="13"/>
  </r>
  <r>
    <x v="596"/>
    <n v="18"/>
    <s v="Male"/>
    <x v="0"/>
    <x v="1"/>
    <x v="0"/>
    <x v="0"/>
    <s v="Ebu"/>
    <s v="Electronics"/>
    <x v="593"/>
    <n v="5"/>
    <x v="2"/>
    <n v="4"/>
    <n v="1"/>
    <n v="2"/>
    <s v="Medium"/>
    <s v="Somewhat Sensitive"/>
    <n v="2"/>
    <n v="5"/>
    <s v="None"/>
    <s v="Desktop"/>
    <s v="Other"/>
    <d v="2024-08-30T00:00:00"/>
    <b v="1"/>
    <b v="1"/>
    <s v="Planned"/>
    <x v="2"/>
    <n v="14"/>
  </r>
  <r>
    <x v="597"/>
    <n v="44"/>
    <s v="Non-binary"/>
    <x v="0"/>
    <x v="1"/>
    <x v="0"/>
    <x v="0"/>
    <s v="Tío Pujio"/>
    <s v="Mobile Accessories"/>
    <x v="594"/>
    <n v="6"/>
    <x v="2"/>
    <n v="1"/>
    <n v="4"/>
    <n v="2"/>
    <s v="High"/>
    <s v="Very Sensitive"/>
    <n v="2"/>
    <n v="5"/>
    <s v="Low"/>
    <s v="Smartphone"/>
    <s v="Credit Card"/>
    <d v="2024-03-16T00:00:00"/>
    <b v="1"/>
    <b v="0"/>
    <s v="Impulsive"/>
    <x v="1"/>
    <n v="7"/>
  </r>
  <r>
    <x v="598"/>
    <n v="22"/>
    <s v="Male"/>
    <x v="0"/>
    <x v="0"/>
    <x v="1"/>
    <x v="1"/>
    <s v="Créteil"/>
    <s v="Office Supplies"/>
    <x v="595"/>
    <n v="12"/>
    <x v="1"/>
    <n v="2"/>
    <n v="1"/>
    <n v="2"/>
    <s v="None"/>
    <s v="Somewhat Sensitive"/>
    <n v="1"/>
    <n v="1"/>
    <s v="None"/>
    <s v="Tablet"/>
    <s v="Debit Card"/>
    <d v="2024-08-17T00:00:00"/>
    <b v="0"/>
    <b v="0"/>
    <s v="Impulsive"/>
    <x v="1"/>
    <n v="12"/>
  </r>
  <r>
    <x v="599"/>
    <n v="18"/>
    <s v="Female"/>
    <x v="0"/>
    <x v="3"/>
    <x v="1"/>
    <x v="1"/>
    <s v="Shaxi"/>
    <s v="Food &amp; Beverages"/>
    <x v="596"/>
    <n v="4"/>
    <x v="0"/>
    <n v="3"/>
    <n v="1"/>
    <n v="2"/>
    <s v="Low"/>
    <s v="Very Sensitive"/>
    <n v="0"/>
    <n v="8"/>
    <s v="High"/>
    <s v="Smartphone"/>
    <s v="Debit Card"/>
    <d v="2024-02-27T00:00:00"/>
    <b v="0"/>
    <b v="0"/>
    <s v="Wants-based"/>
    <x v="1"/>
    <n v="12"/>
  </r>
  <r>
    <x v="600"/>
    <n v="24"/>
    <s v="Female"/>
    <x v="0"/>
    <x v="2"/>
    <x v="2"/>
    <x v="0"/>
    <s v="Kelīshād va Sūdarjān"/>
    <s v="Animal Feed"/>
    <x v="597"/>
    <n v="5"/>
    <x v="0"/>
    <n v="4"/>
    <n v="4"/>
    <n v="1"/>
    <s v="None"/>
    <s v="Not Sensitive"/>
    <n v="2"/>
    <n v="4"/>
    <s v="Medium"/>
    <s v="Smartphone"/>
    <s v="Debit Card"/>
    <d v="2024-02-14T00:00:00"/>
    <b v="0"/>
    <b v="1"/>
    <s v="Need-based"/>
    <x v="2"/>
    <n v="5"/>
  </r>
  <r>
    <x v="601"/>
    <n v="28"/>
    <s v="Male"/>
    <x v="1"/>
    <x v="3"/>
    <x v="1"/>
    <x v="0"/>
    <s v="Punta Gorda"/>
    <s v="Luxury Goods"/>
    <x v="421"/>
    <n v="11"/>
    <x v="2"/>
    <n v="1"/>
    <n v="3"/>
    <n v="1"/>
    <s v="Low"/>
    <s v="Somewhat Sensitive"/>
    <n v="0"/>
    <n v="8"/>
    <s v="High"/>
    <s v="Tablet"/>
    <s v="Credit Card"/>
    <d v="2024-06-24T00:00:00"/>
    <b v="1"/>
    <b v="0"/>
    <s v="Planned"/>
    <x v="0"/>
    <n v="6"/>
  </r>
  <r>
    <x v="602"/>
    <n v="24"/>
    <s v="Male"/>
    <x v="1"/>
    <x v="1"/>
    <x v="0"/>
    <x v="0"/>
    <s v="Segodim"/>
    <s v="Mobile Accessories"/>
    <x v="598"/>
    <n v="11"/>
    <x v="1"/>
    <n v="1"/>
    <n v="2"/>
    <n v="2"/>
    <s v="High"/>
    <s v="Very Sensitive"/>
    <n v="1"/>
    <n v="8"/>
    <s v="Low"/>
    <s v="Desktop"/>
    <s v="Cash"/>
    <d v="2024-07-21T00:00:00"/>
    <b v="0"/>
    <b v="1"/>
    <s v="Impulsive"/>
    <x v="2"/>
    <n v="14"/>
  </r>
  <r>
    <x v="603"/>
    <n v="40"/>
    <s v="Female"/>
    <x v="0"/>
    <x v="0"/>
    <x v="2"/>
    <x v="1"/>
    <s v="Yinying"/>
    <s v="Health Supplements"/>
    <x v="599"/>
    <n v="2"/>
    <x v="2"/>
    <n v="3"/>
    <n v="1"/>
    <n v="1"/>
    <s v="None"/>
    <s v="Not Sensitive"/>
    <n v="0"/>
    <n v="1"/>
    <s v="Medium"/>
    <s v="Smartphone"/>
    <s v="Other"/>
    <d v="2024-06-30T00:00:00"/>
    <b v="0"/>
    <b v="1"/>
    <s v="Impulsive"/>
    <x v="2"/>
    <n v="8"/>
  </r>
  <r>
    <x v="604"/>
    <n v="50"/>
    <s v="Male"/>
    <x v="1"/>
    <x v="2"/>
    <x v="0"/>
    <x v="0"/>
    <s v="Harembo"/>
    <s v="Beauty &amp; Personal Care"/>
    <x v="600"/>
    <n v="2"/>
    <x v="1"/>
    <n v="5"/>
    <n v="5"/>
    <n v="1"/>
    <s v="Low"/>
    <s v="Somewhat Sensitive"/>
    <n v="0"/>
    <n v="10"/>
    <s v="None"/>
    <s v="Desktop"/>
    <s v="Credit Card"/>
    <d v="2024-10-03T00:00:00"/>
    <b v="1"/>
    <b v="0"/>
    <s v="Planned"/>
    <x v="0"/>
    <n v="1"/>
  </r>
  <r>
    <x v="605"/>
    <n v="49"/>
    <s v="Male"/>
    <x v="0"/>
    <x v="2"/>
    <x v="2"/>
    <x v="1"/>
    <s v="Lazarevac"/>
    <s v="Books"/>
    <x v="601"/>
    <n v="9"/>
    <x v="0"/>
    <n v="2"/>
    <n v="5"/>
    <n v="2"/>
    <s v="Medium"/>
    <s v="Very Sensitive"/>
    <n v="0"/>
    <n v="2"/>
    <s v="Medium"/>
    <s v="Smartphone"/>
    <s v="Credit Card"/>
    <d v="2024-08-23T00:00:00"/>
    <b v="1"/>
    <b v="0"/>
    <s v="Need-based"/>
    <x v="1"/>
    <n v="9"/>
  </r>
  <r>
    <x v="606"/>
    <n v="35"/>
    <s v="Male"/>
    <x v="0"/>
    <x v="2"/>
    <x v="2"/>
    <x v="0"/>
    <s v="Al Jīzah"/>
    <s v="Electronics"/>
    <x v="602"/>
    <n v="8"/>
    <x v="2"/>
    <n v="3"/>
    <n v="4"/>
    <n v="0"/>
    <s v="Medium"/>
    <s v="Not Sensitive"/>
    <n v="1"/>
    <n v="10"/>
    <s v="None"/>
    <s v="Tablet"/>
    <s v="Debit Card"/>
    <d v="2024-01-13T00:00:00"/>
    <b v="0"/>
    <b v="0"/>
    <s v="Planned"/>
    <x v="0"/>
    <n v="1"/>
  </r>
  <r>
    <x v="607"/>
    <n v="25"/>
    <s v="Female"/>
    <x v="1"/>
    <x v="0"/>
    <x v="1"/>
    <x v="0"/>
    <s v="Zhongcun"/>
    <s v="Furniture"/>
    <x v="603"/>
    <n v="8"/>
    <x v="2"/>
    <n v="1"/>
    <n v="4"/>
    <n v="1"/>
    <s v="Medium"/>
    <s v="Somewhat Sensitive"/>
    <n v="2"/>
    <n v="5"/>
    <s v="Medium"/>
    <s v="Tablet"/>
    <s v="Other"/>
    <d v="2024-11-08T00:00:00"/>
    <b v="0"/>
    <b v="1"/>
    <s v="Impulsive"/>
    <x v="0"/>
    <n v="10"/>
  </r>
  <r>
    <x v="608"/>
    <n v="40"/>
    <s v="Female"/>
    <x v="1"/>
    <x v="2"/>
    <x v="1"/>
    <x v="1"/>
    <s v="Gaopeng"/>
    <s v="Mobile Accessories"/>
    <x v="604"/>
    <n v="4"/>
    <x v="1"/>
    <n v="3"/>
    <n v="5"/>
    <n v="1"/>
    <s v="Medium"/>
    <s v="Somewhat Sensitive"/>
    <n v="0"/>
    <n v="6"/>
    <s v="Medium"/>
    <s v="Tablet"/>
    <s v="PayPal"/>
    <d v="2024-01-29T00:00:00"/>
    <b v="0"/>
    <b v="1"/>
    <s v="Wants-based"/>
    <x v="2"/>
    <n v="8"/>
  </r>
  <r>
    <x v="609"/>
    <n v="40"/>
    <s v="Female"/>
    <x v="1"/>
    <x v="2"/>
    <x v="2"/>
    <x v="1"/>
    <s v="Tabonok"/>
    <s v="Electronics"/>
    <x v="605"/>
    <n v="11"/>
    <x v="1"/>
    <n v="1"/>
    <n v="2"/>
    <n v="1"/>
    <s v="None"/>
    <s v="Not Sensitive"/>
    <n v="1"/>
    <n v="1"/>
    <s v="High"/>
    <s v="Desktop"/>
    <s v="Other"/>
    <d v="2024-03-04T00:00:00"/>
    <b v="1"/>
    <b v="1"/>
    <s v="Wants-based"/>
    <x v="0"/>
    <n v="9"/>
  </r>
  <r>
    <x v="610"/>
    <n v="50"/>
    <s v="Male"/>
    <x v="0"/>
    <x v="1"/>
    <x v="0"/>
    <x v="0"/>
    <s v="Tirana"/>
    <s v="Arts &amp; Crafts"/>
    <x v="606"/>
    <n v="6"/>
    <x v="0"/>
    <n v="5"/>
    <n v="1"/>
    <n v="1"/>
    <s v="High"/>
    <s v="Somewhat Sensitive"/>
    <n v="0"/>
    <n v="9"/>
    <s v="Low"/>
    <s v="Tablet"/>
    <s v="Other"/>
    <d v="2024-06-03T00:00:00"/>
    <b v="0"/>
    <b v="0"/>
    <s v="Impulsive"/>
    <x v="2"/>
    <n v="7"/>
  </r>
  <r>
    <x v="611"/>
    <n v="24"/>
    <s v="Male"/>
    <x v="0"/>
    <x v="1"/>
    <x v="1"/>
    <x v="0"/>
    <s v="Maralal"/>
    <s v="Software &amp; Apps"/>
    <x v="607"/>
    <n v="5"/>
    <x v="1"/>
    <n v="1"/>
    <n v="1"/>
    <n v="1"/>
    <s v="None"/>
    <s v="Somewhat Sensitive"/>
    <n v="2"/>
    <n v="10"/>
    <s v="Medium"/>
    <s v="Tablet"/>
    <s v="Credit Card"/>
    <d v="2024-12-06T00:00:00"/>
    <b v="1"/>
    <b v="0"/>
    <s v="Wants-based"/>
    <x v="1"/>
    <n v="1"/>
  </r>
  <r>
    <x v="612"/>
    <n v="30"/>
    <s v="Female"/>
    <x v="0"/>
    <x v="0"/>
    <x v="0"/>
    <x v="1"/>
    <s v="Xinjiang"/>
    <s v="Travel &amp; Leisure (Flights"/>
    <x v="608"/>
    <n v="12"/>
    <x v="0"/>
    <n v="2"/>
    <n v="1"/>
    <n v="1"/>
    <s v="Medium"/>
    <s v="Very Sensitive"/>
    <n v="1"/>
    <n v="10"/>
    <s v="None"/>
    <s v="Desktop"/>
    <s v="PayPal"/>
    <d v="2024-03-26T00:00:00"/>
    <b v="1"/>
    <b v="0"/>
    <s v="Impulsive"/>
    <x v="2"/>
    <n v="13"/>
  </r>
  <r>
    <x v="613"/>
    <n v="32"/>
    <s v="Female"/>
    <x v="1"/>
    <x v="2"/>
    <x v="0"/>
    <x v="0"/>
    <s v="Mocho"/>
    <s v="Home Appliances"/>
    <x v="609"/>
    <n v="4"/>
    <x v="0"/>
    <n v="2"/>
    <n v="4"/>
    <n v="1.2"/>
    <s v="None"/>
    <s v="Somewhat Sensitive"/>
    <n v="0"/>
    <n v="6"/>
    <s v="None"/>
    <s v="Smartphone"/>
    <s v="Debit Card"/>
    <d v="2024-08-09T00:00:00"/>
    <b v="1"/>
    <b v="0"/>
    <s v="Need-based"/>
    <x v="2"/>
    <n v="10"/>
  </r>
  <r>
    <x v="614"/>
    <n v="48"/>
    <s v="Female"/>
    <x v="1"/>
    <x v="2"/>
    <x v="1"/>
    <x v="0"/>
    <s v="Likhoy"/>
    <s v="Beauty &amp; Personal Care"/>
    <x v="610"/>
    <n v="2"/>
    <x v="1"/>
    <n v="1"/>
    <n v="3"/>
    <n v="2"/>
    <s v="High"/>
    <s v="Not Sensitive"/>
    <n v="0"/>
    <n v="1"/>
    <s v="High"/>
    <s v="Tablet"/>
    <s v="Other"/>
    <d v="2024-05-17T00:00:00"/>
    <b v="1"/>
    <b v="0"/>
    <s v="Planned"/>
    <x v="0"/>
    <n v="5"/>
  </r>
  <r>
    <x v="615"/>
    <n v="44"/>
    <s v="Female"/>
    <x v="1"/>
    <x v="0"/>
    <x v="0"/>
    <x v="1"/>
    <s v="Mineiros"/>
    <s v="Luxury Goods"/>
    <x v="611"/>
    <n v="12"/>
    <x v="2"/>
    <n v="1"/>
    <n v="3"/>
    <n v="1"/>
    <s v="Low"/>
    <s v="Very Sensitive"/>
    <n v="2"/>
    <n v="10"/>
    <s v="Low"/>
    <s v="Tablet"/>
    <s v="Credit Card"/>
    <d v="2024-02-17T00:00:00"/>
    <b v="1"/>
    <b v="1"/>
    <s v="Wants-based"/>
    <x v="1"/>
    <n v="14"/>
  </r>
  <r>
    <x v="616"/>
    <n v="19"/>
    <s v="Female"/>
    <x v="1"/>
    <x v="2"/>
    <x v="2"/>
    <x v="0"/>
    <s v="Noisy-le-Grand"/>
    <s v="Groceries"/>
    <x v="612"/>
    <n v="11"/>
    <x v="0"/>
    <n v="1"/>
    <n v="4"/>
    <n v="2"/>
    <s v="Low"/>
    <s v="Somewhat Sensitive"/>
    <n v="2"/>
    <n v="10"/>
    <s v="Medium"/>
    <s v="Smartphone"/>
    <s v="PayPal"/>
    <d v="2024-01-17T00:00:00"/>
    <b v="1"/>
    <b v="0"/>
    <s v="Impulsive"/>
    <x v="2"/>
    <n v="11"/>
  </r>
  <r>
    <x v="617"/>
    <n v="39"/>
    <s v="Male"/>
    <x v="0"/>
    <x v="2"/>
    <x v="0"/>
    <x v="1"/>
    <s v="Taoyuan"/>
    <s v="Clothing"/>
    <x v="613"/>
    <n v="9"/>
    <x v="1"/>
    <n v="4"/>
    <n v="4"/>
    <n v="1"/>
    <s v="Medium"/>
    <s v="Very Sensitive"/>
    <n v="0"/>
    <n v="5"/>
    <s v="None"/>
    <s v="Desktop"/>
    <s v="Cash"/>
    <d v="2024-07-05T00:00:00"/>
    <b v="0"/>
    <b v="1"/>
    <s v="Need-based"/>
    <x v="1"/>
    <n v="7"/>
  </r>
  <r>
    <x v="618"/>
    <n v="35"/>
    <s v="Female"/>
    <x v="1"/>
    <x v="1"/>
    <x v="0"/>
    <x v="0"/>
    <s v="San Marcos de Colón"/>
    <s v="Baby Products"/>
    <x v="614"/>
    <n v="6"/>
    <x v="2"/>
    <n v="4"/>
    <n v="4"/>
    <n v="2"/>
    <s v="Low"/>
    <s v="Somewhat Sensitive"/>
    <n v="2"/>
    <n v="2"/>
    <s v="High"/>
    <s v="Desktop"/>
    <s v="Credit Card"/>
    <d v="2024-05-01T00:00:00"/>
    <b v="0"/>
    <b v="1"/>
    <s v="Need-based"/>
    <x v="1"/>
    <n v="3"/>
  </r>
  <r>
    <x v="619"/>
    <n v="39"/>
    <s v="Male"/>
    <x v="0"/>
    <x v="1"/>
    <x v="2"/>
    <x v="0"/>
    <s v="Pokrovka"/>
    <s v="Health Care"/>
    <x v="615"/>
    <n v="9"/>
    <x v="1"/>
    <n v="5"/>
    <n v="4"/>
    <n v="1"/>
    <s v="Medium"/>
    <s v="Not Sensitive"/>
    <n v="0"/>
    <n v="9"/>
    <s v="High"/>
    <s v="Smartphone"/>
    <s v="Credit Card"/>
    <d v="2024-10-06T00:00:00"/>
    <b v="1"/>
    <b v="1"/>
    <s v="Wants-based"/>
    <x v="2"/>
    <n v="8"/>
  </r>
  <r>
    <x v="620"/>
    <n v="31"/>
    <s v="Male"/>
    <x v="0"/>
    <x v="0"/>
    <x v="2"/>
    <x v="1"/>
    <s v="Shuntian"/>
    <s v="Mobile Accessories"/>
    <x v="616"/>
    <n v="4"/>
    <x v="1"/>
    <n v="4"/>
    <n v="4"/>
    <n v="2"/>
    <s v="High"/>
    <s v="Somewhat Sensitive"/>
    <n v="2"/>
    <n v="2"/>
    <s v="Low"/>
    <s v="Desktop"/>
    <s v="PayPal"/>
    <d v="2024-07-18T00:00:00"/>
    <b v="1"/>
    <b v="1"/>
    <s v="Wants-based"/>
    <x v="2"/>
    <n v="6"/>
  </r>
  <r>
    <x v="621"/>
    <n v="38"/>
    <s v="Female"/>
    <x v="1"/>
    <x v="2"/>
    <x v="0"/>
    <x v="0"/>
    <s v="João Câmara"/>
    <s v="Groceries"/>
    <x v="617"/>
    <n v="11"/>
    <x v="2"/>
    <n v="1"/>
    <n v="1"/>
    <n v="0.3"/>
    <s v="Low"/>
    <s v="Somewhat Sensitive"/>
    <n v="1"/>
    <n v="3"/>
    <s v="High"/>
    <s v="Desktop"/>
    <s v="Other"/>
    <d v="2024-04-23T00:00:00"/>
    <b v="1"/>
    <b v="0"/>
    <s v="Wants-based"/>
    <x v="0"/>
    <n v="12"/>
  </r>
  <r>
    <x v="622"/>
    <n v="33"/>
    <s v="Male"/>
    <x v="0"/>
    <x v="0"/>
    <x v="1"/>
    <x v="1"/>
    <s v="Cunha"/>
    <s v="Clothing"/>
    <x v="618"/>
    <n v="2"/>
    <x v="0"/>
    <n v="3"/>
    <n v="1"/>
    <n v="1"/>
    <s v="High"/>
    <s v="Not Sensitive"/>
    <n v="0"/>
    <n v="7"/>
    <s v="None"/>
    <s v="Smartphone"/>
    <s v="Credit Card"/>
    <d v="2024-04-02T00:00:00"/>
    <b v="0"/>
    <b v="0"/>
    <s v="Planned"/>
    <x v="0"/>
    <n v="5"/>
  </r>
  <r>
    <x v="623"/>
    <n v="33"/>
    <s v="Male"/>
    <x v="0"/>
    <x v="3"/>
    <x v="2"/>
    <x v="0"/>
    <s v="Fengyi"/>
    <s v="Jewelry &amp; Accessories"/>
    <x v="619"/>
    <n v="5"/>
    <x v="2"/>
    <n v="3"/>
    <n v="4"/>
    <n v="1.3"/>
    <s v="Medium"/>
    <s v="Very Sensitive"/>
    <n v="2"/>
    <n v="10"/>
    <s v="None"/>
    <s v="Desktop"/>
    <s v="PayPal"/>
    <d v="2024-09-20T00:00:00"/>
    <b v="0"/>
    <b v="1"/>
    <s v="Wants-based"/>
    <x v="1"/>
    <n v="14"/>
  </r>
  <r>
    <x v="624"/>
    <n v="42"/>
    <s v="Agender"/>
    <x v="0"/>
    <x v="0"/>
    <x v="0"/>
    <x v="1"/>
    <s v="Myshkin"/>
    <s v="Packages)"/>
    <x v="620"/>
    <n v="10"/>
    <x v="2"/>
    <n v="4"/>
    <n v="3"/>
    <n v="2"/>
    <s v="None"/>
    <s v="Very Sensitive"/>
    <n v="2"/>
    <n v="9"/>
    <s v="Medium"/>
    <s v="Tablet"/>
    <s v="Cash"/>
    <d v="2024-07-26T00:00:00"/>
    <b v="0"/>
    <b v="0"/>
    <s v="Need-based"/>
    <x v="1"/>
    <n v="1"/>
  </r>
  <r>
    <x v="625"/>
    <n v="49"/>
    <s v="Male"/>
    <x v="0"/>
    <x v="3"/>
    <x v="1"/>
    <x v="1"/>
    <s v="Tewulike"/>
    <s v="Hotels"/>
    <x v="621"/>
    <n v="6"/>
    <x v="0"/>
    <n v="2"/>
    <n v="5"/>
    <n v="1"/>
    <s v="Low"/>
    <s v="Very Sensitive"/>
    <n v="2"/>
    <n v="7"/>
    <s v="Low"/>
    <s v="Tablet"/>
    <s v="Cash"/>
    <d v="2024-10-03T00:00:00"/>
    <b v="0"/>
    <b v="0"/>
    <s v="Impulsive"/>
    <x v="0"/>
    <n v="12"/>
  </r>
  <r>
    <x v="626"/>
    <n v="46"/>
    <s v="Non-binary"/>
    <x v="0"/>
    <x v="3"/>
    <x v="1"/>
    <x v="1"/>
    <s v="Bistrinci"/>
    <s v="Sports &amp; Outdoors"/>
    <x v="622"/>
    <n v="11"/>
    <x v="1"/>
    <n v="1"/>
    <n v="5"/>
    <n v="1"/>
    <s v="Medium"/>
    <s v="Very Sensitive"/>
    <n v="1"/>
    <n v="6"/>
    <s v="Low"/>
    <s v="Desktop"/>
    <s v="Debit Card"/>
    <d v="2024-02-27T00:00:00"/>
    <b v="1"/>
    <b v="1"/>
    <s v="Planned"/>
    <x v="2"/>
    <n v="1"/>
  </r>
  <r>
    <x v="627"/>
    <n v="42"/>
    <s v="Male"/>
    <x v="1"/>
    <x v="1"/>
    <x v="0"/>
    <x v="0"/>
    <s v="Chenguang"/>
    <s v="Books"/>
    <x v="623"/>
    <n v="4"/>
    <x v="0"/>
    <n v="1"/>
    <n v="3"/>
    <n v="1"/>
    <s v="High"/>
    <s v="Somewhat Sensitive"/>
    <n v="1"/>
    <n v="1"/>
    <s v="High"/>
    <s v="Smartphone"/>
    <s v="Cash"/>
    <d v="2024-04-08T00:00:00"/>
    <b v="1"/>
    <b v="1"/>
    <s v="Planned"/>
    <x v="1"/>
    <n v="1"/>
  </r>
  <r>
    <x v="628"/>
    <n v="44"/>
    <s v="Female"/>
    <x v="0"/>
    <x v="0"/>
    <x v="2"/>
    <x v="1"/>
    <s v="Muara"/>
    <s v="Luxury Goods"/>
    <x v="624"/>
    <n v="3"/>
    <x v="1"/>
    <n v="4"/>
    <n v="3"/>
    <n v="1"/>
    <s v="High"/>
    <s v="Somewhat Sensitive"/>
    <n v="0"/>
    <n v="4"/>
    <s v="None"/>
    <s v="Desktop"/>
    <s v="Other"/>
    <d v="2024-08-23T00:00:00"/>
    <b v="1"/>
    <b v="1"/>
    <s v="Impulsive"/>
    <x v="1"/>
    <n v="4"/>
  </r>
  <r>
    <x v="629"/>
    <n v="33"/>
    <s v="Female"/>
    <x v="1"/>
    <x v="3"/>
    <x v="2"/>
    <x v="0"/>
    <s v="Qorveh"/>
    <s v="Jewelry &amp; Accessories"/>
    <x v="625"/>
    <n v="11"/>
    <x v="2"/>
    <n v="3"/>
    <n v="2"/>
    <n v="2"/>
    <s v="Medium"/>
    <s v="Very Sensitive"/>
    <n v="0"/>
    <n v="4"/>
    <s v="Low"/>
    <s v="Tablet"/>
    <s v="Cash"/>
    <d v="2024-09-10T00:00:00"/>
    <b v="1"/>
    <b v="0"/>
    <s v="Planned"/>
    <x v="2"/>
    <n v="4"/>
  </r>
  <r>
    <x v="630"/>
    <n v="36"/>
    <s v="Male"/>
    <x v="0"/>
    <x v="2"/>
    <x v="2"/>
    <x v="0"/>
    <s v="Bom Despacho"/>
    <s v="Luxury Goods"/>
    <x v="626"/>
    <n v="2"/>
    <x v="1"/>
    <n v="2"/>
    <n v="3"/>
    <n v="1"/>
    <s v="High"/>
    <s v="Somewhat Sensitive"/>
    <n v="0"/>
    <n v="3"/>
    <s v="Medium"/>
    <s v="Smartphone"/>
    <s v="Credit Card"/>
    <d v="2024-03-06T00:00:00"/>
    <b v="1"/>
    <b v="0"/>
    <s v="Need-based"/>
    <x v="1"/>
    <n v="8"/>
  </r>
  <r>
    <x v="631"/>
    <n v="35"/>
    <s v="Male"/>
    <x v="1"/>
    <x v="3"/>
    <x v="2"/>
    <x v="0"/>
    <s v="Arhust"/>
    <s v="Health Supplements"/>
    <x v="627"/>
    <n v="12"/>
    <x v="2"/>
    <n v="2"/>
    <n v="2"/>
    <n v="0"/>
    <s v="High"/>
    <s v="Very Sensitive"/>
    <n v="2"/>
    <n v="10"/>
    <s v="Low"/>
    <s v="Desktop"/>
    <s v="PayPal"/>
    <d v="2024-07-07T00:00:00"/>
    <b v="1"/>
    <b v="1"/>
    <s v="Planned"/>
    <x v="1"/>
    <n v="2"/>
  </r>
  <r>
    <x v="632"/>
    <n v="26"/>
    <s v="Male"/>
    <x v="1"/>
    <x v="3"/>
    <x v="0"/>
    <x v="0"/>
    <s v="Thaton"/>
    <s v="Home Appliances"/>
    <x v="628"/>
    <n v="4"/>
    <x v="0"/>
    <n v="5"/>
    <n v="5"/>
    <n v="0"/>
    <s v="Low"/>
    <s v="Somewhat Sensitive"/>
    <n v="1"/>
    <n v="5"/>
    <s v="Low"/>
    <s v="Smartphone"/>
    <s v="Credit Card"/>
    <d v="2024-09-08T00:00:00"/>
    <b v="1"/>
    <b v="1"/>
    <s v="Need-based"/>
    <x v="2"/>
    <n v="8"/>
  </r>
  <r>
    <x v="633"/>
    <n v="43"/>
    <s v="Female"/>
    <x v="1"/>
    <x v="2"/>
    <x v="0"/>
    <x v="1"/>
    <s v="Changbai"/>
    <s v="Animal Feed"/>
    <x v="629"/>
    <n v="5"/>
    <x v="2"/>
    <n v="4"/>
    <n v="3"/>
    <n v="2"/>
    <s v="None"/>
    <s v="Not Sensitive"/>
    <n v="2"/>
    <n v="7"/>
    <s v="Low"/>
    <s v="Tablet"/>
    <s v="Debit Card"/>
    <d v="2024-06-03T00:00:00"/>
    <b v="0"/>
    <b v="0"/>
    <s v="Need-based"/>
    <x v="2"/>
    <n v="7"/>
  </r>
  <r>
    <x v="634"/>
    <n v="25"/>
    <s v="Male"/>
    <x v="1"/>
    <x v="3"/>
    <x v="0"/>
    <x v="0"/>
    <s v="Kragan"/>
    <s v="Gardening &amp; Outdoors"/>
    <x v="630"/>
    <n v="11"/>
    <x v="2"/>
    <n v="3"/>
    <n v="3"/>
    <n v="2"/>
    <s v="High"/>
    <s v="Not Sensitive"/>
    <n v="2"/>
    <n v="10"/>
    <s v="None"/>
    <s v="Smartphone"/>
    <s v="Cash"/>
    <d v="2024-11-08T00:00:00"/>
    <b v="0"/>
    <b v="0"/>
    <s v="Impulsive"/>
    <x v="0"/>
    <n v="10"/>
  </r>
  <r>
    <x v="635"/>
    <n v="37"/>
    <s v="Female"/>
    <x v="1"/>
    <x v="3"/>
    <x v="2"/>
    <x v="0"/>
    <s v="Bida"/>
    <s v="Jewelry &amp; Accessories"/>
    <x v="631"/>
    <n v="3"/>
    <x v="1"/>
    <n v="4"/>
    <n v="4"/>
    <n v="2"/>
    <s v="Medium"/>
    <s v="Not Sensitive"/>
    <n v="1"/>
    <n v="4"/>
    <s v="High"/>
    <s v="Tablet"/>
    <s v="Debit Card"/>
    <d v="2024-10-16T00:00:00"/>
    <b v="0"/>
    <b v="1"/>
    <s v="Wants-based"/>
    <x v="0"/>
    <n v="14"/>
  </r>
  <r>
    <x v="636"/>
    <n v="25"/>
    <s v="Male"/>
    <x v="1"/>
    <x v="2"/>
    <x v="0"/>
    <x v="0"/>
    <s v="Pointe Michel"/>
    <s v="Home Appliances"/>
    <x v="632"/>
    <n v="3"/>
    <x v="2"/>
    <n v="1"/>
    <n v="2"/>
    <n v="1"/>
    <s v="Medium"/>
    <s v="Very Sensitive"/>
    <n v="1"/>
    <n v="1"/>
    <s v="None"/>
    <s v="Desktop"/>
    <s v="PayPal"/>
    <d v="2024-07-03T00:00:00"/>
    <b v="0"/>
    <b v="1"/>
    <s v="Need-based"/>
    <x v="1"/>
    <n v="3"/>
  </r>
  <r>
    <x v="637"/>
    <n v="40"/>
    <s v="Female"/>
    <x v="0"/>
    <x v="3"/>
    <x v="1"/>
    <x v="0"/>
    <s v="Juyuan"/>
    <s v="Beauty &amp; Personal Care"/>
    <x v="633"/>
    <n v="3"/>
    <x v="0"/>
    <n v="4"/>
    <n v="5"/>
    <n v="0.3"/>
    <s v="None"/>
    <s v="Not Sensitive"/>
    <n v="2"/>
    <n v="5"/>
    <s v="None"/>
    <s v="Tablet"/>
    <s v="Debit Card"/>
    <d v="2024-07-18T00:00:00"/>
    <b v="0"/>
    <b v="0"/>
    <s v="Wants-based"/>
    <x v="2"/>
    <n v="14"/>
  </r>
  <r>
    <x v="638"/>
    <n v="40"/>
    <s v="Female"/>
    <x v="0"/>
    <x v="0"/>
    <x v="0"/>
    <x v="1"/>
    <s v="Sabugo"/>
    <s v="Sports &amp; Outdoors"/>
    <x v="634"/>
    <n v="2"/>
    <x v="1"/>
    <n v="4"/>
    <n v="2"/>
    <n v="2"/>
    <s v="None"/>
    <s v="Not Sensitive"/>
    <n v="0"/>
    <n v="4"/>
    <s v="Medium"/>
    <s v="Smartphone"/>
    <s v="Debit Card"/>
    <d v="2024-03-14T00:00:00"/>
    <b v="0"/>
    <b v="0"/>
    <s v="Wants-based"/>
    <x v="0"/>
    <n v="3"/>
  </r>
  <r>
    <x v="639"/>
    <n v="20"/>
    <s v="Female"/>
    <x v="0"/>
    <x v="2"/>
    <x v="1"/>
    <x v="0"/>
    <s v="Huangjin"/>
    <s v="Jewelry &amp; Accessories"/>
    <x v="635"/>
    <n v="5"/>
    <x v="2"/>
    <n v="5"/>
    <n v="5"/>
    <n v="1"/>
    <s v="Medium"/>
    <s v="Very Sensitive"/>
    <n v="1"/>
    <n v="9"/>
    <s v="None"/>
    <s v="Smartphone"/>
    <s v="Cash"/>
    <d v="2024-12-09T00:00:00"/>
    <b v="0"/>
    <b v="0"/>
    <s v="Need-based"/>
    <x v="1"/>
    <n v="13"/>
  </r>
  <r>
    <x v="640"/>
    <n v="39"/>
    <s v="Male"/>
    <x v="1"/>
    <x v="2"/>
    <x v="0"/>
    <x v="1"/>
    <s v="Huquan"/>
    <s v="Jewelry &amp; Accessories"/>
    <x v="636"/>
    <n v="9"/>
    <x v="1"/>
    <n v="2"/>
    <n v="1"/>
    <n v="2"/>
    <s v="Low"/>
    <s v="Somewhat Sensitive"/>
    <n v="2"/>
    <n v="7"/>
    <s v="None"/>
    <s v="Tablet"/>
    <s v="Other"/>
    <d v="2024-06-26T00:00:00"/>
    <b v="1"/>
    <b v="1"/>
    <s v="Need-based"/>
    <x v="2"/>
    <n v="12"/>
  </r>
  <r>
    <x v="641"/>
    <n v="19"/>
    <s v="Female"/>
    <x v="1"/>
    <x v="1"/>
    <x v="0"/>
    <x v="1"/>
    <s v="Xinqiao"/>
    <s v="Arts &amp; Crafts"/>
    <x v="637"/>
    <n v="3"/>
    <x v="0"/>
    <n v="2"/>
    <n v="3"/>
    <n v="2"/>
    <s v="None"/>
    <s v="Very Sensitive"/>
    <n v="2"/>
    <n v="7"/>
    <s v="High"/>
    <s v="Tablet"/>
    <s v="PayPal"/>
    <d v="2024-11-12T00:00:00"/>
    <b v="1"/>
    <b v="1"/>
    <s v="Planned"/>
    <x v="1"/>
    <n v="11"/>
  </r>
  <r>
    <x v="642"/>
    <n v="31"/>
    <s v="Female"/>
    <x v="0"/>
    <x v="2"/>
    <x v="2"/>
    <x v="1"/>
    <s v="Trzemeszno"/>
    <s v="Luxury Goods"/>
    <x v="638"/>
    <n v="6"/>
    <x v="0"/>
    <n v="1"/>
    <n v="2"/>
    <n v="0"/>
    <s v="Medium"/>
    <s v="Somewhat Sensitive"/>
    <n v="2"/>
    <n v="10"/>
    <s v="Low"/>
    <s v="Smartphone"/>
    <s v="Debit Card"/>
    <d v="2024-12-20T00:00:00"/>
    <b v="1"/>
    <b v="1"/>
    <s v="Impulsive"/>
    <x v="2"/>
    <n v="12"/>
  </r>
  <r>
    <x v="643"/>
    <n v="36"/>
    <s v="Female"/>
    <x v="0"/>
    <x v="0"/>
    <x v="0"/>
    <x v="0"/>
    <s v="Dashkawka"/>
    <s v="Sports &amp; Outdoors"/>
    <x v="639"/>
    <n v="7"/>
    <x v="2"/>
    <n v="5"/>
    <n v="1"/>
    <n v="0"/>
    <s v="Medium"/>
    <s v="Very Sensitive"/>
    <n v="2"/>
    <n v="2"/>
    <s v="High"/>
    <s v="Smartphone"/>
    <s v="Debit Card"/>
    <d v="2024-05-28T00:00:00"/>
    <b v="1"/>
    <b v="1"/>
    <s v="Need-based"/>
    <x v="0"/>
    <n v="7"/>
  </r>
  <r>
    <x v="644"/>
    <n v="31"/>
    <s v="Genderfluid"/>
    <x v="0"/>
    <x v="0"/>
    <x v="1"/>
    <x v="1"/>
    <s v="Sakura"/>
    <s v="Groceries"/>
    <x v="640"/>
    <n v="4"/>
    <x v="2"/>
    <n v="2"/>
    <n v="1"/>
    <n v="2"/>
    <s v="High"/>
    <s v="Somewhat Sensitive"/>
    <n v="1"/>
    <n v="6"/>
    <s v="None"/>
    <s v="Smartphone"/>
    <s v="PayPal"/>
    <d v="2024-10-13T00:00:00"/>
    <b v="1"/>
    <b v="1"/>
    <s v="Wants-based"/>
    <x v="0"/>
    <n v="3"/>
  </r>
  <r>
    <x v="645"/>
    <n v="45"/>
    <s v="Female"/>
    <x v="1"/>
    <x v="3"/>
    <x v="0"/>
    <x v="0"/>
    <s v="Lianghu"/>
    <s v="Office Supplies"/>
    <x v="641"/>
    <n v="4"/>
    <x v="0"/>
    <n v="5"/>
    <n v="1"/>
    <n v="1"/>
    <s v="None"/>
    <s v="Very Sensitive"/>
    <n v="1"/>
    <n v="2"/>
    <s v="None"/>
    <s v="Smartphone"/>
    <s v="Cash"/>
    <d v="2024-02-22T00:00:00"/>
    <b v="0"/>
    <b v="1"/>
    <s v="Wants-based"/>
    <x v="2"/>
    <n v="1"/>
  </r>
  <r>
    <x v="646"/>
    <n v="45"/>
    <s v="Agender"/>
    <x v="0"/>
    <x v="1"/>
    <x v="1"/>
    <x v="0"/>
    <s v="Karabash"/>
    <s v="Home Appliances"/>
    <x v="642"/>
    <n v="8"/>
    <x v="0"/>
    <n v="2"/>
    <n v="2"/>
    <n v="2"/>
    <s v="None"/>
    <s v="Very Sensitive"/>
    <n v="1"/>
    <n v="3"/>
    <s v="Medium"/>
    <s v="Tablet"/>
    <s v="Debit Card"/>
    <d v="2024-02-01T00:00:00"/>
    <b v="1"/>
    <b v="1"/>
    <s v="Need-based"/>
    <x v="2"/>
    <n v="6"/>
  </r>
  <r>
    <x v="647"/>
    <n v="23"/>
    <s v="Female"/>
    <x v="1"/>
    <x v="3"/>
    <x v="2"/>
    <x v="1"/>
    <s v="Maomiaoji"/>
    <s v="Sports &amp; Outdoors"/>
    <x v="643"/>
    <n v="4"/>
    <x v="1"/>
    <n v="1"/>
    <n v="2"/>
    <n v="1"/>
    <s v="Low"/>
    <s v="Very Sensitive"/>
    <n v="2"/>
    <n v="5"/>
    <s v="High"/>
    <s v="Desktop"/>
    <s v="Other"/>
    <d v="2024-09-16T00:00:00"/>
    <b v="0"/>
    <b v="0"/>
    <s v="Need-based"/>
    <x v="0"/>
    <n v="1"/>
  </r>
  <r>
    <x v="648"/>
    <n v="28"/>
    <s v="Male"/>
    <x v="0"/>
    <x v="0"/>
    <x v="1"/>
    <x v="1"/>
    <s v="Pingtian"/>
    <s v="Software &amp; Apps"/>
    <x v="644"/>
    <n v="11"/>
    <x v="2"/>
    <n v="5"/>
    <n v="2"/>
    <n v="1"/>
    <s v="Medium"/>
    <s v="Somewhat Sensitive"/>
    <n v="1"/>
    <n v="3"/>
    <s v="High"/>
    <s v="Tablet"/>
    <s v="Cash"/>
    <d v="2024-04-27T00:00:00"/>
    <b v="1"/>
    <b v="0"/>
    <s v="Impulsive"/>
    <x v="2"/>
    <n v="11"/>
  </r>
  <r>
    <x v="649"/>
    <n v="26"/>
    <s v="Female"/>
    <x v="1"/>
    <x v="1"/>
    <x v="1"/>
    <x v="0"/>
    <s v="Tišina"/>
    <s v="Clothing"/>
    <x v="645"/>
    <n v="7"/>
    <x v="1"/>
    <n v="4"/>
    <n v="4"/>
    <n v="0"/>
    <s v="None"/>
    <s v="Very Sensitive"/>
    <n v="0"/>
    <n v="10"/>
    <s v="Medium"/>
    <s v="Desktop"/>
    <s v="PayPal"/>
    <d v="2024-04-28T00:00:00"/>
    <b v="1"/>
    <b v="1"/>
    <s v="Impulsive"/>
    <x v="0"/>
    <n v="14"/>
  </r>
  <r>
    <x v="650"/>
    <n v="50"/>
    <s v="Female"/>
    <x v="0"/>
    <x v="3"/>
    <x v="2"/>
    <x v="1"/>
    <s v="Montceau-les-Mines"/>
    <s v="Arts &amp; Crafts"/>
    <x v="646"/>
    <n v="5"/>
    <x v="2"/>
    <n v="3"/>
    <n v="2"/>
    <n v="1"/>
    <s v="None"/>
    <s v="Somewhat Sensitive"/>
    <n v="1"/>
    <n v="7"/>
    <s v="Low"/>
    <s v="Smartphone"/>
    <s v="Other"/>
    <d v="2024-09-01T00:00:00"/>
    <b v="1"/>
    <b v="1"/>
    <s v="Need-based"/>
    <x v="1"/>
    <n v="7"/>
  </r>
  <r>
    <x v="651"/>
    <n v="36"/>
    <s v="Female"/>
    <x v="0"/>
    <x v="2"/>
    <x v="0"/>
    <x v="1"/>
    <s v="Karengan"/>
    <s v="Arts &amp; Crafts"/>
    <x v="647"/>
    <n v="10"/>
    <x v="1"/>
    <n v="1"/>
    <n v="3"/>
    <n v="2"/>
    <s v="High"/>
    <s v="Not Sensitive"/>
    <n v="2"/>
    <n v="10"/>
    <s v="High"/>
    <s v="Desktop"/>
    <s v="Debit Card"/>
    <d v="2024-03-21T00:00:00"/>
    <b v="0"/>
    <b v="0"/>
    <s v="Need-based"/>
    <x v="0"/>
    <n v="7"/>
  </r>
  <r>
    <x v="652"/>
    <n v="32"/>
    <s v="Male"/>
    <x v="0"/>
    <x v="2"/>
    <x v="2"/>
    <x v="0"/>
    <s v="Sungai Raya"/>
    <s v="Home Appliances"/>
    <x v="648"/>
    <n v="2"/>
    <x v="1"/>
    <n v="5"/>
    <n v="1"/>
    <n v="1"/>
    <s v="Low"/>
    <s v="Very Sensitive"/>
    <n v="0"/>
    <n v="1"/>
    <s v="Medium"/>
    <s v="Tablet"/>
    <s v="Credit Card"/>
    <d v="2024-12-11T00:00:00"/>
    <b v="0"/>
    <b v="1"/>
    <s v="Planned"/>
    <x v="2"/>
    <n v="8"/>
  </r>
  <r>
    <x v="653"/>
    <n v="34"/>
    <s v="Male"/>
    <x v="1"/>
    <x v="0"/>
    <x v="2"/>
    <x v="0"/>
    <s v="Zwedru"/>
    <s v="Food &amp; Beverages"/>
    <x v="649"/>
    <n v="7"/>
    <x v="0"/>
    <n v="5"/>
    <n v="3"/>
    <n v="2"/>
    <s v="High"/>
    <s v="Very Sensitive"/>
    <n v="2"/>
    <n v="10"/>
    <s v="Low"/>
    <s v="Smartphone"/>
    <s v="Credit Card"/>
    <d v="2024-12-04T00:00:00"/>
    <b v="0"/>
    <b v="1"/>
    <s v="Wants-based"/>
    <x v="0"/>
    <n v="2"/>
  </r>
  <r>
    <x v="654"/>
    <n v="50"/>
    <s v="Male"/>
    <x v="0"/>
    <x v="0"/>
    <x v="1"/>
    <x v="0"/>
    <s v="Ţahţā"/>
    <s v="Baby Products"/>
    <x v="650"/>
    <n v="11"/>
    <x v="2"/>
    <n v="4"/>
    <n v="2"/>
    <n v="1"/>
    <s v="Medium"/>
    <s v="Not Sensitive"/>
    <n v="0"/>
    <n v="6"/>
    <s v="Low"/>
    <s v="Desktop"/>
    <s v="Other"/>
    <d v="2024-02-24T00:00:00"/>
    <b v="1"/>
    <b v="1"/>
    <s v="Planned"/>
    <x v="2"/>
    <n v="4"/>
  </r>
  <r>
    <x v="655"/>
    <n v="24"/>
    <s v="Female"/>
    <x v="0"/>
    <x v="2"/>
    <x v="0"/>
    <x v="0"/>
    <s v="Masaran"/>
    <s v="Travel &amp; Leisure (Flights"/>
    <x v="651"/>
    <n v="9"/>
    <x v="2"/>
    <n v="1"/>
    <n v="2"/>
    <n v="1"/>
    <s v="Low"/>
    <s v="Very Sensitive"/>
    <n v="2"/>
    <n v="8"/>
    <s v="Medium"/>
    <s v="Desktop"/>
    <s v="Cash"/>
    <d v="2024-05-24T00:00:00"/>
    <b v="1"/>
    <b v="1"/>
    <s v="Planned"/>
    <x v="0"/>
    <n v="10"/>
  </r>
  <r>
    <x v="656"/>
    <n v="49"/>
    <s v="Male"/>
    <x v="0"/>
    <x v="2"/>
    <x v="2"/>
    <x v="1"/>
    <s v="Huangtang"/>
    <s v="Home Appliances"/>
    <x v="652"/>
    <n v="12"/>
    <x v="1"/>
    <n v="4"/>
    <n v="4"/>
    <n v="2"/>
    <s v="None"/>
    <s v="Somewhat Sensitive"/>
    <n v="0"/>
    <n v="8"/>
    <s v="High"/>
    <s v="Desktop"/>
    <s v="PayPal"/>
    <d v="2024-05-18T00:00:00"/>
    <b v="0"/>
    <b v="1"/>
    <s v="Planned"/>
    <x v="0"/>
    <n v="1"/>
  </r>
  <r>
    <x v="657"/>
    <n v="18"/>
    <s v="Female"/>
    <x v="0"/>
    <x v="1"/>
    <x v="0"/>
    <x v="0"/>
    <s v="Skoútari"/>
    <s v="Health Supplements"/>
    <x v="653"/>
    <n v="11"/>
    <x v="0"/>
    <n v="2"/>
    <n v="4"/>
    <n v="2"/>
    <s v="Medium"/>
    <s v="Not Sensitive"/>
    <n v="1"/>
    <n v="4"/>
    <s v="Low"/>
    <s v="Desktop"/>
    <s v="Debit Card"/>
    <d v="2024-04-02T00:00:00"/>
    <b v="1"/>
    <b v="1"/>
    <s v="Wants-based"/>
    <x v="1"/>
    <n v="5"/>
  </r>
  <r>
    <x v="658"/>
    <n v="44"/>
    <s v="Male"/>
    <x v="1"/>
    <x v="3"/>
    <x v="1"/>
    <x v="0"/>
    <s v="Jelat"/>
    <s v="Travel &amp; Leisure (Flights"/>
    <x v="654"/>
    <n v="8"/>
    <x v="1"/>
    <n v="1"/>
    <n v="1"/>
    <n v="2"/>
    <s v="High"/>
    <s v="Very Sensitive"/>
    <n v="2"/>
    <n v="7"/>
    <s v="High"/>
    <s v="Tablet"/>
    <s v="Debit Card"/>
    <d v="2024-06-24T00:00:00"/>
    <b v="0"/>
    <b v="0"/>
    <s v="Impulsive"/>
    <x v="1"/>
    <n v="14"/>
  </r>
  <r>
    <x v="659"/>
    <n v="41"/>
    <s v="Male"/>
    <x v="1"/>
    <x v="0"/>
    <x v="1"/>
    <x v="0"/>
    <s v="Doibang"/>
    <s v="Travel &amp; Leisure (Flights"/>
    <x v="655"/>
    <n v="10"/>
    <x v="2"/>
    <n v="3"/>
    <n v="2"/>
    <n v="1"/>
    <s v="Low"/>
    <s v="Somewhat Sensitive"/>
    <n v="2"/>
    <n v="4"/>
    <s v="High"/>
    <s v="Smartphone"/>
    <s v="Debit Card"/>
    <d v="2024-09-03T00:00:00"/>
    <b v="0"/>
    <b v="0"/>
    <s v="Planned"/>
    <x v="0"/>
    <n v="2"/>
  </r>
  <r>
    <x v="660"/>
    <n v="33"/>
    <s v="Male"/>
    <x v="1"/>
    <x v="3"/>
    <x v="1"/>
    <x v="1"/>
    <s v="Kazimierz Dolny"/>
    <s v="Books"/>
    <x v="656"/>
    <n v="12"/>
    <x v="1"/>
    <n v="4"/>
    <n v="3"/>
    <n v="0.3"/>
    <s v="Medium"/>
    <s v="Not Sensitive"/>
    <n v="1"/>
    <n v="3"/>
    <s v="High"/>
    <s v="Tablet"/>
    <s v="PayPal"/>
    <d v="2024-05-19T00:00:00"/>
    <b v="0"/>
    <b v="1"/>
    <s v="Need-based"/>
    <x v="2"/>
    <n v="3"/>
  </r>
  <r>
    <x v="661"/>
    <n v="46"/>
    <s v="Male"/>
    <x v="1"/>
    <x v="1"/>
    <x v="0"/>
    <x v="1"/>
    <s v="Margasari"/>
    <s v="Software &amp; Apps"/>
    <x v="657"/>
    <n v="8"/>
    <x v="1"/>
    <n v="4"/>
    <n v="1"/>
    <n v="2"/>
    <s v="High"/>
    <s v="Somewhat Sensitive"/>
    <n v="1"/>
    <n v="6"/>
    <s v="Medium"/>
    <s v="Tablet"/>
    <s v="Other"/>
    <d v="2024-08-04T00:00:00"/>
    <b v="0"/>
    <b v="0"/>
    <s v="Wants-based"/>
    <x v="2"/>
    <n v="3"/>
  </r>
  <r>
    <x v="662"/>
    <n v="23"/>
    <s v="Female"/>
    <x v="1"/>
    <x v="0"/>
    <x v="0"/>
    <x v="1"/>
    <s v="Garça"/>
    <s v="Toys &amp; Games"/>
    <x v="658"/>
    <n v="12"/>
    <x v="2"/>
    <n v="1"/>
    <n v="5"/>
    <n v="1"/>
    <s v="Low"/>
    <s v="Somewhat Sensitive"/>
    <n v="0"/>
    <n v="9"/>
    <s v="None"/>
    <s v="Smartphone"/>
    <s v="Debit Card"/>
    <d v="2024-10-24T00:00:00"/>
    <b v="1"/>
    <b v="1"/>
    <s v="Planned"/>
    <x v="2"/>
    <n v="11"/>
  </r>
  <r>
    <x v="663"/>
    <n v="35"/>
    <s v="Female"/>
    <x v="1"/>
    <x v="1"/>
    <x v="2"/>
    <x v="0"/>
    <s v="Muff"/>
    <s v="Software &amp; Apps"/>
    <x v="659"/>
    <n v="12"/>
    <x v="1"/>
    <n v="5"/>
    <n v="4"/>
    <n v="2"/>
    <s v="Low"/>
    <s v="Not Sensitive"/>
    <n v="1"/>
    <n v="5"/>
    <s v="Low"/>
    <s v="Tablet"/>
    <s v="Debit Card"/>
    <d v="2024-08-16T00:00:00"/>
    <b v="0"/>
    <b v="0"/>
    <s v="Planned"/>
    <x v="0"/>
    <n v="7"/>
  </r>
  <r>
    <x v="664"/>
    <n v="31"/>
    <s v="Female"/>
    <x v="0"/>
    <x v="2"/>
    <x v="1"/>
    <x v="1"/>
    <s v="Kryva Hora"/>
    <s v="Arts &amp; Crafts"/>
    <x v="660"/>
    <n v="6"/>
    <x v="2"/>
    <n v="3"/>
    <n v="2"/>
    <n v="2"/>
    <s v="Medium"/>
    <s v="Very Sensitive"/>
    <n v="2"/>
    <n v="9"/>
    <s v="Medium"/>
    <s v="Tablet"/>
    <s v="PayPal"/>
    <d v="2024-06-11T00:00:00"/>
    <b v="1"/>
    <b v="1"/>
    <s v="Wants-based"/>
    <x v="1"/>
    <n v="8"/>
  </r>
  <r>
    <x v="665"/>
    <n v="20"/>
    <s v="Female"/>
    <x v="1"/>
    <x v="1"/>
    <x v="0"/>
    <x v="1"/>
    <s v="Pyra"/>
    <s v="Sports &amp; Outdoors"/>
    <x v="661"/>
    <n v="8"/>
    <x v="0"/>
    <n v="3"/>
    <n v="5"/>
    <n v="0"/>
    <s v="None"/>
    <s v="Not Sensitive"/>
    <n v="2"/>
    <n v="4"/>
    <s v="Medium"/>
    <s v="Tablet"/>
    <s v="Credit Card"/>
    <d v="2024-11-01T00:00:00"/>
    <b v="1"/>
    <b v="1"/>
    <s v="Planned"/>
    <x v="0"/>
    <n v="4"/>
  </r>
  <r>
    <x v="666"/>
    <n v="49"/>
    <s v="Female"/>
    <x v="0"/>
    <x v="0"/>
    <x v="0"/>
    <x v="1"/>
    <s v="General Lavalle"/>
    <s v="Food &amp; Beverages"/>
    <x v="662"/>
    <n v="12"/>
    <x v="0"/>
    <n v="1"/>
    <n v="5"/>
    <n v="1"/>
    <s v="Medium"/>
    <s v="Somewhat Sensitive"/>
    <n v="0"/>
    <n v="1"/>
    <s v="High"/>
    <s v="Tablet"/>
    <s v="Other"/>
    <d v="2024-08-22T00:00:00"/>
    <b v="1"/>
    <b v="1"/>
    <s v="Wants-based"/>
    <x v="1"/>
    <n v="2"/>
  </r>
  <r>
    <x v="667"/>
    <n v="26"/>
    <s v="Female"/>
    <x v="1"/>
    <x v="2"/>
    <x v="0"/>
    <x v="1"/>
    <s v="Zhongzhang"/>
    <s v="Health Supplements"/>
    <x v="663"/>
    <n v="10"/>
    <x v="1"/>
    <n v="1"/>
    <n v="3"/>
    <n v="2"/>
    <s v="Medium"/>
    <s v="Somewhat Sensitive"/>
    <n v="1"/>
    <n v="3"/>
    <s v="Medium"/>
    <s v="Desktop"/>
    <s v="Other"/>
    <d v="2024-08-24T00:00:00"/>
    <b v="0"/>
    <b v="0"/>
    <s v="Planned"/>
    <x v="0"/>
    <n v="9"/>
  </r>
  <r>
    <x v="668"/>
    <n v="36"/>
    <s v="Male"/>
    <x v="0"/>
    <x v="2"/>
    <x v="1"/>
    <x v="1"/>
    <s v="Estacion"/>
    <s v="Furniture"/>
    <x v="664"/>
    <n v="11"/>
    <x v="2"/>
    <n v="1"/>
    <n v="4"/>
    <n v="0"/>
    <s v="High"/>
    <s v="Somewhat Sensitive"/>
    <n v="0"/>
    <n v="9"/>
    <s v="Medium"/>
    <s v="Desktop"/>
    <s v="Cash"/>
    <d v="2024-08-01T00:00:00"/>
    <b v="0"/>
    <b v="0"/>
    <s v="Wants-based"/>
    <x v="2"/>
    <n v="14"/>
  </r>
  <r>
    <x v="669"/>
    <n v="21"/>
    <s v="Male"/>
    <x v="0"/>
    <x v="0"/>
    <x v="1"/>
    <x v="1"/>
    <s v="Xinglongchang"/>
    <s v="Sports &amp; Outdoors"/>
    <x v="665"/>
    <n v="11"/>
    <x v="0"/>
    <n v="3"/>
    <n v="2"/>
    <n v="1"/>
    <s v="High"/>
    <s v="Not Sensitive"/>
    <n v="0"/>
    <n v="2"/>
    <s v="None"/>
    <s v="Desktop"/>
    <s v="Credit Card"/>
    <d v="2024-02-09T00:00:00"/>
    <b v="0"/>
    <b v="0"/>
    <s v="Need-based"/>
    <x v="0"/>
    <n v="8"/>
  </r>
  <r>
    <x v="670"/>
    <n v="35"/>
    <s v="Female"/>
    <x v="0"/>
    <x v="2"/>
    <x v="1"/>
    <x v="0"/>
    <s v="San Nicolas"/>
    <s v="Health Care"/>
    <x v="666"/>
    <n v="5"/>
    <x v="1"/>
    <n v="4"/>
    <n v="2"/>
    <n v="0"/>
    <s v="High"/>
    <s v="Very Sensitive"/>
    <n v="1"/>
    <n v="7"/>
    <s v="None"/>
    <s v="Smartphone"/>
    <s v="Other"/>
    <d v="2024-04-10T00:00:00"/>
    <b v="0"/>
    <b v="0"/>
    <s v="Planned"/>
    <x v="0"/>
    <n v="6"/>
  </r>
  <r>
    <x v="671"/>
    <n v="41"/>
    <s v="Male"/>
    <x v="1"/>
    <x v="0"/>
    <x v="1"/>
    <x v="0"/>
    <s v="Ropa"/>
    <s v="Baby Products"/>
    <x v="667"/>
    <n v="7"/>
    <x v="1"/>
    <n v="2"/>
    <n v="5"/>
    <n v="0"/>
    <s v="Medium"/>
    <s v="Very Sensitive"/>
    <n v="1"/>
    <n v="7"/>
    <s v="High"/>
    <s v="Smartphone"/>
    <s v="Credit Card"/>
    <d v="2024-06-10T00:00:00"/>
    <b v="0"/>
    <b v="1"/>
    <s v="Planned"/>
    <x v="2"/>
    <n v="6"/>
  </r>
  <r>
    <x v="672"/>
    <n v="22"/>
    <s v="Genderqueer"/>
    <x v="1"/>
    <x v="1"/>
    <x v="1"/>
    <x v="0"/>
    <s v="San Diego"/>
    <s v="Health Supplements"/>
    <x v="668"/>
    <n v="7"/>
    <x v="1"/>
    <n v="4"/>
    <n v="5"/>
    <n v="2"/>
    <s v="Low"/>
    <s v="Somewhat Sensitive"/>
    <n v="1"/>
    <n v="7"/>
    <s v="Low"/>
    <s v="Desktop"/>
    <s v="Credit Card"/>
    <d v="2024-11-07T00:00:00"/>
    <b v="0"/>
    <b v="1"/>
    <s v="Need-based"/>
    <x v="1"/>
    <n v="4"/>
  </r>
  <r>
    <x v="673"/>
    <n v="42"/>
    <s v="Male"/>
    <x v="0"/>
    <x v="1"/>
    <x v="2"/>
    <x v="0"/>
    <s v="Pan-an"/>
    <s v="Sports &amp; Outdoors"/>
    <x v="669"/>
    <n v="3"/>
    <x v="1"/>
    <n v="4"/>
    <n v="5"/>
    <n v="1"/>
    <s v="Low"/>
    <s v="Very Sensitive"/>
    <n v="1"/>
    <n v="8"/>
    <s v="Medium"/>
    <s v="Tablet"/>
    <s v="Cash"/>
    <d v="2024-09-16T00:00:00"/>
    <b v="1"/>
    <b v="0"/>
    <s v="Planned"/>
    <x v="0"/>
    <n v="12"/>
  </r>
  <r>
    <x v="674"/>
    <n v="50"/>
    <s v="Male"/>
    <x v="1"/>
    <x v="1"/>
    <x v="0"/>
    <x v="1"/>
    <s v="Shu"/>
    <s v="Software &amp; Apps"/>
    <x v="670"/>
    <n v="11"/>
    <x v="0"/>
    <n v="5"/>
    <n v="1"/>
    <n v="0"/>
    <s v="Medium"/>
    <s v="Somewhat Sensitive"/>
    <n v="2"/>
    <n v="6"/>
    <s v="None"/>
    <s v="Tablet"/>
    <s v="Credit Card"/>
    <d v="2024-01-16T00:00:00"/>
    <b v="0"/>
    <b v="0"/>
    <s v="Planned"/>
    <x v="1"/>
    <n v="12"/>
  </r>
  <r>
    <x v="675"/>
    <n v="30"/>
    <s v="Female"/>
    <x v="1"/>
    <x v="3"/>
    <x v="1"/>
    <x v="0"/>
    <s v="Týn nad Vltavou"/>
    <s v="Packages)"/>
    <x v="671"/>
    <n v="11"/>
    <x v="0"/>
    <n v="4"/>
    <n v="3"/>
    <n v="1"/>
    <s v="Medium"/>
    <s v="Not Sensitive"/>
    <n v="0"/>
    <n v="6"/>
    <s v="Medium"/>
    <s v="Desktop"/>
    <s v="Debit Card"/>
    <d v="2024-03-03T00:00:00"/>
    <b v="1"/>
    <b v="1"/>
    <s v="Need-based"/>
    <x v="2"/>
    <n v="8"/>
  </r>
  <r>
    <x v="676"/>
    <n v="49"/>
    <s v="Female"/>
    <x v="1"/>
    <x v="3"/>
    <x v="2"/>
    <x v="1"/>
    <s v="Mojogajeh"/>
    <s v="Beauty &amp; Personal Care"/>
    <x v="672"/>
    <n v="10"/>
    <x v="2"/>
    <n v="5"/>
    <n v="4"/>
    <n v="1"/>
    <s v="Medium"/>
    <s v="Very Sensitive"/>
    <n v="2"/>
    <n v="3"/>
    <s v="None"/>
    <s v="Smartphone"/>
    <s v="Other"/>
    <d v="2024-03-29T00:00:00"/>
    <b v="1"/>
    <b v="0"/>
    <s v="Planned"/>
    <x v="0"/>
    <n v="6"/>
  </r>
  <r>
    <x v="677"/>
    <n v="40"/>
    <s v="Female"/>
    <x v="0"/>
    <x v="3"/>
    <x v="0"/>
    <x v="0"/>
    <s v="Mawu"/>
    <s v="Groceries"/>
    <x v="673"/>
    <n v="4"/>
    <x v="2"/>
    <n v="3"/>
    <n v="3"/>
    <n v="1"/>
    <s v="None"/>
    <s v="Not Sensitive"/>
    <n v="0"/>
    <n v="5"/>
    <s v="High"/>
    <s v="Tablet"/>
    <s v="Credit Card"/>
    <d v="2024-09-15T00:00:00"/>
    <b v="1"/>
    <b v="0"/>
    <s v="Need-based"/>
    <x v="1"/>
    <n v="2"/>
  </r>
  <r>
    <x v="678"/>
    <n v="38"/>
    <s v="Female"/>
    <x v="0"/>
    <x v="1"/>
    <x v="0"/>
    <x v="0"/>
    <s v="Genting"/>
    <s v="Furniture"/>
    <x v="674"/>
    <n v="10"/>
    <x v="0"/>
    <n v="1"/>
    <n v="2"/>
    <n v="2"/>
    <s v="None"/>
    <s v="Not Sensitive"/>
    <n v="1"/>
    <n v="7"/>
    <s v="High"/>
    <s v="Desktop"/>
    <s v="Debit Card"/>
    <d v="2024-01-25T00:00:00"/>
    <b v="1"/>
    <b v="0"/>
    <s v="Need-based"/>
    <x v="0"/>
    <n v="13"/>
  </r>
  <r>
    <x v="679"/>
    <n v="21"/>
    <s v="Male"/>
    <x v="1"/>
    <x v="0"/>
    <x v="2"/>
    <x v="1"/>
    <s v="Madan"/>
    <s v="Sports &amp; Outdoors"/>
    <x v="675"/>
    <n v="10"/>
    <x v="2"/>
    <n v="5"/>
    <n v="1"/>
    <n v="1"/>
    <s v="Low"/>
    <s v="Somewhat Sensitive"/>
    <n v="0"/>
    <n v="5"/>
    <s v="Low"/>
    <s v="Desktop"/>
    <s v="Other"/>
    <d v="2024-09-18T00:00:00"/>
    <b v="0"/>
    <b v="1"/>
    <s v="Impulsive"/>
    <x v="0"/>
    <n v="14"/>
  </r>
  <r>
    <x v="680"/>
    <n v="40"/>
    <s v="Male"/>
    <x v="1"/>
    <x v="3"/>
    <x v="2"/>
    <x v="1"/>
    <s v="Hexiangqiao"/>
    <s v="Animal Feed"/>
    <x v="676"/>
    <n v="5"/>
    <x v="0"/>
    <n v="5"/>
    <n v="5"/>
    <n v="1"/>
    <s v="None"/>
    <s v="Very Sensitive"/>
    <n v="1"/>
    <n v="5"/>
    <s v="Medium"/>
    <s v="Tablet"/>
    <s v="Debit Card"/>
    <d v="2024-12-21T00:00:00"/>
    <b v="0"/>
    <b v="0"/>
    <s v="Wants-based"/>
    <x v="1"/>
    <n v="11"/>
  </r>
  <r>
    <x v="681"/>
    <n v="26"/>
    <s v="Male"/>
    <x v="1"/>
    <x v="3"/>
    <x v="2"/>
    <x v="0"/>
    <s v="Na Muen"/>
    <s v="Mobile Accessories"/>
    <x v="677"/>
    <n v="11"/>
    <x v="0"/>
    <n v="1"/>
    <n v="1"/>
    <n v="1"/>
    <s v="None"/>
    <s v="Very Sensitive"/>
    <n v="2"/>
    <n v="1"/>
    <s v="None"/>
    <s v="Smartphone"/>
    <s v="Cash"/>
    <d v="2024-09-28T00:00:00"/>
    <b v="1"/>
    <b v="1"/>
    <s v="Need-based"/>
    <x v="0"/>
    <n v="13"/>
  </r>
  <r>
    <x v="682"/>
    <n v="32"/>
    <s v="Female"/>
    <x v="0"/>
    <x v="0"/>
    <x v="2"/>
    <x v="0"/>
    <s v="Gafargaon"/>
    <s v="Jewelry &amp; Accessories"/>
    <x v="678"/>
    <n v="10"/>
    <x v="1"/>
    <n v="3"/>
    <n v="1"/>
    <n v="2"/>
    <s v="Medium"/>
    <s v="Not Sensitive"/>
    <n v="2"/>
    <n v="3"/>
    <s v="High"/>
    <s v="Tablet"/>
    <s v="Debit Card"/>
    <d v="2024-07-09T00:00:00"/>
    <b v="0"/>
    <b v="0"/>
    <s v="Impulsive"/>
    <x v="0"/>
    <n v="5"/>
  </r>
  <r>
    <x v="683"/>
    <n v="47"/>
    <s v="Female"/>
    <x v="0"/>
    <x v="2"/>
    <x v="1"/>
    <x v="1"/>
    <s v="Qingban"/>
    <s v="Jewelry &amp; Accessories"/>
    <x v="679"/>
    <n v="6"/>
    <x v="2"/>
    <n v="3"/>
    <n v="1"/>
    <n v="2"/>
    <s v="Low"/>
    <s v="Very Sensitive"/>
    <n v="2"/>
    <n v="10"/>
    <s v="Medium"/>
    <s v="Tablet"/>
    <s v="Other"/>
    <d v="2024-09-27T00:00:00"/>
    <b v="1"/>
    <b v="0"/>
    <s v="Wants-based"/>
    <x v="0"/>
    <n v="10"/>
  </r>
  <r>
    <x v="684"/>
    <n v="21"/>
    <s v="Male"/>
    <x v="0"/>
    <x v="1"/>
    <x v="2"/>
    <x v="0"/>
    <s v="Labège"/>
    <s v="Travel &amp; Leisure (Flights"/>
    <x v="680"/>
    <n v="12"/>
    <x v="2"/>
    <n v="2"/>
    <n v="1"/>
    <n v="1"/>
    <s v="High"/>
    <s v="Very Sensitive"/>
    <n v="0"/>
    <n v="4"/>
    <s v="Low"/>
    <s v="Desktop"/>
    <s v="Credit Card"/>
    <d v="2024-01-09T00:00:00"/>
    <b v="0"/>
    <b v="0"/>
    <s v="Planned"/>
    <x v="2"/>
    <n v="7"/>
  </r>
  <r>
    <x v="685"/>
    <n v="34"/>
    <s v="Male"/>
    <x v="1"/>
    <x v="2"/>
    <x v="1"/>
    <x v="1"/>
    <s v="Port Elizabeth"/>
    <s v="Electronics"/>
    <x v="681"/>
    <n v="4"/>
    <x v="0"/>
    <n v="4"/>
    <n v="1"/>
    <n v="2"/>
    <s v="High"/>
    <s v="Very Sensitive"/>
    <n v="0"/>
    <n v="10"/>
    <s v="High"/>
    <s v="Desktop"/>
    <s v="PayPal"/>
    <d v="2024-07-05T00:00:00"/>
    <b v="0"/>
    <b v="1"/>
    <s v="Need-based"/>
    <x v="0"/>
    <n v="14"/>
  </r>
  <r>
    <x v="686"/>
    <n v="29"/>
    <s v="Male"/>
    <x v="0"/>
    <x v="2"/>
    <x v="2"/>
    <x v="1"/>
    <s v="Sauri"/>
    <s v="Health Supplements"/>
    <x v="682"/>
    <n v="8"/>
    <x v="0"/>
    <n v="5"/>
    <n v="4"/>
    <n v="2"/>
    <s v="Low"/>
    <s v="Very Sensitive"/>
    <n v="1"/>
    <n v="3"/>
    <s v="Medium"/>
    <s v="Desktop"/>
    <s v="Debit Card"/>
    <d v="2024-07-16T00:00:00"/>
    <b v="0"/>
    <b v="1"/>
    <s v="Wants-based"/>
    <x v="2"/>
    <n v="12"/>
  </r>
  <r>
    <x v="687"/>
    <n v="20"/>
    <s v="Female"/>
    <x v="0"/>
    <x v="3"/>
    <x v="0"/>
    <x v="1"/>
    <s v="Desakolot"/>
    <s v="Jewelry &amp; Accessories"/>
    <x v="683"/>
    <n v="10"/>
    <x v="0"/>
    <n v="1"/>
    <n v="3"/>
    <n v="0"/>
    <s v="Low"/>
    <s v="Very Sensitive"/>
    <n v="0"/>
    <n v="2"/>
    <s v="Low"/>
    <s v="Smartphone"/>
    <s v="Credit Card"/>
    <d v="2024-01-09T00:00:00"/>
    <b v="1"/>
    <b v="1"/>
    <s v="Impulsive"/>
    <x v="1"/>
    <n v="13"/>
  </r>
  <r>
    <x v="688"/>
    <n v="50"/>
    <s v="Male"/>
    <x v="1"/>
    <x v="3"/>
    <x v="0"/>
    <x v="0"/>
    <s v="Huambo"/>
    <s v="Software &amp; Apps"/>
    <x v="684"/>
    <n v="7"/>
    <x v="0"/>
    <n v="5"/>
    <n v="2"/>
    <n v="2"/>
    <s v="Low"/>
    <s v="Very Sensitive"/>
    <n v="2"/>
    <n v="1"/>
    <s v="High"/>
    <s v="Smartphone"/>
    <s v="Cash"/>
    <d v="2024-08-13T00:00:00"/>
    <b v="1"/>
    <b v="0"/>
    <s v="Planned"/>
    <x v="2"/>
    <n v="12"/>
  </r>
  <r>
    <x v="689"/>
    <n v="29"/>
    <s v="Female"/>
    <x v="0"/>
    <x v="3"/>
    <x v="2"/>
    <x v="1"/>
    <s v="Luoting"/>
    <s v="Travel &amp; Leisure (Flights"/>
    <x v="685"/>
    <n v="10"/>
    <x v="2"/>
    <n v="1"/>
    <n v="1"/>
    <n v="1"/>
    <s v="Low"/>
    <s v="Very Sensitive"/>
    <n v="0"/>
    <n v="1"/>
    <s v="Medium"/>
    <s v="Smartphone"/>
    <s v="PayPal"/>
    <d v="2024-09-05T00:00:00"/>
    <b v="1"/>
    <b v="1"/>
    <s v="Impulsive"/>
    <x v="1"/>
    <n v="9"/>
  </r>
  <r>
    <x v="690"/>
    <n v="25"/>
    <s v="Non-binary"/>
    <x v="0"/>
    <x v="0"/>
    <x v="0"/>
    <x v="1"/>
    <s v="Stepnogorsk"/>
    <s v="Mobile Accessories"/>
    <x v="686"/>
    <n v="10"/>
    <x v="0"/>
    <n v="3"/>
    <n v="4"/>
    <n v="0"/>
    <s v="None"/>
    <s v="Somewhat Sensitive"/>
    <n v="2"/>
    <n v="7"/>
    <s v="None"/>
    <s v="Tablet"/>
    <s v="Credit Card"/>
    <d v="2024-09-29T00:00:00"/>
    <b v="0"/>
    <b v="1"/>
    <s v="Wants-based"/>
    <x v="0"/>
    <n v="5"/>
  </r>
  <r>
    <x v="691"/>
    <n v="37"/>
    <s v="Male"/>
    <x v="0"/>
    <x v="2"/>
    <x v="1"/>
    <x v="0"/>
    <s v="Zarechnyy"/>
    <s v="Toys &amp; Games"/>
    <x v="687"/>
    <n v="9"/>
    <x v="0"/>
    <n v="1"/>
    <n v="4"/>
    <n v="0"/>
    <s v="Low"/>
    <s v="Very Sensitive"/>
    <n v="1"/>
    <n v="8"/>
    <s v="High"/>
    <s v="Desktop"/>
    <s v="PayPal"/>
    <d v="2024-04-07T00:00:00"/>
    <b v="1"/>
    <b v="0"/>
    <s v="Impulsive"/>
    <x v="1"/>
    <n v="3"/>
  </r>
  <r>
    <x v="692"/>
    <n v="39"/>
    <s v="Male"/>
    <x v="0"/>
    <x v="1"/>
    <x v="2"/>
    <x v="0"/>
    <s v="La Unión"/>
    <s v="Groceries"/>
    <x v="688"/>
    <n v="2"/>
    <x v="2"/>
    <n v="1"/>
    <n v="2"/>
    <n v="1"/>
    <s v="High"/>
    <s v="Very Sensitive"/>
    <n v="2"/>
    <n v="2"/>
    <s v="None"/>
    <s v="Tablet"/>
    <s v="Cash"/>
    <d v="2024-12-18T00:00:00"/>
    <b v="1"/>
    <b v="1"/>
    <s v="Impulsive"/>
    <x v="0"/>
    <n v="9"/>
  </r>
  <r>
    <x v="693"/>
    <n v="48"/>
    <s v="Female"/>
    <x v="0"/>
    <x v="3"/>
    <x v="0"/>
    <x v="1"/>
    <s v="Banjar Medura"/>
    <s v="Toys &amp; Games"/>
    <x v="689"/>
    <n v="4"/>
    <x v="0"/>
    <n v="3"/>
    <n v="4"/>
    <n v="2"/>
    <s v="Medium"/>
    <s v="Somewhat Sensitive"/>
    <n v="0"/>
    <n v="6"/>
    <s v="None"/>
    <s v="Desktop"/>
    <s v="PayPal"/>
    <d v="2024-06-14T00:00:00"/>
    <b v="0"/>
    <b v="1"/>
    <s v="Need-based"/>
    <x v="0"/>
    <n v="2"/>
  </r>
  <r>
    <x v="694"/>
    <n v="47"/>
    <s v="Male"/>
    <x v="1"/>
    <x v="3"/>
    <x v="0"/>
    <x v="0"/>
    <s v="Arnprior"/>
    <s v="Toys &amp; Games"/>
    <x v="690"/>
    <n v="5"/>
    <x v="2"/>
    <n v="3"/>
    <n v="3"/>
    <n v="0"/>
    <s v="Medium"/>
    <s v="Somewhat Sensitive"/>
    <n v="0"/>
    <n v="3"/>
    <s v="Medium"/>
    <s v="Smartphone"/>
    <s v="Cash"/>
    <d v="2024-04-25T00:00:00"/>
    <b v="1"/>
    <b v="1"/>
    <s v="Need-based"/>
    <x v="0"/>
    <n v="11"/>
  </r>
  <r>
    <x v="695"/>
    <n v="50"/>
    <s v="Female"/>
    <x v="0"/>
    <x v="3"/>
    <x v="1"/>
    <x v="1"/>
    <s v="Donglu"/>
    <s v="Furniture"/>
    <x v="691"/>
    <n v="5"/>
    <x v="1"/>
    <n v="2"/>
    <n v="2"/>
    <n v="1"/>
    <s v="None"/>
    <s v="Not Sensitive"/>
    <n v="0"/>
    <n v="5"/>
    <s v="High"/>
    <s v="Smartphone"/>
    <s v="Other"/>
    <d v="2024-07-20T00:00:00"/>
    <b v="1"/>
    <b v="1"/>
    <s v="Need-based"/>
    <x v="1"/>
    <n v="6"/>
  </r>
  <r>
    <x v="696"/>
    <n v="42"/>
    <s v="Polygender"/>
    <x v="1"/>
    <x v="0"/>
    <x v="1"/>
    <x v="0"/>
    <s v="Inderka"/>
    <s v="Electronics"/>
    <x v="692"/>
    <n v="12"/>
    <x v="0"/>
    <n v="5"/>
    <n v="4"/>
    <n v="1.3"/>
    <s v="High"/>
    <s v="Not Sensitive"/>
    <n v="1"/>
    <n v="2"/>
    <s v="None"/>
    <s v="Smartphone"/>
    <s v="Other"/>
    <d v="2024-03-29T00:00:00"/>
    <b v="0"/>
    <b v="0"/>
    <s v="Impulsive"/>
    <x v="0"/>
    <n v="10"/>
  </r>
  <r>
    <x v="697"/>
    <n v="28"/>
    <s v="Female"/>
    <x v="1"/>
    <x v="1"/>
    <x v="0"/>
    <x v="1"/>
    <s v="Tochio-honchō"/>
    <s v="Hotels"/>
    <x v="693"/>
    <n v="9"/>
    <x v="0"/>
    <n v="2"/>
    <n v="5"/>
    <n v="2"/>
    <s v="High"/>
    <s v="Not Sensitive"/>
    <n v="1"/>
    <n v="10"/>
    <s v="Medium"/>
    <s v="Tablet"/>
    <s v="Cash"/>
    <d v="2024-03-26T00:00:00"/>
    <b v="0"/>
    <b v="1"/>
    <s v="Wants-based"/>
    <x v="1"/>
    <n v="6"/>
  </r>
  <r>
    <x v="698"/>
    <n v="23"/>
    <s v="Male"/>
    <x v="0"/>
    <x v="1"/>
    <x v="1"/>
    <x v="0"/>
    <s v="Pasadena"/>
    <s v="Hotels"/>
    <x v="694"/>
    <n v="5"/>
    <x v="2"/>
    <n v="4"/>
    <n v="2"/>
    <n v="0"/>
    <s v="Low"/>
    <s v="Somewhat Sensitive"/>
    <n v="1"/>
    <n v="7"/>
    <s v="Low"/>
    <s v="Desktop"/>
    <s v="Other"/>
    <d v="2024-04-14T00:00:00"/>
    <b v="1"/>
    <b v="1"/>
    <s v="Need-based"/>
    <x v="1"/>
    <n v="13"/>
  </r>
  <r>
    <x v="699"/>
    <n v="42"/>
    <s v="Male"/>
    <x v="1"/>
    <x v="3"/>
    <x v="1"/>
    <x v="1"/>
    <s v="Barishāl"/>
    <s v="Arts &amp; Crafts"/>
    <x v="695"/>
    <n v="7"/>
    <x v="0"/>
    <n v="2"/>
    <n v="5"/>
    <n v="1"/>
    <s v="Medium"/>
    <s v="Not Sensitive"/>
    <n v="2"/>
    <n v="8"/>
    <s v="Medium"/>
    <s v="Tablet"/>
    <s v="Cash"/>
    <d v="2024-12-14T00:00:00"/>
    <b v="1"/>
    <b v="0"/>
    <s v="Planned"/>
    <x v="2"/>
    <n v="14"/>
  </r>
  <r>
    <x v="700"/>
    <n v="32"/>
    <s v="Male"/>
    <x v="1"/>
    <x v="1"/>
    <x v="0"/>
    <x v="1"/>
    <s v="Kihurio"/>
    <s v="Toys &amp; Games"/>
    <x v="696"/>
    <n v="10"/>
    <x v="1"/>
    <n v="5"/>
    <n v="3"/>
    <n v="1"/>
    <s v="High"/>
    <s v="Not Sensitive"/>
    <n v="2"/>
    <n v="6"/>
    <s v="Medium"/>
    <s v="Tablet"/>
    <s v="PayPal"/>
    <d v="2024-08-12T00:00:00"/>
    <b v="1"/>
    <b v="0"/>
    <s v="Wants-based"/>
    <x v="0"/>
    <n v="10"/>
  </r>
  <r>
    <x v="701"/>
    <n v="33"/>
    <s v="Male"/>
    <x v="0"/>
    <x v="3"/>
    <x v="0"/>
    <x v="1"/>
    <s v="Oekero"/>
    <s v="Animal Feed"/>
    <x v="697"/>
    <n v="11"/>
    <x v="2"/>
    <n v="3"/>
    <n v="5"/>
    <n v="2"/>
    <s v="None"/>
    <s v="Not Sensitive"/>
    <n v="2"/>
    <n v="1"/>
    <s v="High"/>
    <s v="Tablet"/>
    <s v="PayPal"/>
    <d v="2024-08-29T00:00:00"/>
    <b v="0"/>
    <b v="0"/>
    <s v="Wants-based"/>
    <x v="0"/>
    <n v="4"/>
  </r>
  <r>
    <x v="702"/>
    <n v="32"/>
    <s v="Male"/>
    <x v="1"/>
    <x v="1"/>
    <x v="0"/>
    <x v="0"/>
    <s v="Cluses"/>
    <s v="Arts &amp; Crafts"/>
    <x v="698"/>
    <n v="3"/>
    <x v="1"/>
    <n v="4"/>
    <n v="1"/>
    <n v="1"/>
    <s v="Low"/>
    <s v="Not Sensitive"/>
    <n v="0"/>
    <n v="1"/>
    <s v="Medium"/>
    <s v="Tablet"/>
    <s v="Debit Card"/>
    <d v="2024-09-07T00:00:00"/>
    <b v="0"/>
    <b v="1"/>
    <s v="Planned"/>
    <x v="1"/>
    <n v="10"/>
  </r>
  <r>
    <x v="703"/>
    <n v="29"/>
    <s v="Male"/>
    <x v="1"/>
    <x v="2"/>
    <x v="1"/>
    <x v="1"/>
    <s v="Wrząsowice"/>
    <s v="Health Care"/>
    <x v="699"/>
    <n v="9"/>
    <x v="0"/>
    <n v="2"/>
    <n v="4"/>
    <n v="0.3"/>
    <s v="Low"/>
    <s v="Not Sensitive"/>
    <n v="2"/>
    <n v="3"/>
    <s v="Medium"/>
    <s v="Desktop"/>
    <s v="Credit Card"/>
    <d v="2024-06-28T00:00:00"/>
    <b v="0"/>
    <b v="0"/>
    <s v="Impulsive"/>
    <x v="2"/>
    <n v="4"/>
  </r>
  <r>
    <x v="704"/>
    <n v="25"/>
    <s v="Non-binary"/>
    <x v="1"/>
    <x v="3"/>
    <x v="0"/>
    <x v="0"/>
    <s v="Hengfeng"/>
    <s v="Mobile Accessories"/>
    <x v="700"/>
    <n v="6"/>
    <x v="0"/>
    <n v="1"/>
    <n v="1"/>
    <n v="0"/>
    <s v="Low"/>
    <s v="Somewhat Sensitive"/>
    <n v="0"/>
    <n v="9"/>
    <s v="Medium"/>
    <s v="Smartphone"/>
    <s v="PayPal"/>
    <d v="2024-09-12T00:00:00"/>
    <b v="1"/>
    <b v="1"/>
    <s v="Need-based"/>
    <x v="0"/>
    <n v="10"/>
  </r>
  <r>
    <x v="705"/>
    <n v="41"/>
    <s v="Female"/>
    <x v="1"/>
    <x v="3"/>
    <x v="0"/>
    <x v="0"/>
    <s v="Bor"/>
    <s v="Software &amp; Apps"/>
    <x v="701"/>
    <n v="2"/>
    <x v="1"/>
    <n v="1"/>
    <n v="5"/>
    <n v="1"/>
    <s v="None"/>
    <s v="Not Sensitive"/>
    <n v="1"/>
    <n v="6"/>
    <s v="High"/>
    <s v="Smartphone"/>
    <s v="Debit Card"/>
    <d v="2024-01-19T00:00:00"/>
    <b v="0"/>
    <b v="1"/>
    <s v="Impulsive"/>
    <x v="0"/>
    <n v="8"/>
  </r>
  <r>
    <x v="706"/>
    <n v="24"/>
    <s v="Female"/>
    <x v="0"/>
    <x v="3"/>
    <x v="0"/>
    <x v="1"/>
    <s v="Nawu"/>
    <s v="Mobile Accessories"/>
    <x v="702"/>
    <n v="8"/>
    <x v="2"/>
    <n v="2"/>
    <n v="4"/>
    <n v="0"/>
    <s v="Medium"/>
    <s v="Not Sensitive"/>
    <n v="1"/>
    <n v="2"/>
    <s v="High"/>
    <s v="Desktop"/>
    <s v="Cash"/>
    <d v="2024-03-02T00:00:00"/>
    <b v="0"/>
    <b v="0"/>
    <s v="Wants-based"/>
    <x v="0"/>
    <n v="8"/>
  </r>
  <r>
    <x v="707"/>
    <n v="32"/>
    <s v="Female"/>
    <x v="1"/>
    <x v="1"/>
    <x v="2"/>
    <x v="0"/>
    <s v="Longotea"/>
    <s v="Sports &amp; Outdoors"/>
    <x v="703"/>
    <n v="10"/>
    <x v="2"/>
    <n v="5"/>
    <n v="2"/>
    <n v="0"/>
    <s v="None"/>
    <s v="Very Sensitive"/>
    <n v="0"/>
    <n v="7"/>
    <s v="Medium"/>
    <s v="Smartphone"/>
    <s v="Other"/>
    <d v="2024-01-08T00:00:00"/>
    <b v="1"/>
    <b v="0"/>
    <s v="Planned"/>
    <x v="0"/>
    <n v="9"/>
  </r>
  <r>
    <x v="708"/>
    <n v="41"/>
    <s v="Female"/>
    <x v="0"/>
    <x v="2"/>
    <x v="1"/>
    <x v="0"/>
    <s v="Ḩabīl al Jabr"/>
    <s v="Luxury Goods"/>
    <x v="704"/>
    <n v="3"/>
    <x v="0"/>
    <n v="4"/>
    <n v="4"/>
    <n v="1"/>
    <s v="High"/>
    <s v="Very Sensitive"/>
    <n v="0"/>
    <n v="6"/>
    <s v="None"/>
    <s v="Smartphone"/>
    <s v="Cash"/>
    <d v="2024-08-27T00:00:00"/>
    <b v="0"/>
    <b v="0"/>
    <s v="Impulsive"/>
    <x v="0"/>
    <n v="14"/>
  </r>
  <r>
    <x v="709"/>
    <n v="18"/>
    <s v="Male"/>
    <x v="0"/>
    <x v="3"/>
    <x v="0"/>
    <x v="0"/>
    <s v="Gueset"/>
    <s v="Health Care"/>
    <x v="705"/>
    <n v="3"/>
    <x v="0"/>
    <n v="1"/>
    <n v="1"/>
    <n v="2"/>
    <s v="Medium"/>
    <s v="Very Sensitive"/>
    <n v="0"/>
    <n v="6"/>
    <s v="None"/>
    <s v="Desktop"/>
    <s v="Cash"/>
    <d v="2024-01-03T00:00:00"/>
    <b v="1"/>
    <b v="0"/>
    <s v="Wants-based"/>
    <x v="2"/>
    <n v="5"/>
  </r>
  <r>
    <x v="710"/>
    <n v="25"/>
    <s v="Male"/>
    <x v="0"/>
    <x v="1"/>
    <x v="2"/>
    <x v="0"/>
    <s v="Līkak"/>
    <s v="Furniture"/>
    <x v="706"/>
    <n v="9"/>
    <x v="2"/>
    <n v="5"/>
    <n v="1"/>
    <n v="0"/>
    <s v="Medium"/>
    <s v="Somewhat Sensitive"/>
    <n v="2"/>
    <n v="6"/>
    <s v="High"/>
    <s v="Tablet"/>
    <s v="Debit Card"/>
    <d v="2024-04-09T00:00:00"/>
    <b v="1"/>
    <b v="1"/>
    <s v="Need-based"/>
    <x v="2"/>
    <n v="6"/>
  </r>
  <r>
    <x v="711"/>
    <n v="49"/>
    <s v="Male"/>
    <x v="0"/>
    <x v="3"/>
    <x v="0"/>
    <x v="1"/>
    <s v="Yuanguping"/>
    <s v="Sports &amp; Outdoors"/>
    <x v="707"/>
    <n v="4"/>
    <x v="0"/>
    <n v="2"/>
    <n v="1"/>
    <n v="0"/>
    <s v="Medium"/>
    <s v="Very Sensitive"/>
    <n v="1"/>
    <n v="8"/>
    <s v="Medium"/>
    <s v="Tablet"/>
    <s v="PayPal"/>
    <d v="2024-03-19T00:00:00"/>
    <b v="1"/>
    <b v="0"/>
    <s v="Wants-based"/>
    <x v="1"/>
    <n v="10"/>
  </r>
  <r>
    <x v="712"/>
    <n v="39"/>
    <s v="Male"/>
    <x v="1"/>
    <x v="0"/>
    <x v="2"/>
    <x v="0"/>
    <s v="Colón"/>
    <s v="Arts &amp; Crafts"/>
    <x v="708"/>
    <n v="8"/>
    <x v="2"/>
    <n v="2"/>
    <n v="3"/>
    <n v="1.2"/>
    <s v="Medium"/>
    <s v="Somewhat Sensitive"/>
    <n v="1"/>
    <n v="10"/>
    <s v="Low"/>
    <s v="Desktop"/>
    <s v="Credit Card"/>
    <d v="2024-06-15T00:00:00"/>
    <b v="1"/>
    <b v="1"/>
    <s v="Impulsive"/>
    <x v="1"/>
    <n v="14"/>
  </r>
  <r>
    <x v="713"/>
    <n v="47"/>
    <s v="Female"/>
    <x v="1"/>
    <x v="1"/>
    <x v="1"/>
    <x v="0"/>
    <s v="Lyon"/>
    <s v="Jewelry &amp; Accessories"/>
    <x v="709"/>
    <n v="6"/>
    <x v="2"/>
    <n v="3"/>
    <n v="5"/>
    <n v="0"/>
    <s v="None"/>
    <s v="Very Sensitive"/>
    <n v="1"/>
    <n v="8"/>
    <s v="Medium"/>
    <s v="Desktop"/>
    <s v="Cash"/>
    <d v="2024-03-03T00:00:00"/>
    <b v="1"/>
    <b v="1"/>
    <s v="Need-based"/>
    <x v="1"/>
    <n v="3"/>
  </r>
  <r>
    <x v="714"/>
    <n v="43"/>
    <s v="Male"/>
    <x v="0"/>
    <x v="0"/>
    <x v="0"/>
    <x v="0"/>
    <s v="Chamical"/>
    <s v="Luxury Goods"/>
    <x v="710"/>
    <n v="7"/>
    <x v="0"/>
    <n v="4"/>
    <n v="5"/>
    <n v="0"/>
    <s v="None"/>
    <s v="Very Sensitive"/>
    <n v="1"/>
    <n v="10"/>
    <s v="High"/>
    <s v="Desktop"/>
    <s v="Credit Card"/>
    <d v="2024-11-17T00:00:00"/>
    <b v="0"/>
    <b v="1"/>
    <s v="Planned"/>
    <x v="1"/>
    <n v="3"/>
  </r>
  <r>
    <x v="715"/>
    <n v="38"/>
    <s v="Female"/>
    <x v="1"/>
    <x v="2"/>
    <x v="1"/>
    <x v="1"/>
    <s v="Ágios Andréas"/>
    <s v="Home Appliances"/>
    <x v="711"/>
    <n v="11"/>
    <x v="0"/>
    <n v="4"/>
    <n v="1"/>
    <n v="1"/>
    <s v="High"/>
    <s v="Not Sensitive"/>
    <n v="2"/>
    <n v="2"/>
    <s v="Low"/>
    <s v="Desktop"/>
    <s v="Credit Card"/>
    <d v="2024-02-14T00:00:00"/>
    <b v="1"/>
    <b v="1"/>
    <s v="Planned"/>
    <x v="2"/>
    <n v="8"/>
  </r>
  <r>
    <x v="716"/>
    <n v="40"/>
    <s v="Female"/>
    <x v="1"/>
    <x v="1"/>
    <x v="0"/>
    <x v="0"/>
    <s v="Cibeusi"/>
    <s v="Animal Feed"/>
    <x v="712"/>
    <n v="2"/>
    <x v="0"/>
    <n v="1"/>
    <n v="5"/>
    <n v="2"/>
    <s v="Low"/>
    <s v="Very Sensitive"/>
    <n v="1"/>
    <n v="3"/>
    <s v="High"/>
    <s v="Tablet"/>
    <s v="Other"/>
    <d v="2024-02-29T00:00:00"/>
    <b v="1"/>
    <b v="0"/>
    <s v="Need-based"/>
    <x v="2"/>
    <n v="13"/>
  </r>
  <r>
    <x v="717"/>
    <n v="33"/>
    <s v="Male"/>
    <x v="0"/>
    <x v="3"/>
    <x v="2"/>
    <x v="0"/>
    <s v="Itsandzéni"/>
    <s v="Furniture"/>
    <x v="713"/>
    <n v="9"/>
    <x v="1"/>
    <n v="2"/>
    <n v="2"/>
    <n v="2"/>
    <s v="Low"/>
    <s v="Somewhat Sensitive"/>
    <n v="0"/>
    <n v="7"/>
    <s v="None"/>
    <s v="Tablet"/>
    <s v="Debit Card"/>
    <d v="2024-02-22T00:00:00"/>
    <b v="1"/>
    <b v="0"/>
    <s v="Wants-based"/>
    <x v="0"/>
    <n v="11"/>
  </r>
  <r>
    <x v="718"/>
    <n v="18"/>
    <s v="Agender"/>
    <x v="0"/>
    <x v="2"/>
    <x v="0"/>
    <x v="0"/>
    <s v="Kosh-Agach"/>
    <s v="Arts &amp; Crafts"/>
    <x v="714"/>
    <n v="5"/>
    <x v="2"/>
    <n v="2"/>
    <n v="1"/>
    <n v="1"/>
    <s v="Low"/>
    <s v="Not Sensitive"/>
    <n v="2"/>
    <n v="7"/>
    <s v="High"/>
    <s v="Smartphone"/>
    <s v="Debit Card"/>
    <d v="2024-03-31T00:00:00"/>
    <b v="0"/>
    <b v="0"/>
    <s v="Planned"/>
    <x v="2"/>
    <n v="5"/>
  </r>
  <r>
    <x v="719"/>
    <n v="39"/>
    <s v="Female"/>
    <x v="1"/>
    <x v="0"/>
    <x v="0"/>
    <x v="1"/>
    <s v="Kuafeu"/>
    <s v="Furniture"/>
    <x v="715"/>
    <n v="6"/>
    <x v="2"/>
    <n v="3"/>
    <n v="4"/>
    <n v="2"/>
    <s v="Medium"/>
    <s v="Not Sensitive"/>
    <n v="2"/>
    <n v="5"/>
    <s v="Medium"/>
    <s v="Desktop"/>
    <s v="Cash"/>
    <d v="2024-10-27T00:00:00"/>
    <b v="0"/>
    <b v="1"/>
    <s v="Planned"/>
    <x v="1"/>
    <n v="4"/>
  </r>
  <r>
    <x v="720"/>
    <n v="31"/>
    <s v="Male"/>
    <x v="0"/>
    <x v="3"/>
    <x v="0"/>
    <x v="1"/>
    <s v="Xincheng"/>
    <s v="Health Supplements"/>
    <x v="716"/>
    <n v="2"/>
    <x v="1"/>
    <n v="5"/>
    <n v="5"/>
    <n v="1"/>
    <s v="Medium"/>
    <s v="Somewhat Sensitive"/>
    <n v="0"/>
    <n v="2"/>
    <s v="Medium"/>
    <s v="Desktop"/>
    <s v="Debit Card"/>
    <d v="2024-12-21T00:00:00"/>
    <b v="0"/>
    <b v="0"/>
    <s v="Planned"/>
    <x v="1"/>
    <n v="4"/>
  </r>
  <r>
    <x v="721"/>
    <n v="27"/>
    <s v="Male"/>
    <x v="0"/>
    <x v="3"/>
    <x v="2"/>
    <x v="1"/>
    <s v="Minneapolis"/>
    <s v="Luxury Goods"/>
    <x v="717"/>
    <n v="9"/>
    <x v="1"/>
    <n v="3"/>
    <n v="5"/>
    <n v="2"/>
    <s v="Medium"/>
    <s v="Not Sensitive"/>
    <n v="2"/>
    <n v="2"/>
    <s v="None"/>
    <s v="Desktop"/>
    <s v="Debit Card"/>
    <d v="2024-11-19T00:00:00"/>
    <b v="1"/>
    <b v="0"/>
    <s v="Impulsive"/>
    <x v="0"/>
    <n v="1"/>
  </r>
  <r>
    <x v="722"/>
    <n v="31"/>
    <s v="Female"/>
    <x v="1"/>
    <x v="1"/>
    <x v="0"/>
    <x v="0"/>
    <s v="Péfki"/>
    <s v="Animal Feed"/>
    <x v="718"/>
    <n v="3"/>
    <x v="2"/>
    <n v="5"/>
    <n v="3"/>
    <n v="1"/>
    <s v="None"/>
    <s v="Very Sensitive"/>
    <n v="1"/>
    <n v="6"/>
    <s v="High"/>
    <s v="Desktop"/>
    <s v="PayPal"/>
    <d v="2024-09-13T00:00:00"/>
    <b v="0"/>
    <b v="1"/>
    <s v="Need-based"/>
    <x v="1"/>
    <n v="12"/>
  </r>
  <r>
    <x v="723"/>
    <n v="36"/>
    <s v="Female"/>
    <x v="1"/>
    <x v="2"/>
    <x v="0"/>
    <x v="0"/>
    <s v="Ḩawallī"/>
    <s v="Electronics"/>
    <x v="719"/>
    <n v="3"/>
    <x v="2"/>
    <n v="2"/>
    <n v="3"/>
    <n v="1"/>
    <s v="High"/>
    <s v="Not Sensitive"/>
    <n v="2"/>
    <n v="3"/>
    <s v="High"/>
    <s v="Tablet"/>
    <s v="Debit Card"/>
    <d v="2024-09-26T00:00:00"/>
    <b v="0"/>
    <b v="0"/>
    <s v="Impulsive"/>
    <x v="0"/>
    <n v="9"/>
  </r>
  <r>
    <x v="724"/>
    <n v="27"/>
    <s v="Female"/>
    <x v="0"/>
    <x v="3"/>
    <x v="1"/>
    <x v="0"/>
    <s v="São Mateus do Maranhão"/>
    <s v="Groceries"/>
    <x v="720"/>
    <n v="6"/>
    <x v="0"/>
    <n v="2"/>
    <n v="3"/>
    <n v="1"/>
    <s v="High"/>
    <s v="Somewhat Sensitive"/>
    <n v="1"/>
    <n v="9"/>
    <s v="High"/>
    <s v="Tablet"/>
    <s v="Debit Card"/>
    <d v="2024-07-14T00:00:00"/>
    <b v="0"/>
    <b v="0"/>
    <s v="Need-based"/>
    <x v="1"/>
    <n v="11"/>
  </r>
  <r>
    <x v="725"/>
    <n v="21"/>
    <s v="Agender"/>
    <x v="0"/>
    <x v="0"/>
    <x v="0"/>
    <x v="1"/>
    <s v="Imielin"/>
    <s v="Groceries"/>
    <x v="721"/>
    <n v="2"/>
    <x v="0"/>
    <n v="4"/>
    <n v="5"/>
    <n v="1"/>
    <s v="None"/>
    <s v="Not Sensitive"/>
    <n v="2"/>
    <n v="6"/>
    <s v="High"/>
    <s v="Desktop"/>
    <s v="PayPal"/>
    <d v="2024-08-12T00:00:00"/>
    <b v="1"/>
    <b v="1"/>
    <s v="Wants-based"/>
    <x v="0"/>
    <n v="3"/>
  </r>
  <r>
    <x v="726"/>
    <n v="50"/>
    <s v="Female"/>
    <x v="0"/>
    <x v="0"/>
    <x v="1"/>
    <x v="0"/>
    <s v="Przeworsk"/>
    <s v="Luxury Goods"/>
    <x v="722"/>
    <n v="4"/>
    <x v="0"/>
    <n v="1"/>
    <n v="5"/>
    <n v="2"/>
    <s v="High"/>
    <s v="Very Sensitive"/>
    <n v="0"/>
    <n v="8"/>
    <s v="None"/>
    <s v="Smartphone"/>
    <s v="Other"/>
    <d v="2024-12-17T00:00:00"/>
    <b v="0"/>
    <b v="1"/>
    <s v="Impulsive"/>
    <x v="2"/>
    <n v="7"/>
  </r>
  <r>
    <x v="727"/>
    <n v="49"/>
    <s v="Female"/>
    <x v="1"/>
    <x v="3"/>
    <x v="1"/>
    <x v="1"/>
    <s v="Amsterdam Nieuw West"/>
    <s v="Health Care"/>
    <x v="723"/>
    <n v="10"/>
    <x v="1"/>
    <n v="3"/>
    <n v="1"/>
    <n v="1"/>
    <s v="Low"/>
    <s v="Not Sensitive"/>
    <n v="2"/>
    <n v="7"/>
    <s v="None"/>
    <s v="Tablet"/>
    <s v="PayPal"/>
    <d v="2024-03-21T00:00:00"/>
    <b v="0"/>
    <b v="0"/>
    <s v="Impulsive"/>
    <x v="2"/>
    <n v="12"/>
  </r>
  <r>
    <x v="728"/>
    <n v="43"/>
    <s v="Female"/>
    <x v="1"/>
    <x v="3"/>
    <x v="1"/>
    <x v="0"/>
    <s v="Klishkivtsi"/>
    <s v="Food &amp; Beverages"/>
    <x v="724"/>
    <n v="6"/>
    <x v="1"/>
    <n v="2"/>
    <n v="1"/>
    <n v="0"/>
    <s v="None"/>
    <s v="Very Sensitive"/>
    <n v="0"/>
    <n v="2"/>
    <s v="None"/>
    <s v="Desktop"/>
    <s v="PayPal"/>
    <d v="2024-10-03T00:00:00"/>
    <b v="0"/>
    <b v="1"/>
    <s v="Wants-based"/>
    <x v="2"/>
    <n v="4"/>
  </r>
  <r>
    <x v="729"/>
    <n v="35"/>
    <s v="Non-binary"/>
    <x v="1"/>
    <x v="2"/>
    <x v="0"/>
    <x v="1"/>
    <s v="Borova"/>
    <s v="Health Care"/>
    <x v="725"/>
    <n v="6"/>
    <x v="2"/>
    <n v="3"/>
    <n v="4"/>
    <n v="0"/>
    <s v="High"/>
    <s v="Not Sensitive"/>
    <n v="1"/>
    <n v="8"/>
    <s v="Medium"/>
    <s v="Smartphone"/>
    <s v="Other"/>
    <d v="2024-04-14T00:00:00"/>
    <b v="0"/>
    <b v="1"/>
    <s v="Impulsive"/>
    <x v="2"/>
    <n v="1"/>
  </r>
  <r>
    <x v="730"/>
    <n v="21"/>
    <s v="Male"/>
    <x v="0"/>
    <x v="2"/>
    <x v="2"/>
    <x v="1"/>
    <s v="Vendargues"/>
    <s v="Electronics"/>
    <x v="726"/>
    <n v="12"/>
    <x v="1"/>
    <n v="2"/>
    <n v="4"/>
    <n v="0"/>
    <s v="None"/>
    <s v="Not Sensitive"/>
    <n v="2"/>
    <n v="7"/>
    <s v="Low"/>
    <s v="Smartphone"/>
    <s v="Cash"/>
    <d v="2024-01-25T00:00:00"/>
    <b v="1"/>
    <b v="1"/>
    <s v="Need-based"/>
    <x v="1"/>
    <n v="10"/>
  </r>
  <r>
    <x v="731"/>
    <n v="34"/>
    <s v="Male"/>
    <x v="1"/>
    <x v="0"/>
    <x v="1"/>
    <x v="0"/>
    <s v="Zilang"/>
    <s v="Home Appliances"/>
    <x v="727"/>
    <n v="7"/>
    <x v="2"/>
    <n v="4"/>
    <n v="4"/>
    <n v="1"/>
    <s v="Low"/>
    <s v="Very Sensitive"/>
    <n v="1"/>
    <n v="3"/>
    <s v="Medium"/>
    <s v="Smartphone"/>
    <s v="Credit Card"/>
    <d v="2024-01-05T00:00:00"/>
    <b v="0"/>
    <b v="1"/>
    <s v="Impulsive"/>
    <x v="1"/>
    <n v="11"/>
  </r>
  <r>
    <x v="732"/>
    <n v="21"/>
    <s v="Female"/>
    <x v="1"/>
    <x v="0"/>
    <x v="1"/>
    <x v="1"/>
    <s v="Camalote"/>
    <s v="Office Supplies"/>
    <x v="728"/>
    <n v="11"/>
    <x v="0"/>
    <n v="5"/>
    <n v="5"/>
    <n v="1"/>
    <s v="Medium"/>
    <s v="Somewhat Sensitive"/>
    <n v="1"/>
    <n v="1"/>
    <s v="High"/>
    <s v="Tablet"/>
    <s v="Cash"/>
    <d v="2024-08-21T00:00:00"/>
    <b v="0"/>
    <b v="0"/>
    <s v="Need-based"/>
    <x v="1"/>
    <n v="13"/>
  </r>
  <r>
    <x v="733"/>
    <n v="23"/>
    <s v="Female"/>
    <x v="1"/>
    <x v="2"/>
    <x v="0"/>
    <x v="1"/>
    <s v="Julayjilah"/>
    <s v="Furniture"/>
    <x v="729"/>
    <n v="3"/>
    <x v="0"/>
    <n v="3"/>
    <n v="3"/>
    <n v="2"/>
    <s v="Medium"/>
    <s v="Very Sensitive"/>
    <n v="1"/>
    <n v="8"/>
    <s v="Medium"/>
    <s v="Tablet"/>
    <s v="Cash"/>
    <d v="2024-06-21T00:00:00"/>
    <b v="0"/>
    <b v="0"/>
    <s v="Wants-based"/>
    <x v="0"/>
    <n v="1"/>
  </r>
  <r>
    <x v="734"/>
    <n v="31"/>
    <s v="Female"/>
    <x v="0"/>
    <x v="0"/>
    <x v="1"/>
    <x v="0"/>
    <s v="Badajoz"/>
    <s v="Health Care"/>
    <x v="730"/>
    <n v="8"/>
    <x v="0"/>
    <n v="3"/>
    <n v="3"/>
    <n v="2"/>
    <s v="Low"/>
    <s v="Not Sensitive"/>
    <n v="1"/>
    <n v="5"/>
    <s v="High"/>
    <s v="Desktop"/>
    <s v="Credit Card"/>
    <d v="2024-11-29T00:00:00"/>
    <b v="1"/>
    <b v="0"/>
    <s v="Impulsive"/>
    <x v="2"/>
    <n v="1"/>
  </r>
  <r>
    <x v="735"/>
    <n v="21"/>
    <s v="Male"/>
    <x v="1"/>
    <x v="2"/>
    <x v="2"/>
    <x v="0"/>
    <s v="Fort Wayne"/>
    <s v="Beauty &amp; Personal Care"/>
    <x v="731"/>
    <n v="12"/>
    <x v="2"/>
    <n v="2"/>
    <n v="3"/>
    <n v="2"/>
    <s v="Low"/>
    <s v="Very Sensitive"/>
    <n v="0"/>
    <n v="2"/>
    <s v="Low"/>
    <s v="Smartphone"/>
    <s v="Debit Card"/>
    <d v="2024-01-02T00:00:00"/>
    <b v="0"/>
    <b v="1"/>
    <s v="Impulsive"/>
    <x v="2"/>
    <n v="14"/>
  </r>
  <r>
    <x v="736"/>
    <n v="22"/>
    <s v="Female"/>
    <x v="0"/>
    <x v="0"/>
    <x v="0"/>
    <x v="0"/>
    <s v="Galán"/>
    <s v="Office Supplies"/>
    <x v="732"/>
    <n v="2"/>
    <x v="2"/>
    <n v="1"/>
    <n v="4"/>
    <n v="1"/>
    <s v="None"/>
    <s v="Not Sensitive"/>
    <n v="1"/>
    <n v="8"/>
    <s v="Medium"/>
    <s v="Smartphone"/>
    <s v="Debit Card"/>
    <d v="2024-06-21T00:00:00"/>
    <b v="1"/>
    <b v="0"/>
    <s v="Need-based"/>
    <x v="2"/>
    <n v="9"/>
  </r>
  <r>
    <x v="737"/>
    <n v="38"/>
    <s v="Female"/>
    <x v="1"/>
    <x v="1"/>
    <x v="1"/>
    <x v="1"/>
    <s v="Saint Joseph"/>
    <s v="Beauty &amp; Personal Care"/>
    <x v="733"/>
    <n v="7"/>
    <x v="1"/>
    <n v="1"/>
    <n v="5"/>
    <n v="2"/>
    <s v="Low"/>
    <s v="Somewhat Sensitive"/>
    <n v="2"/>
    <n v="8"/>
    <s v="None"/>
    <s v="Desktop"/>
    <s v="PayPal"/>
    <d v="2024-05-24T00:00:00"/>
    <b v="0"/>
    <b v="0"/>
    <s v="Planned"/>
    <x v="0"/>
    <n v="9"/>
  </r>
  <r>
    <x v="738"/>
    <n v="27"/>
    <s v="Male"/>
    <x v="1"/>
    <x v="3"/>
    <x v="0"/>
    <x v="0"/>
    <s v="Hospitalet De Llobregat, L'"/>
    <s v="Health Care"/>
    <x v="734"/>
    <n v="7"/>
    <x v="2"/>
    <n v="2"/>
    <n v="4"/>
    <n v="2"/>
    <s v="Medium"/>
    <s v="Somewhat Sensitive"/>
    <n v="0"/>
    <n v="5"/>
    <s v="High"/>
    <s v="Smartphone"/>
    <s v="PayPal"/>
    <d v="2024-12-19T00:00:00"/>
    <b v="1"/>
    <b v="0"/>
    <s v="Impulsive"/>
    <x v="2"/>
    <n v="9"/>
  </r>
  <r>
    <x v="739"/>
    <n v="18"/>
    <s v="Male"/>
    <x v="0"/>
    <x v="0"/>
    <x v="2"/>
    <x v="1"/>
    <s v="Palma De Mallorca"/>
    <s v="Home Appliances"/>
    <x v="735"/>
    <n v="11"/>
    <x v="1"/>
    <n v="4"/>
    <n v="2"/>
    <n v="1"/>
    <s v="Low"/>
    <s v="Very Sensitive"/>
    <n v="1"/>
    <n v="9"/>
    <s v="None"/>
    <s v="Tablet"/>
    <s v="PayPal"/>
    <d v="2024-09-25T00:00:00"/>
    <b v="0"/>
    <b v="1"/>
    <s v="Impulsive"/>
    <x v="1"/>
    <n v="2"/>
  </r>
  <r>
    <x v="740"/>
    <n v="36"/>
    <s v="Male"/>
    <x v="1"/>
    <x v="0"/>
    <x v="2"/>
    <x v="0"/>
    <s v="Pho Duc"/>
    <s v="Electronics"/>
    <x v="736"/>
    <n v="7"/>
    <x v="0"/>
    <n v="1"/>
    <n v="5"/>
    <n v="0"/>
    <s v="Medium"/>
    <s v="Somewhat Sensitive"/>
    <n v="1"/>
    <n v="3"/>
    <s v="Low"/>
    <s v="Smartphone"/>
    <s v="Other"/>
    <d v="2024-10-31T00:00:00"/>
    <b v="0"/>
    <b v="1"/>
    <s v="Planned"/>
    <x v="0"/>
    <n v="7"/>
  </r>
  <r>
    <x v="741"/>
    <n v="44"/>
    <s v="Female"/>
    <x v="0"/>
    <x v="2"/>
    <x v="1"/>
    <x v="1"/>
    <s v="Łeba"/>
    <s v="Packages)"/>
    <x v="737"/>
    <n v="2"/>
    <x v="1"/>
    <n v="3"/>
    <n v="4"/>
    <n v="1"/>
    <s v="Medium"/>
    <s v="Very Sensitive"/>
    <n v="0"/>
    <n v="6"/>
    <s v="None"/>
    <s v="Smartphone"/>
    <s v="Other"/>
    <d v="2024-08-09T00:00:00"/>
    <b v="1"/>
    <b v="1"/>
    <s v="Impulsive"/>
    <x v="0"/>
    <n v="3"/>
  </r>
  <r>
    <x v="742"/>
    <n v="48"/>
    <s v="Bigender"/>
    <x v="1"/>
    <x v="0"/>
    <x v="1"/>
    <x v="1"/>
    <s v="Yaguaraparo"/>
    <s v="Arts &amp; Crafts"/>
    <x v="738"/>
    <n v="11"/>
    <x v="2"/>
    <n v="4"/>
    <n v="5"/>
    <n v="1"/>
    <s v="High"/>
    <s v="Not Sensitive"/>
    <n v="2"/>
    <n v="7"/>
    <s v="Low"/>
    <s v="Desktop"/>
    <s v="Other"/>
    <d v="2024-10-01T00:00:00"/>
    <b v="0"/>
    <b v="1"/>
    <s v="Need-based"/>
    <x v="2"/>
    <n v="14"/>
  </r>
  <r>
    <x v="743"/>
    <n v="23"/>
    <s v="Female"/>
    <x v="0"/>
    <x v="2"/>
    <x v="2"/>
    <x v="0"/>
    <s v="Novoorsk"/>
    <s v="Toys &amp; Games"/>
    <x v="739"/>
    <n v="6"/>
    <x v="0"/>
    <n v="1"/>
    <n v="4"/>
    <n v="1"/>
    <s v="High"/>
    <s v="Somewhat Sensitive"/>
    <n v="2"/>
    <n v="5"/>
    <s v="Low"/>
    <s v="Tablet"/>
    <s v="Credit Card"/>
    <d v="2024-06-16T00:00:00"/>
    <b v="0"/>
    <b v="0"/>
    <s v="Planned"/>
    <x v="2"/>
    <n v="1"/>
  </r>
  <r>
    <x v="744"/>
    <n v="35"/>
    <s v="Male"/>
    <x v="0"/>
    <x v="3"/>
    <x v="0"/>
    <x v="0"/>
    <s v="Wuyang"/>
    <s v="Jewelry &amp; Accessories"/>
    <x v="740"/>
    <n v="4"/>
    <x v="0"/>
    <n v="1"/>
    <n v="4"/>
    <n v="2"/>
    <s v="High"/>
    <s v="Not Sensitive"/>
    <n v="0"/>
    <n v="1"/>
    <s v="Low"/>
    <s v="Tablet"/>
    <s v="Other"/>
    <d v="2024-03-28T00:00:00"/>
    <b v="1"/>
    <b v="0"/>
    <s v="Need-based"/>
    <x v="0"/>
    <n v="2"/>
  </r>
  <r>
    <x v="745"/>
    <n v="50"/>
    <s v="Female"/>
    <x v="1"/>
    <x v="2"/>
    <x v="0"/>
    <x v="0"/>
    <s v="Pelasgía"/>
    <s v="Animal Feed"/>
    <x v="49"/>
    <n v="2"/>
    <x v="2"/>
    <n v="5"/>
    <n v="2"/>
    <n v="2"/>
    <s v="None"/>
    <s v="Very Sensitive"/>
    <n v="2"/>
    <n v="2"/>
    <s v="Medium"/>
    <s v="Desktop"/>
    <s v="Debit Card"/>
    <d v="2024-06-16T00:00:00"/>
    <b v="1"/>
    <b v="0"/>
    <s v="Planned"/>
    <x v="0"/>
    <n v="9"/>
  </r>
  <r>
    <x v="746"/>
    <n v="30"/>
    <s v="Female"/>
    <x v="1"/>
    <x v="3"/>
    <x v="1"/>
    <x v="1"/>
    <s v="Phúc Thọ"/>
    <s v="Baby Products"/>
    <x v="741"/>
    <n v="10"/>
    <x v="0"/>
    <n v="3"/>
    <n v="5"/>
    <n v="1"/>
    <s v="Low"/>
    <s v="Not Sensitive"/>
    <n v="1"/>
    <n v="5"/>
    <s v="Low"/>
    <s v="Desktop"/>
    <s v="PayPal"/>
    <d v="2024-01-15T00:00:00"/>
    <b v="0"/>
    <b v="1"/>
    <s v="Planned"/>
    <x v="0"/>
    <n v="10"/>
  </r>
  <r>
    <x v="747"/>
    <n v="38"/>
    <s v="Male"/>
    <x v="0"/>
    <x v="0"/>
    <x v="0"/>
    <x v="0"/>
    <s v="Vsevolozhsk"/>
    <s v="Hotels"/>
    <x v="742"/>
    <n v="3"/>
    <x v="1"/>
    <n v="3"/>
    <n v="2"/>
    <n v="1"/>
    <s v="High"/>
    <s v="Not Sensitive"/>
    <n v="1"/>
    <n v="9"/>
    <s v="High"/>
    <s v="Smartphone"/>
    <s v="Other"/>
    <d v="2024-02-10T00:00:00"/>
    <b v="1"/>
    <b v="0"/>
    <s v="Impulsive"/>
    <x v="0"/>
    <n v="9"/>
  </r>
  <r>
    <x v="748"/>
    <n v="42"/>
    <s v="Male"/>
    <x v="0"/>
    <x v="0"/>
    <x v="2"/>
    <x v="0"/>
    <s v="Kara Suu"/>
    <s v="Health Supplements"/>
    <x v="743"/>
    <n v="10"/>
    <x v="2"/>
    <n v="2"/>
    <n v="4"/>
    <n v="1"/>
    <s v="Low"/>
    <s v="Not Sensitive"/>
    <n v="2"/>
    <n v="4"/>
    <s v="High"/>
    <s v="Smartphone"/>
    <s v="Credit Card"/>
    <d v="2024-09-02T00:00:00"/>
    <b v="1"/>
    <b v="0"/>
    <s v="Planned"/>
    <x v="2"/>
    <n v="1"/>
  </r>
  <r>
    <x v="749"/>
    <n v="24"/>
    <s v="Female"/>
    <x v="1"/>
    <x v="3"/>
    <x v="2"/>
    <x v="0"/>
    <s v="Beigucheng"/>
    <s v="Hotels"/>
    <x v="744"/>
    <n v="7"/>
    <x v="2"/>
    <n v="3"/>
    <n v="3"/>
    <n v="1"/>
    <s v="High"/>
    <s v="Very Sensitive"/>
    <n v="1"/>
    <n v="7"/>
    <s v="Low"/>
    <s v="Smartphone"/>
    <s v="Credit Card"/>
    <d v="2024-09-12T00:00:00"/>
    <b v="1"/>
    <b v="0"/>
    <s v="Planned"/>
    <x v="0"/>
    <n v="5"/>
  </r>
  <r>
    <x v="750"/>
    <n v="27"/>
    <s v="Female"/>
    <x v="1"/>
    <x v="0"/>
    <x v="2"/>
    <x v="0"/>
    <s v="Cerro"/>
    <s v="Beauty &amp; Personal Care"/>
    <x v="745"/>
    <n v="11"/>
    <x v="1"/>
    <n v="3"/>
    <n v="2"/>
    <n v="1"/>
    <s v="Medium"/>
    <s v="Somewhat Sensitive"/>
    <n v="0"/>
    <n v="1"/>
    <s v="None"/>
    <s v="Desktop"/>
    <s v="Cash"/>
    <d v="2024-08-31T00:00:00"/>
    <b v="1"/>
    <b v="0"/>
    <s v="Planned"/>
    <x v="2"/>
    <n v="6"/>
  </r>
  <r>
    <x v="751"/>
    <n v="36"/>
    <s v="Female"/>
    <x v="1"/>
    <x v="2"/>
    <x v="2"/>
    <x v="1"/>
    <s v="Yamaga"/>
    <s v="Beauty &amp; Personal Care"/>
    <x v="746"/>
    <n v="12"/>
    <x v="2"/>
    <n v="5"/>
    <n v="3"/>
    <n v="2"/>
    <s v="Low"/>
    <s v="Very Sensitive"/>
    <n v="0"/>
    <n v="5"/>
    <s v="Medium"/>
    <s v="Smartphone"/>
    <s v="Other"/>
    <d v="2024-01-22T00:00:00"/>
    <b v="1"/>
    <b v="0"/>
    <s v="Wants-based"/>
    <x v="2"/>
    <n v="5"/>
  </r>
  <r>
    <x v="752"/>
    <n v="19"/>
    <s v="Bigender"/>
    <x v="1"/>
    <x v="1"/>
    <x v="2"/>
    <x v="0"/>
    <s v="Sacramento"/>
    <s v="Furniture"/>
    <x v="747"/>
    <n v="11"/>
    <x v="2"/>
    <n v="3"/>
    <n v="2"/>
    <n v="1"/>
    <s v="Low"/>
    <s v="Not Sensitive"/>
    <n v="0"/>
    <n v="3"/>
    <s v="Medium"/>
    <s v="Desktop"/>
    <s v="Cash"/>
    <d v="2024-08-30T00:00:00"/>
    <b v="1"/>
    <b v="0"/>
    <s v="Impulsive"/>
    <x v="2"/>
    <n v="5"/>
  </r>
  <r>
    <x v="753"/>
    <n v="24"/>
    <s v="Female"/>
    <x v="1"/>
    <x v="1"/>
    <x v="0"/>
    <x v="0"/>
    <s v="Foso"/>
    <s v="Packages)"/>
    <x v="748"/>
    <n v="9"/>
    <x v="2"/>
    <n v="1"/>
    <n v="4"/>
    <n v="2"/>
    <s v="Medium"/>
    <s v="Very Sensitive"/>
    <n v="2"/>
    <n v="10"/>
    <s v="None"/>
    <s v="Desktop"/>
    <s v="Debit Card"/>
    <d v="2024-07-23T00:00:00"/>
    <b v="0"/>
    <b v="1"/>
    <s v="Impulsive"/>
    <x v="1"/>
    <n v="2"/>
  </r>
  <r>
    <x v="754"/>
    <n v="35"/>
    <s v="Male"/>
    <x v="1"/>
    <x v="3"/>
    <x v="1"/>
    <x v="1"/>
    <s v="Nowe Brzesko"/>
    <s v="Animal Feed"/>
    <x v="749"/>
    <n v="6"/>
    <x v="2"/>
    <n v="1"/>
    <n v="1"/>
    <n v="1"/>
    <s v="High"/>
    <s v="Not Sensitive"/>
    <n v="2"/>
    <n v="2"/>
    <s v="High"/>
    <s v="Desktop"/>
    <s v="Other"/>
    <d v="2024-04-11T00:00:00"/>
    <b v="1"/>
    <b v="0"/>
    <s v="Impulsive"/>
    <x v="1"/>
    <n v="4"/>
  </r>
  <r>
    <x v="755"/>
    <n v="38"/>
    <s v="Female"/>
    <x v="1"/>
    <x v="0"/>
    <x v="1"/>
    <x v="1"/>
    <s v="Konārak"/>
    <s v="Beauty &amp; Personal Care"/>
    <x v="750"/>
    <n v="9"/>
    <x v="0"/>
    <n v="4"/>
    <n v="3"/>
    <n v="0"/>
    <s v="None"/>
    <s v="Very Sensitive"/>
    <n v="0"/>
    <n v="8"/>
    <s v="High"/>
    <s v="Tablet"/>
    <s v="PayPal"/>
    <d v="2024-07-11T00:00:00"/>
    <b v="0"/>
    <b v="1"/>
    <s v="Wants-based"/>
    <x v="2"/>
    <n v="6"/>
  </r>
  <r>
    <x v="756"/>
    <n v="34"/>
    <s v="Male"/>
    <x v="1"/>
    <x v="2"/>
    <x v="1"/>
    <x v="1"/>
    <s v="Qingshandi"/>
    <s v="Software &amp; Apps"/>
    <x v="751"/>
    <n v="6"/>
    <x v="2"/>
    <n v="2"/>
    <n v="3"/>
    <n v="2"/>
    <s v="None"/>
    <s v="Not Sensitive"/>
    <n v="1"/>
    <n v="7"/>
    <s v="Medium"/>
    <s v="Desktop"/>
    <s v="Credit Card"/>
    <d v="2024-09-16T00:00:00"/>
    <b v="1"/>
    <b v="1"/>
    <s v="Need-based"/>
    <x v="0"/>
    <n v="1"/>
  </r>
  <r>
    <x v="757"/>
    <n v="29"/>
    <s v="Female"/>
    <x v="1"/>
    <x v="3"/>
    <x v="2"/>
    <x v="0"/>
    <s v="Mbala"/>
    <s v="Hotels"/>
    <x v="752"/>
    <n v="6"/>
    <x v="2"/>
    <n v="5"/>
    <n v="4"/>
    <n v="1"/>
    <s v="Medium"/>
    <s v="Very Sensitive"/>
    <n v="2"/>
    <n v="1"/>
    <s v="None"/>
    <s v="Tablet"/>
    <s v="PayPal"/>
    <d v="2024-09-22T00:00:00"/>
    <b v="1"/>
    <b v="1"/>
    <s v="Need-based"/>
    <x v="0"/>
    <n v="1"/>
  </r>
  <r>
    <x v="758"/>
    <n v="41"/>
    <s v="Female"/>
    <x v="0"/>
    <x v="2"/>
    <x v="0"/>
    <x v="0"/>
    <s v="Shiqiao"/>
    <s v="Furniture"/>
    <x v="753"/>
    <n v="10"/>
    <x v="1"/>
    <n v="1"/>
    <n v="3"/>
    <n v="1"/>
    <s v="High"/>
    <s v="Not Sensitive"/>
    <n v="2"/>
    <n v="1"/>
    <s v="High"/>
    <s v="Desktop"/>
    <s v="PayPal"/>
    <d v="2024-11-03T00:00:00"/>
    <b v="1"/>
    <b v="1"/>
    <s v="Impulsive"/>
    <x v="1"/>
    <n v="1"/>
  </r>
  <r>
    <x v="759"/>
    <n v="41"/>
    <s v="Male"/>
    <x v="0"/>
    <x v="3"/>
    <x v="1"/>
    <x v="1"/>
    <s v="Yatsuomachi-higashikumisaka"/>
    <s v="Health Supplements"/>
    <x v="754"/>
    <n v="7"/>
    <x v="1"/>
    <n v="4"/>
    <n v="4"/>
    <n v="0"/>
    <s v="Medium"/>
    <s v="Not Sensitive"/>
    <n v="1"/>
    <n v="7"/>
    <s v="None"/>
    <s v="Tablet"/>
    <s v="Credit Card"/>
    <d v="2024-05-15T00:00:00"/>
    <b v="1"/>
    <b v="1"/>
    <s v="Wants-based"/>
    <x v="1"/>
    <n v="9"/>
  </r>
  <r>
    <x v="760"/>
    <n v="32"/>
    <s v="Male"/>
    <x v="1"/>
    <x v="0"/>
    <x v="0"/>
    <x v="1"/>
    <s v="Czarna Dąbrówka"/>
    <s v="Animal Feed"/>
    <x v="755"/>
    <n v="12"/>
    <x v="0"/>
    <n v="5"/>
    <n v="5"/>
    <n v="0"/>
    <s v="None"/>
    <s v="Not Sensitive"/>
    <n v="0"/>
    <n v="5"/>
    <s v="Low"/>
    <s v="Smartphone"/>
    <s v="Credit Card"/>
    <d v="2024-11-24T00:00:00"/>
    <b v="1"/>
    <b v="0"/>
    <s v="Planned"/>
    <x v="1"/>
    <n v="13"/>
  </r>
  <r>
    <x v="761"/>
    <n v="36"/>
    <s v="Female"/>
    <x v="0"/>
    <x v="1"/>
    <x v="1"/>
    <x v="1"/>
    <s v="Pasirmadang"/>
    <s v="Packages)"/>
    <x v="756"/>
    <n v="11"/>
    <x v="2"/>
    <n v="1"/>
    <n v="3"/>
    <n v="0"/>
    <s v="Medium"/>
    <s v="Very Sensitive"/>
    <n v="2"/>
    <n v="2"/>
    <s v="Low"/>
    <s v="Smartphone"/>
    <s v="Debit Card"/>
    <d v="2024-03-31T00:00:00"/>
    <b v="0"/>
    <b v="0"/>
    <s v="Planned"/>
    <x v="2"/>
    <n v="12"/>
  </r>
  <r>
    <x v="762"/>
    <n v="33"/>
    <s v="Male"/>
    <x v="0"/>
    <x v="0"/>
    <x v="0"/>
    <x v="1"/>
    <s v="Maño"/>
    <s v="Software &amp; Apps"/>
    <x v="757"/>
    <n v="3"/>
    <x v="0"/>
    <n v="5"/>
    <n v="3"/>
    <n v="2"/>
    <s v="Medium"/>
    <s v="Somewhat Sensitive"/>
    <n v="0"/>
    <n v="8"/>
    <s v="High"/>
    <s v="Tablet"/>
    <s v="Credit Card"/>
    <d v="2024-03-21T00:00:00"/>
    <b v="1"/>
    <b v="1"/>
    <s v="Wants-based"/>
    <x v="1"/>
    <n v="10"/>
  </r>
  <r>
    <x v="763"/>
    <n v="25"/>
    <s v="Female"/>
    <x v="0"/>
    <x v="0"/>
    <x v="2"/>
    <x v="0"/>
    <s v="Tiwi"/>
    <s v="Mobile Accessories"/>
    <x v="758"/>
    <n v="7"/>
    <x v="1"/>
    <n v="3"/>
    <n v="5"/>
    <n v="2"/>
    <s v="Medium"/>
    <s v="Very Sensitive"/>
    <n v="1"/>
    <n v="4"/>
    <s v="None"/>
    <s v="Desktop"/>
    <s v="Cash"/>
    <d v="2024-07-03T00:00:00"/>
    <b v="1"/>
    <b v="0"/>
    <s v="Impulsive"/>
    <x v="2"/>
    <n v="1"/>
  </r>
  <r>
    <x v="764"/>
    <n v="46"/>
    <s v="Female"/>
    <x v="0"/>
    <x v="0"/>
    <x v="0"/>
    <x v="0"/>
    <s v="Ahar"/>
    <s v="Jewelry &amp; Accessories"/>
    <x v="759"/>
    <n v="3"/>
    <x v="0"/>
    <n v="3"/>
    <n v="5"/>
    <n v="2"/>
    <s v="None"/>
    <s v="Somewhat Sensitive"/>
    <n v="2"/>
    <n v="3"/>
    <s v="High"/>
    <s v="Desktop"/>
    <s v="Credit Card"/>
    <d v="2024-03-17T00:00:00"/>
    <b v="1"/>
    <b v="1"/>
    <s v="Need-based"/>
    <x v="0"/>
    <n v="3"/>
  </r>
  <r>
    <x v="765"/>
    <n v="41"/>
    <s v="Female"/>
    <x v="1"/>
    <x v="1"/>
    <x v="1"/>
    <x v="0"/>
    <s v="Dake"/>
    <s v="Sports &amp; Outdoors"/>
    <x v="760"/>
    <n v="7"/>
    <x v="0"/>
    <n v="3"/>
    <n v="4"/>
    <n v="0"/>
    <s v="None"/>
    <s v="Very Sensitive"/>
    <n v="2"/>
    <n v="9"/>
    <s v="None"/>
    <s v="Desktop"/>
    <s v="Other"/>
    <d v="2024-11-21T00:00:00"/>
    <b v="0"/>
    <b v="1"/>
    <s v="Need-based"/>
    <x v="1"/>
    <n v="6"/>
  </r>
  <r>
    <x v="766"/>
    <n v="28"/>
    <s v="Female"/>
    <x v="0"/>
    <x v="2"/>
    <x v="0"/>
    <x v="0"/>
    <s v="Harstad"/>
    <s v="Home Appliances"/>
    <x v="761"/>
    <n v="3"/>
    <x v="2"/>
    <n v="3"/>
    <n v="1"/>
    <n v="1"/>
    <s v="High"/>
    <s v="Not Sensitive"/>
    <n v="1"/>
    <n v="10"/>
    <s v="Medium"/>
    <s v="Desktop"/>
    <s v="PayPal"/>
    <d v="2024-08-02T00:00:00"/>
    <b v="1"/>
    <b v="0"/>
    <s v="Wants-based"/>
    <x v="0"/>
    <n v="13"/>
  </r>
  <r>
    <x v="767"/>
    <n v="23"/>
    <s v="Male"/>
    <x v="1"/>
    <x v="3"/>
    <x v="2"/>
    <x v="0"/>
    <s v="Perbaungan"/>
    <s v="Software &amp; Apps"/>
    <x v="762"/>
    <n v="2"/>
    <x v="0"/>
    <n v="5"/>
    <n v="3"/>
    <n v="0"/>
    <s v="High"/>
    <s v="Not Sensitive"/>
    <n v="2"/>
    <n v="7"/>
    <s v="Low"/>
    <s v="Desktop"/>
    <s v="PayPal"/>
    <d v="2024-09-24T00:00:00"/>
    <b v="0"/>
    <b v="0"/>
    <s v="Need-based"/>
    <x v="2"/>
    <n v="3"/>
  </r>
  <r>
    <x v="768"/>
    <n v="48"/>
    <s v="Female"/>
    <x v="1"/>
    <x v="2"/>
    <x v="1"/>
    <x v="1"/>
    <s v="Soroti"/>
    <s v="Furniture"/>
    <x v="763"/>
    <n v="7"/>
    <x v="1"/>
    <n v="2"/>
    <n v="5"/>
    <n v="1"/>
    <s v="Low"/>
    <s v="Very Sensitive"/>
    <n v="2"/>
    <n v="3"/>
    <s v="Low"/>
    <s v="Smartphone"/>
    <s v="Other"/>
    <d v="2024-12-18T00:00:00"/>
    <b v="1"/>
    <b v="0"/>
    <s v="Impulsive"/>
    <x v="2"/>
    <n v="1"/>
  </r>
  <r>
    <x v="769"/>
    <n v="26"/>
    <s v="Male"/>
    <x v="1"/>
    <x v="1"/>
    <x v="2"/>
    <x v="1"/>
    <s v="Caruaru"/>
    <s v="Arts &amp; Crafts"/>
    <x v="764"/>
    <n v="7"/>
    <x v="1"/>
    <n v="5"/>
    <n v="1"/>
    <n v="1"/>
    <s v="High"/>
    <s v="Not Sensitive"/>
    <n v="0"/>
    <n v="1"/>
    <s v="High"/>
    <s v="Tablet"/>
    <s v="Other"/>
    <d v="2024-05-25T00:00:00"/>
    <b v="0"/>
    <b v="0"/>
    <s v="Planned"/>
    <x v="2"/>
    <n v="7"/>
  </r>
  <r>
    <x v="770"/>
    <n v="39"/>
    <s v="Female"/>
    <x v="1"/>
    <x v="0"/>
    <x v="2"/>
    <x v="0"/>
    <s v="Kamiennik"/>
    <s v="Arts &amp; Crafts"/>
    <x v="765"/>
    <n v="7"/>
    <x v="1"/>
    <n v="1"/>
    <n v="2"/>
    <n v="2"/>
    <s v="High"/>
    <s v="Not Sensitive"/>
    <n v="0"/>
    <n v="5"/>
    <s v="Medium"/>
    <s v="Tablet"/>
    <s v="Debit Card"/>
    <d v="2024-01-05T00:00:00"/>
    <b v="1"/>
    <b v="0"/>
    <s v="Need-based"/>
    <x v="0"/>
    <n v="11"/>
  </r>
  <r>
    <x v="771"/>
    <n v="45"/>
    <s v="Male"/>
    <x v="0"/>
    <x v="0"/>
    <x v="1"/>
    <x v="1"/>
    <s v="Boundiali"/>
    <s v="Sports &amp; Outdoors"/>
    <x v="766"/>
    <n v="2"/>
    <x v="0"/>
    <n v="5"/>
    <n v="3"/>
    <n v="2"/>
    <s v="Low"/>
    <s v="Very Sensitive"/>
    <n v="0"/>
    <n v="2"/>
    <s v="None"/>
    <s v="Desktop"/>
    <s v="PayPal"/>
    <d v="2024-03-15T00:00:00"/>
    <b v="1"/>
    <b v="1"/>
    <s v="Need-based"/>
    <x v="0"/>
    <n v="12"/>
  </r>
  <r>
    <x v="772"/>
    <n v="22"/>
    <s v="Male"/>
    <x v="0"/>
    <x v="3"/>
    <x v="1"/>
    <x v="1"/>
    <s v="Götene"/>
    <s v="Toys &amp; Games"/>
    <x v="767"/>
    <n v="7"/>
    <x v="0"/>
    <n v="4"/>
    <n v="4"/>
    <n v="1.5"/>
    <s v="Low"/>
    <s v="Very Sensitive"/>
    <n v="0"/>
    <n v="3"/>
    <s v="High"/>
    <s v="Smartphone"/>
    <s v="Credit Card"/>
    <d v="2024-07-23T00:00:00"/>
    <b v="1"/>
    <b v="0"/>
    <s v="Wants-based"/>
    <x v="1"/>
    <n v="8"/>
  </r>
  <r>
    <x v="773"/>
    <n v="36"/>
    <s v="Male"/>
    <x v="1"/>
    <x v="0"/>
    <x v="1"/>
    <x v="0"/>
    <s v="Kadumelati"/>
    <s v="Hotels"/>
    <x v="768"/>
    <n v="5"/>
    <x v="0"/>
    <n v="4"/>
    <n v="3"/>
    <n v="0"/>
    <s v="Medium"/>
    <s v="Very Sensitive"/>
    <n v="0"/>
    <n v="4"/>
    <s v="Medium"/>
    <s v="Smartphone"/>
    <s v="Cash"/>
    <d v="2024-09-18T00:00:00"/>
    <b v="1"/>
    <b v="0"/>
    <s v="Planned"/>
    <x v="0"/>
    <n v="11"/>
  </r>
  <r>
    <x v="774"/>
    <n v="29"/>
    <s v="Female"/>
    <x v="0"/>
    <x v="0"/>
    <x v="0"/>
    <x v="1"/>
    <s v="Amparo"/>
    <s v="Mobile Accessories"/>
    <x v="769"/>
    <n v="7"/>
    <x v="1"/>
    <n v="3"/>
    <n v="5"/>
    <n v="2"/>
    <s v="Low"/>
    <s v="Very Sensitive"/>
    <n v="0"/>
    <n v="6"/>
    <s v="Low"/>
    <s v="Smartphone"/>
    <s v="Cash"/>
    <d v="2024-03-09T00:00:00"/>
    <b v="0"/>
    <b v="0"/>
    <s v="Impulsive"/>
    <x v="2"/>
    <n v="11"/>
  </r>
  <r>
    <x v="775"/>
    <n v="33"/>
    <s v="Male"/>
    <x v="1"/>
    <x v="0"/>
    <x v="0"/>
    <x v="1"/>
    <s v="Shimen"/>
    <s v="Beauty &amp; Personal Care"/>
    <x v="770"/>
    <n v="2"/>
    <x v="1"/>
    <n v="5"/>
    <n v="4"/>
    <n v="1.5"/>
    <s v="Low"/>
    <s v="Not Sensitive"/>
    <n v="2"/>
    <n v="5"/>
    <s v="None"/>
    <s v="Tablet"/>
    <s v="Other"/>
    <d v="2024-01-29T00:00:00"/>
    <b v="1"/>
    <b v="0"/>
    <s v="Impulsive"/>
    <x v="2"/>
    <n v="12"/>
  </r>
  <r>
    <x v="776"/>
    <n v="35"/>
    <s v="Male"/>
    <x v="1"/>
    <x v="0"/>
    <x v="2"/>
    <x v="0"/>
    <s v="Philadelphia"/>
    <s v="Food &amp; Beverages"/>
    <x v="771"/>
    <n v="8"/>
    <x v="2"/>
    <n v="3"/>
    <n v="1"/>
    <n v="1"/>
    <s v="High"/>
    <s v="Somewhat Sensitive"/>
    <n v="0"/>
    <n v="6"/>
    <s v="None"/>
    <s v="Smartphone"/>
    <s v="Debit Card"/>
    <d v="2024-07-22T00:00:00"/>
    <b v="0"/>
    <b v="0"/>
    <s v="Impulsive"/>
    <x v="0"/>
    <n v="10"/>
  </r>
  <r>
    <x v="777"/>
    <n v="39"/>
    <s v="Female"/>
    <x v="0"/>
    <x v="1"/>
    <x v="1"/>
    <x v="1"/>
    <s v="Myingyan"/>
    <s v="Books"/>
    <x v="772"/>
    <n v="9"/>
    <x v="1"/>
    <n v="5"/>
    <n v="1"/>
    <n v="1"/>
    <s v="None"/>
    <s v="Somewhat Sensitive"/>
    <n v="1"/>
    <n v="2"/>
    <s v="Low"/>
    <s v="Smartphone"/>
    <s v="Other"/>
    <d v="2024-02-03T00:00:00"/>
    <b v="1"/>
    <b v="1"/>
    <s v="Planned"/>
    <x v="1"/>
    <n v="12"/>
  </r>
  <r>
    <x v="778"/>
    <n v="38"/>
    <s v="Female"/>
    <x v="0"/>
    <x v="1"/>
    <x v="1"/>
    <x v="0"/>
    <s v="Qingqu"/>
    <s v="Groceries"/>
    <x v="773"/>
    <n v="10"/>
    <x v="1"/>
    <n v="3"/>
    <n v="4"/>
    <n v="0"/>
    <s v="Medium"/>
    <s v="Somewhat Sensitive"/>
    <n v="0"/>
    <n v="4"/>
    <s v="High"/>
    <s v="Desktop"/>
    <s v="Debit Card"/>
    <d v="2024-06-03T00:00:00"/>
    <b v="1"/>
    <b v="1"/>
    <s v="Wants-based"/>
    <x v="0"/>
    <n v="4"/>
  </r>
  <r>
    <x v="779"/>
    <n v="27"/>
    <s v="Female"/>
    <x v="1"/>
    <x v="1"/>
    <x v="0"/>
    <x v="1"/>
    <s v="Poste de Flacq"/>
    <s v="Books"/>
    <x v="774"/>
    <n v="7"/>
    <x v="1"/>
    <n v="1"/>
    <n v="1"/>
    <n v="1"/>
    <s v="Low"/>
    <s v="Not Sensitive"/>
    <n v="0"/>
    <n v="10"/>
    <s v="Low"/>
    <s v="Smartphone"/>
    <s v="PayPal"/>
    <d v="2024-10-05T00:00:00"/>
    <b v="1"/>
    <b v="0"/>
    <s v="Wants-based"/>
    <x v="0"/>
    <n v="1"/>
  </r>
  <r>
    <x v="780"/>
    <n v="35"/>
    <s v="Male"/>
    <x v="0"/>
    <x v="2"/>
    <x v="1"/>
    <x v="1"/>
    <s v="Ţawr al Bāḩah"/>
    <s v="Arts &amp; Crafts"/>
    <x v="775"/>
    <n v="2"/>
    <x v="2"/>
    <n v="1"/>
    <n v="1"/>
    <n v="1"/>
    <s v="High"/>
    <s v="Not Sensitive"/>
    <n v="0"/>
    <n v="7"/>
    <s v="Medium"/>
    <s v="Desktop"/>
    <s v="Debit Card"/>
    <d v="2024-01-04T00:00:00"/>
    <b v="0"/>
    <b v="1"/>
    <s v="Need-based"/>
    <x v="1"/>
    <n v="10"/>
  </r>
  <r>
    <x v="781"/>
    <n v="43"/>
    <s v="Female"/>
    <x v="0"/>
    <x v="2"/>
    <x v="2"/>
    <x v="0"/>
    <s v="Phu Loc"/>
    <s v="Toys &amp; Games"/>
    <x v="776"/>
    <n v="5"/>
    <x v="1"/>
    <n v="3"/>
    <n v="5"/>
    <n v="2"/>
    <s v="Low"/>
    <s v="Very Sensitive"/>
    <n v="0"/>
    <n v="2"/>
    <s v="High"/>
    <s v="Tablet"/>
    <s v="Debit Card"/>
    <d v="2024-02-27T00:00:00"/>
    <b v="0"/>
    <b v="1"/>
    <s v="Planned"/>
    <x v="2"/>
    <n v="14"/>
  </r>
  <r>
    <x v="782"/>
    <n v="40"/>
    <s v="Bigender"/>
    <x v="1"/>
    <x v="1"/>
    <x v="0"/>
    <x v="0"/>
    <s v="Jembangan"/>
    <s v="Electronics"/>
    <x v="777"/>
    <n v="11"/>
    <x v="0"/>
    <n v="3"/>
    <n v="2"/>
    <n v="0.3"/>
    <s v="Medium"/>
    <s v="Not Sensitive"/>
    <n v="1"/>
    <n v="1"/>
    <s v="Medium"/>
    <s v="Smartphone"/>
    <s v="PayPal"/>
    <d v="2024-10-01T00:00:00"/>
    <b v="1"/>
    <b v="1"/>
    <s v="Planned"/>
    <x v="2"/>
    <n v="14"/>
  </r>
  <r>
    <x v="783"/>
    <n v="19"/>
    <s v="Male"/>
    <x v="0"/>
    <x v="3"/>
    <x v="1"/>
    <x v="0"/>
    <s v="Harhorin"/>
    <s v="Office Supplies"/>
    <x v="778"/>
    <n v="7"/>
    <x v="1"/>
    <n v="3"/>
    <n v="4"/>
    <n v="0.2"/>
    <s v="Medium"/>
    <s v="Not Sensitive"/>
    <n v="2"/>
    <n v="3"/>
    <s v="High"/>
    <s v="Tablet"/>
    <s v="Debit Card"/>
    <d v="2024-12-11T00:00:00"/>
    <b v="1"/>
    <b v="1"/>
    <s v="Need-based"/>
    <x v="2"/>
    <n v="5"/>
  </r>
  <r>
    <x v="784"/>
    <n v="46"/>
    <s v="Agender"/>
    <x v="1"/>
    <x v="0"/>
    <x v="1"/>
    <x v="1"/>
    <s v="Meijiang"/>
    <s v="Animal Feed"/>
    <x v="779"/>
    <n v="6"/>
    <x v="1"/>
    <n v="4"/>
    <n v="5"/>
    <n v="2"/>
    <s v="None"/>
    <s v="Somewhat Sensitive"/>
    <n v="0"/>
    <n v="6"/>
    <s v="None"/>
    <s v="Smartphone"/>
    <s v="Other"/>
    <d v="2024-11-25T00:00:00"/>
    <b v="0"/>
    <b v="0"/>
    <s v="Planned"/>
    <x v="2"/>
    <n v="6"/>
  </r>
  <r>
    <x v="785"/>
    <n v="30"/>
    <s v="Female"/>
    <x v="1"/>
    <x v="1"/>
    <x v="1"/>
    <x v="1"/>
    <s v="Lañgub"/>
    <s v="Packages)"/>
    <x v="780"/>
    <n v="8"/>
    <x v="2"/>
    <n v="2"/>
    <n v="2"/>
    <n v="0.2"/>
    <s v="High"/>
    <s v="Somewhat Sensitive"/>
    <n v="0"/>
    <n v="6"/>
    <s v="Low"/>
    <s v="Desktop"/>
    <s v="PayPal"/>
    <d v="2024-01-13T00:00:00"/>
    <b v="1"/>
    <b v="1"/>
    <s v="Need-based"/>
    <x v="0"/>
    <n v="8"/>
  </r>
  <r>
    <x v="786"/>
    <n v="35"/>
    <s v="Male"/>
    <x v="1"/>
    <x v="3"/>
    <x v="0"/>
    <x v="0"/>
    <s v="Bangbayang"/>
    <s v="Groceries"/>
    <x v="781"/>
    <n v="4"/>
    <x v="0"/>
    <n v="3"/>
    <n v="1"/>
    <n v="1"/>
    <s v="Medium"/>
    <s v="Somewhat Sensitive"/>
    <n v="0"/>
    <n v="3"/>
    <s v="Medium"/>
    <s v="Smartphone"/>
    <s v="Debit Card"/>
    <d v="2024-09-17T00:00:00"/>
    <b v="0"/>
    <b v="1"/>
    <s v="Wants-based"/>
    <x v="0"/>
    <n v="5"/>
  </r>
  <r>
    <x v="787"/>
    <n v="34"/>
    <s v="Male"/>
    <x v="1"/>
    <x v="2"/>
    <x v="1"/>
    <x v="0"/>
    <s v="Stěbořice"/>
    <s v="Home Appliances"/>
    <x v="782"/>
    <n v="2"/>
    <x v="2"/>
    <n v="1"/>
    <n v="5"/>
    <n v="1"/>
    <s v="None"/>
    <s v="Somewhat Sensitive"/>
    <n v="1"/>
    <n v="2"/>
    <s v="High"/>
    <s v="Desktop"/>
    <s v="PayPal"/>
    <d v="2024-08-12T00:00:00"/>
    <b v="0"/>
    <b v="1"/>
    <s v="Planned"/>
    <x v="0"/>
    <n v="12"/>
  </r>
  <r>
    <x v="788"/>
    <n v="28"/>
    <s v="Female"/>
    <x v="0"/>
    <x v="0"/>
    <x v="1"/>
    <x v="1"/>
    <s v="Banturkrajan"/>
    <s v="Groceries"/>
    <x v="783"/>
    <n v="6"/>
    <x v="2"/>
    <n v="3"/>
    <n v="3"/>
    <n v="2"/>
    <s v="High"/>
    <s v="Very Sensitive"/>
    <n v="0"/>
    <n v="1"/>
    <s v="Medium"/>
    <s v="Smartphone"/>
    <s v="Cash"/>
    <d v="2024-09-09T00:00:00"/>
    <b v="0"/>
    <b v="1"/>
    <s v="Need-based"/>
    <x v="0"/>
    <n v="4"/>
  </r>
  <r>
    <x v="789"/>
    <n v="44"/>
    <s v="Female"/>
    <x v="0"/>
    <x v="0"/>
    <x v="2"/>
    <x v="0"/>
    <s v="São Torcato"/>
    <s v="Home Appliances"/>
    <x v="784"/>
    <n v="5"/>
    <x v="0"/>
    <n v="3"/>
    <n v="4"/>
    <n v="2"/>
    <s v="High"/>
    <s v="Somewhat Sensitive"/>
    <n v="0"/>
    <n v="3"/>
    <s v="High"/>
    <s v="Tablet"/>
    <s v="PayPal"/>
    <d v="2024-05-26T00:00:00"/>
    <b v="1"/>
    <b v="0"/>
    <s v="Planned"/>
    <x v="1"/>
    <n v="12"/>
  </r>
  <r>
    <x v="790"/>
    <n v="25"/>
    <s v="Male"/>
    <x v="1"/>
    <x v="3"/>
    <x v="2"/>
    <x v="0"/>
    <s v="Kapan"/>
    <s v="Software &amp; Apps"/>
    <x v="785"/>
    <n v="9"/>
    <x v="0"/>
    <n v="5"/>
    <n v="4"/>
    <n v="0.3"/>
    <s v="None"/>
    <s v="Very Sensitive"/>
    <n v="1"/>
    <n v="9"/>
    <s v="Medium"/>
    <s v="Tablet"/>
    <s v="Other"/>
    <d v="2024-11-09T00:00:00"/>
    <b v="1"/>
    <b v="0"/>
    <s v="Planned"/>
    <x v="0"/>
    <n v="11"/>
  </r>
  <r>
    <x v="791"/>
    <n v="45"/>
    <s v="Male"/>
    <x v="0"/>
    <x v="0"/>
    <x v="0"/>
    <x v="1"/>
    <s v="Văn Giang"/>
    <s v="Mobile Accessories"/>
    <x v="786"/>
    <n v="3"/>
    <x v="0"/>
    <n v="2"/>
    <n v="5"/>
    <n v="0.25"/>
    <s v="None"/>
    <s v="Somewhat Sensitive"/>
    <n v="0"/>
    <n v="10"/>
    <s v="Medium"/>
    <s v="Desktop"/>
    <s v="Credit Card"/>
    <d v="2024-07-19T00:00:00"/>
    <b v="0"/>
    <b v="0"/>
    <s v="Impulsive"/>
    <x v="1"/>
    <n v="3"/>
  </r>
  <r>
    <x v="792"/>
    <n v="47"/>
    <s v="Female"/>
    <x v="1"/>
    <x v="1"/>
    <x v="1"/>
    <x v="0"/>
    <s v="Oslo"/>
    <s v="Beauty &amp; Personal Care"/>
    <x v="787"/>
    <n v="10"/>
    <x v="2"/>
    <n v="1"/>
    <n v="1"/>
    <n v="0.3"/>
    <s v="Medium"/>
    <s v="Very Sensitive"/>
    <n v="0"/>
    <n v="2"/>
    <s v="Low"/>
    <s v="Smartphone"/>
    <s v="Cash"/>
    <d v="2024-01-07T00:00:00"/>
    <b v="1"/>
    <b v="1"/>
    <s v="Planned"/>
    <x v="1"/>
    <n v="9"/>
  </r>
  <r>
    <x v="793"/>
    <n v="39"/>
    <s v="Male"/>
    <x v="0"/>
    <x v="1"/>
    <x v="1"/>
    <x v="0"/>
    <s v="Tanushimarumachi-toyoki"/>
    <s v="Travel &amp; Leisure (Flights"/>
    <x v="788"/>
    <n v="12"/>
    <x v="1"/>
    <n v="2"/>
    <n v="4"/>
    <n v="2"/>
    <s v="Low"/>
    <s v="Somewhat Sensitive"/>
    <n v="1"/>
    <n v="9"/>
    <s v="High"/>
    <s v="Desktop"/>
    <s v="Other"/>
    <d v="2024-01-07T00:00:00"/>
    <b v="1"/>
    <b v="1"/>
    <s v="Wants-based"/>
    <x v="1"/>
    <n v="10"/>
  </r>
  <r>
    <x v="794"/>
    <n v="32"/>
    <s v="Male"/>
    <x v="1"/>
    <x v="3"/>
    <x v="1"/>
    <x v="0"/>
    <s v="Kazo"/>
    <s v="Jewelry &amp; Accessories"/>
    <x v="789"/>
    <n v="4"/>
    <x v="2"/>
    <n v="4"/>
    <n v="4"/>
    <n v="1"/>
    <s v="None"/>
    <s v="Somewhat Sensitive"/>
    <n v="2"/>
    <n v="7"/>
    <s v="None"/>
    <s v="Tablet"/>
    <s v="PayPal"/>
    <d v="2024-05-27T00:00:00"/>
    <b v="1"/>
    <b v="1"/>
    <s v="Planned"/>
    <x v="2"/>
    <n v="1"/>
  </r>
  <r>
    <x v="795"/>
    <n v="47"/>
    <s v="Male"/>
    <x v="0"/>
    <x v="2"/>
    <x v="0"/>
    <x v="1"/>
    <s v="Rawa Mazowiecka"/>
    <s v="Books"/>
    <x v="790"/>
    <n v="7"/>
    <x v="0"/>
    <n v="4"/>
    <n v="1"/>
    <n v="1"/>
    <s v="Low"/>
    <s v="Somewhat Sensitive"/>
    <n v="2"/>
    <n v="7"/>
    <s v="High"/>
    <s v="Smartphone"/>
    <s v="Debit Card"/>
    <d v="2024-05-11T00:00:00"/>
    <b v="1"/>
    <b v="0"/>
    <s v="Wants-based"/>
    <x v="1"/>
    <n v="11"/>
  </r>
  <r>
    <x v="796"/>
    <n v="19"/>
    <s v="Male"/>
    <x v="1"/>
    <x v="0"/>
    <x v="0"/>
    <x v="0"/>
    <s v="Wŏnsan"/>
    <s v="Electronics"/>
    <x v="791"/>
    <n v="12"/>
    <x v="1"/>
    <n v="1"/>
    <n v="5"/>
    <n v="1"/>
    <s v="Low"/>
    <s v="Somewhat Sensitive"/>
    <n v="0"/>
    <n v="8"/>
    <s v="Medium"/>
    <s v="Tablet"/>
    <s v="Credit Card"/>
    <d v="2024-10-16T00:00:00"/>
    <b v="1"/>
    <b v="1"/>
    <s v="Planned"/>
    <x v="2"/>
    <n v="13"/>
  </r>
  <r>
    <x v="797"/>
    <n v="48"/>
    <s v="Female"/>
    <x v="0"/>
    <x v="1"/>
    <x v="1"/>
    <x v="1"/>
    <s v="Villavicencio"/>
    <s v="Arts &amp; Crafts"/>
    <x v="792"/>
    <n v="3"/>
    <x v="1"/>
    <n v="4"/>
    <n v="2"/>
    <n v="1"/>
    <s v="None"/>
    <s v="Not Sensitive"/>
    <n v="0"/>
    <n v="1"/>
    <s v="High"/>
    <s v="Desktop"/>
    <s v="Debit Card"/>
    <d v="2024-04-19T00:00:00"/>
    <b v="0"/>
    <b v="0"/>
    <s v="Need-based"/>
    <x v="1"/>
    <n v="8"/>
  </r>
  <r>
    <x v="798"/>
    <n v="27"/>
    <s v="Male"/>
    <x v="1"/>
    <x v="1"/>
    <x v="2"/>
    <x v="1"/>
    <s v="Berlin"/>
    <s v="Home Appliances"/>
    <x v="793"/>
    <n v="12"/>
    <x v="0"/>
    <n v="4"/>
    <n v="3"/>
    <n v="0"/>
    <s v="Medium"/>
    <s v="Very Sensitive"/>
    <n v="0"/>
    <n v="8"/>
    <s v="Low"/>
    <s v="Desktop"/>
    <s v="Other"/>
    <d v="2024-06-07T00:00:00"/>
    <b v="1"/>
    <b v="0"/>
    <s v="Wants-based"/>
    <x v="0"/>
    <n v="8"/>
  </r>
  <r>
    <x v="799"/>
    <n v="31"/>
    <s v="Female"/>
    <x v="1"/>
    <x v="3"/>
    <x v="0"/>
    <x v="1"/>
    <s v="Wailang"/>
    <s v="Health Care"/>
    <x v="794"/>
    <n v="4"/>
    <x v="0"/>
    <n v="3"/>
    <n v="4"/>
    <n v="1"/>
    <s v="High"/>
    <s v="Not Sensitive"/>
    <n v="0"/>
    <n v="2"/>
    <s v="High"/>
    <s v="Smartphone"/>
    <s v="Credit Card"/>
    <d v="2024-05-05T00:00:00"/>
    <b v="1"/>
    <b v="1"/>
    <s v="Planned"/>
    <x v="0"/>
    <n v="2"/>
  </r>
  <r>
    <x v="800"/>
    <n v="44"/>
    <s v="Male"/>
    <x v="0"/>
    <x v="0"/>
    <x v="2"/>
    <x v="0"/>
    <s v="Fangshan"/>
    <s v="Luxury Goods"/>
    <x v="795"/>
    <n v="8"/>
    <x v="0"/>
    <n v="2"/>
    <n v="5"/>
    <n v="1"/>
    <s v="Medium"/>
    <s v="Not Sensitive"/>
    <n v="1"/>
    <n v="3"/>
    <s v="Low"/>
    <s v="Smartphone"/>
    <s v="Cash"/>
    <d v="2024-02-29T00:00:00"/>
    <b v="0"/>
    <b v="0"/>
    <s v="Impulsive"/>
    <x v="2"/>
    <n v="8"/>
  </r>
  <r>
    <x v="801"/>
    <n v="24"/>
    <s v="Female"/>
    <x v="1"/>
    <x v="2"/>
    <x v="1"/>
    <x v="0"/>
    <s v="Tallahassee"/>
    <s v="Luxury Goods"/>
    <x v="796"/>
    <n v="10"/>
    <x v="1"/>
    <n v="5"/>
    <n v="3"/>
    <n v="1"/>
    <s v="None"/>
    <s v="Not Sensitive"/>
    <n v="0"/>
    <n v="4"/>
    <s v="None"/>
    <s v="Smartphone"/>
    <s v="PayPal"/>
    <d v="2024-12-18T00:00:00"/>
    <b v="1"/>
    <b v="1"/>
    <s v="Impulsive"/>
    <x v="1"/>
    <n v="5"/>
  </r>
  <r>
    <x v="802"/>
    <n v="32"/>
    <s v="Female"/>
    <x v="0"/>
    <x v="2"/>
    <x v="2"/>
    <x v="0"/>
    <s v="Anchorage"/>
    <s v="Gardening &amp; Outdoors"/>
    <x v="797"/>
    <n v="5"/>
    <x v="1"/>
    <n v="1"/>
    <n v="4"/>
    <n v="1"/>
    <s v="None"/>
    <s v="Very Sensitive"/>
    <n v="2"/>
    <n v="10"/>
    <s v="High"/>
    <s v="Desktop"/>
    <s v="Debit Card"/>
    <d v="2024-10-29T00:00:00"/>
    <b v="1"/>
    <b v="0"/>
    <s v="Wants-based"/>
    <x v="1"/>
    <n v="1"/>
  </r>
  <r>
    <x v="803"/>
    <n v="28"/>
    <s v="Female"/>
    <x v="0"/>
    <x v="0"/>
    <x v="2"/>
    <x v="1"/>
    <s v="Mulhouse"/>
    <s v="Gardening &amp; Outdoors"/>
    <x v="798"/>
    <n v="7"/>
    <x v="1"/>
    <n v="4"/>
    <n v="2"/>
    <n v="1"/>
    <s v="Medium"/>
    <s v="Very Sensitive"/>
    <n v="1"/>
    <n v="2"/>
    <s v="Medium"/>
    <s v="Smartphone"/>
    <s v="Debit Card"/>
    <d v="2024-06-21T00:00:00"/>
    <b v="0"/>
    <b v="0"/>
    <s v="Need-based"/>
    <x v="1"/>
    <n v="10"/>
  </r>
  <r>
    <x v="804"/>
    <n v="26"/>
    <s v="Male"/>
    <x v="0"/>
    <x v="3"/>
    <x v="2"/>
    <x v="0"/>
    <s v="Tangkilsari"/>
    <s v="Jewelry &amp; Accessories"/>
    <x v="799"/>
    <n v="12"/>
    <x v="1"/>
    <n v="4"/>
    <n v="1"/>
    <n v="2"/>
    <s v="Medium"/>
    <s v="Somewhat Sensitive"/>
    <n v="0"/>
    <n v="2"/>
    <s v="Medium"/>
    <s v="Tablet"/>
    <s v="Other"/>
    <d v="2024-09-16T00:00:00"/>
    <b v="0"/>
    <b v="0"/>
    <s v="Planned"/>
    <x v="0"/>
    <n v="6"/>
  </r>
  <r>
    <x v="805"/>
    <n v="38"/>
    <s v="Female"/>
    <x v="0"/>
    <x v="0"/>
    <x v="2"/>
    <x v="0"/>
    <s v="San Carlos"/>
    <s v="Animal Feed"/>
    <x v="800"/>
    <n v="9"/>
    <x v="2"/>
    <n v="1"/>
    <n v="2"/>
    <n v="1"/>
    <s v="None"/>
    <s v="Somewhat Sensitive"/>
    <n v="0"/>
    <n v="9"/>
    <s v="Low"/>
    <s v="Tablet"/>
    <s v="PayPal"/>
    <d v="2024-01-14T00:00:00"/>
    <b v="1"/>
    <b v="1"/>
    <s v="Need-based"/>
    <x v="0"/>
    <n v="11"/>
  </r>
  <r>
    <x v="806"/>
    <n v="28"/>
    <s v="Female"/>
    <x v="0"/>
    <x v="3"/>
    <x v="1"/>
    <x v="0"/>
    <s v="Queluz"/>
    <s v="Sports &amp; Outdoors"/>
    <x v="801"/>
    <n v="7"/>
    <x v="0"/>
    <n v="1"/>
    <n v="5"/>
    <n v="0"/>
    <s v="None"/>
    <s v="Not Sensitive"/>
    <n v="0"/>
    <n v="3"/>
    <s v="None"/>
    <s v="Smartphone"/>
    <s v="Debit Card"/>
    <d v="2024-03-17T00:00:00"/>
    <b v="1"/>
    <b v="0"/>
    <s v="Wants-based"/>
    <x v="0"/>
    <n v="6"/>
  </r>
  <r>
    <x v="807"/>
    <n v="30"/>
    <s v="Genderqueer"/>
    <x v="1"/>
    <x v="0"/>
    <x v="1"/>
    <x v="1"/>
    <s v="Särkisalo"/>
    <s v="Software &amp; Apps"/>
    <x v="802"/>
    <n v="6"/>
    <x v="2"/>
    <n v="2"/>
    <n v="4"/>
    <n v="2"/>
    <s v="None"/>
    <s v="Very Sensitive"/>
    <n v="0"/>
    <n v="4"/>
    <s v="Low"/>
    <s v="Smartphone"/>
    <s v="PayPal"/>
    <d v="2024-09-22T00:00:00"/>
    <b v="0"/>
    <b v="0"/>
    <s v="Impulsive"/>
    <x v="0"/>
    <n v="1"/>
  </r>
  <r>
    <x v="808"/>
    <n v="37"/>
    <s v="Female"/>
    <x v="1"/>
    <x v="2"/>
    <x v="2"/>
    <x v="0"/>
    <s v="Vitoria-Gasteiz"/>
    <s v="Food &amp; Beverages"/>
    <x v="803"/>
    <n v="10"/>
    <x v="1"/>
    <n v="2"/>
    <n v="1"/>
    <n v="0"/>
    <s v="Low"/>
    <s v="Not Sensitive"/>
    <n v="1"/>
    <n v="2"/>
    <s v="High"/>
    <s v="Smartphone"/>
    <s v="Cash"/>
    <d v="2024-03-07T00:00:00"/>
    <b v="1"/>
    <b v="0"/>
    <s v="Need-based"/>
    <x v="2"/>
    <n v="10"/>
  </r>
  <r>
    <x v="809"/>
    <n v="47"/>
    <s v="Female"/>
    <x v="1"/>
    <x v="3"/>
    <x v="0"/>
    <x v="0"/>
    <s v="Coro"/>
    <s v="Baby Products"/>
    <x v="804"/>
    <n v="8"/>
    <x v="1"/>
    <n v="1"/>
    <n v="4"/>
    <n v="1"/>
    <s v="None"/>
    <s v="Somewhat Sensitive"/>
    <n v="0"/>
    <n v="5"/>
    <s v="Medium"/>
    <s v="Desktop"/>
    <s v="Debit Card"/>
    <d v="2024-11-25T00:00:00"/>
    <b v="0"/>
    <b v="0"/>
    <s v="Planned"/>
    <x v="2"/>
    <n v="10"/>
  </r>
  <r>
    <x v="810"/>
    <n v="41"/>
    <s v="Female"/>
    <x v="1"/>
    <x v="2"/>
    <x v="2"/>
    <x v="0"/>
    <s v="Purwa"/>
    <s v="Jewelry &amp; Accessories"/>
    <x v="805"/>
    <n v="6"/>
    <x v="1"/>
    <n v="5"/>
    <n v="1"/>
    <n v="0"/>
    <s v="High"/>
    <s v="Very Sensitive"/>
    <n v="1"/>
    <n v="5"/>
    <s v="Medium"/>
    <s v="Smartphone"/>
    <s v="Debit Card"/>
    <d v="2024-04-22T00:00:00"/>
    <b v="1"/>
    <b v="0"/>
    <s v="Wants-based"/>
    <x v="1"/>
    <n v="5"/>
  </r>
  <r>
    <x v="811"/>
    <n v="22"/>
    <s v="Female"/>
    <x v="0"/>
    <x v="2"/>
    <x v="2"/>
    <x v="1"/>
    <s v="Gävle"/>
    <s v="Packages)"/>
    <x v="806"/>
    <n v="11"/>
    <x v="0"/>
    <n v="4"/>
    <n v="1"/>
    <n v="0"/>
    <s v="None"/>
    <s v="Not Sensitive"/>
    <n v="0"/>
    <n v="3"/>
    <s v="High"/>
    <s v="Desktop"/>
    <s v="Other"/>
    <d v="2024-08-09T00:00:00"/>
    <b v="0"/>
    <b v="0"/>
    <s v="Wants-based"/>
    <x v="1"/>
    <n v="9"/>
  </r>
  <r>
    <x v="812"/>
    <n v="46"/>
    <s v="Male"/>
    <x v="1"/>
    <x v="0"/>
    <x v="2"/>
    <x v="0"/>
    <s v="Embu Guaçu"/>
    <s v="Mobile Accessories"/>
    <x v="807"/>
    <n v="10"/>
    <x v="2"/>
    <n v="5"/>
    <n v="4"/>
    <n v="2"/>
    <s v="Low"/>
    <s v="Very Sensitive"/>
    <n v="2"/>
    <n v="7"/>
    <s v="High"/>
    <s v="Desktop"/>
    <s v="Credit Card"/>
    <d v="2024-07-13T00:00:00"/>
    <b v="1"/>
    <b v="1"/>
    <s v="Wants-based"/>
    <x v="2"/>
    <n v="12"/>
  </r>
  <r>
    <x v="813"/>
    <n v="34"/>
    <s v="Non-binary"/>
    <x v="0"/>
    <x v="1"/>
    <x v="0"/>
    <x v="0"/>
    <s v="Colima"/>
    <s v="Arts &amp; Crafts"/>
    <x v="808"/>
    <n v="9"/>
    <x v="2"/>
    <n v="5"/>
    <n v="4"/>
    <n v="2"/>
    <s v="None"/>
    <s v="Not Sensitive"/>
    <n v="0"/>
    <n v="9"/>
    <s v="Low"/>
    <s v="Smartphone"/>
    <s v="Cash"/>
    <d v="2024-01-01T00:00:00"/>
    <b v="1"/>
    <b v="1"/>
    <s v="Need-based"/>
    <x v="1"/>
    <n v="3"/>
  </r>
  <r>
    <x v="814"/>
    <n v="31"/>
    <s v="Male"/>
    <x v="0"/>
    <x v="1"/>
    <x v="0"/>
    <x v="0"/>
    <s v="Fubin"/>
    <s v="Books"/>
    <x v="809"/>
    <n v="4"/>
    <x v="1"/>
    <n v="5"/>
    <n v="3"/>
    <n v="2"/>
    <s v="Low"/>
    <s v="Not Sensitive"/>
    <n v="1"/>
    <n v="9"/>
    <s v="High"/>
    <s v="Desktop"/>
    <s v="Credit Card"/>
    <d v="2024-02-11T00:00:00"/>
    <b v="1"/>
    <b v="1"/>
    <s v="Wants-based"/>
    <x v="1"/>
    <n v="6"/>
  </r>
  <r>
    <x v="815"/>
    <n v="38"/>
    <s v="Male"/>
    <x v="1"/>
    <x v="1"/>
    <x v="2"/>
    <x v="1"/>
    <s v="Talshand"/>
    <s v="Home Appliances"/>
    <x v="810"/>
    <n v="11"/>
    <x v="0"/>
    <n v="5"/>
    <n v="3"/>
    <n v="0"/>
    <s v="Medium"/>
    <s v="Very Sensitive"/>
    <n v="1"/>
    <n v="10"/>
    <s v="High"/>
    <s v="Smartphone"/>
    <s v="Cash"/>
    <d v="2024-10-30T00:00:00"/>
    <b v="1"/>
    <b v="1"/>
    <s v="Impulsive"/>
    <x v="0"/>
    <n v="10"/>
  </r>
  <r>
    <x v="816"/>
    <n v="45"/>
    <s v="Male"/>
    <x v="1"/>
    <x v="1"/>
    <x v="2"/>
    <x v="0"/>
    <s v="Palampal"/>
    <s v="Jewelry &amp; Accessories"/>
    <x v="811"/>
    <n v="2"/>
    <x v="0"/>
    <n v="4"/>
    <n v="5"/>
    <n v="0"/>
    <s v="Low"/>
    <s v="Not Sensitive"/>
    <n v="2"/>
    <n v="1"/>
    <s v="None"/>
    <s v="Smartphone"/>
    <s v="Other"/>
    <d v="2024-03-19T00:00:00"/>
    <b v="1"/>
    <b v="1"/>
    <s v="Wants-based"/>
    <x v="2"/>
    <n v="13"/>
  </r>
  <r>
    <x v="817"/>
    <n v="30"/>
    <s v="Female"/>
    <x v="1"/>
    <x v="0"/>
    <x v="1"/>
    <x v="1"/>
    <s v="Kamárai"/>
    <s v="Food &amp; Beverages"/>
    <x v="812"/>
    <n v="11"/>
    <x v="2"/>
    <n v="4"/>
    <n v="1"/>
    <n v="1"/>
    <s v="Medium"/>
    <s v="Somewhat Sensitive"/>
    <n v="2"/>
    <n v="7"/>
    <s v="Medium"/>
    <s v="Smartphone"/>
    <s v="Debit Card"/>
    <d v="2024-04-30T00:00:00"/>
    <b v="0"/>
    <b v="0"/>
    <s v="Wants-based"/>
    <x v="2"/>
    <n v="4"/>
  </r>
  <r>
    <x v="818"/>
    <n v="45"/>
    <s v="Female"/>
    <x v="0"/>
    <x v="0"/>
    <x v="1"/>
    <x v="0"/>
    <s v="Ettelbruck"/>
    <s v="Home Appliances"/>
    <x v="813"/>
    <n v="3"/>
    <x v="1"/>
    <n v="5"/>
    <n v="5"/>
    <n v="0"/>
    <s v="Low"/>
    <s v="Not Sensitive"/>
    <n v="0"/>
    <n v="5"/>
    <s v="Low"/>
    <s v="Tablet"/>
    <s v="Other"/>
    <d v="2024-11-25T00:00:00"/>
    <b v="0"/>
    <b v="0"/>
    <s v="Planned"/>
    <x v="2"/>
    <n v="3"/>
  </r>
  <r>
    <x v="819"/>
    <n v="18"/>
    <s v="Male"/>
    <x v="1"/>
    <x v="0"/>
    <x v="0"/>
    <x v="1"/>
    <s v="Cawayan"/>
    <s v="Mobile Accessories"/>
    <x v="814"/>
    <n v="8"/>
    <x v="2"/>
    <n v="4"/>
    <n v="1"/>
    <n v="1"/>
    <s v="Low"/>
    <s v="Very Sensitive"/>
    <n v="0"/>
    <n v="9"/>
    <s v="None"/>
    <s v="Desktop"/>
    <s v="Other"/>
    <d v="2024-02-16T00:00:00"/>
    <b v="0"/>
    <b v="0"/>
    <s v="Impulsive"/>
    <x v="1"/>
    <n v="14"/>
  </r>
  <r>
    <x v="820"/>
    <n v="36"/>
    <s v="Male"/>
    <x v="1"/>
    <x v="1"/>
    <x v="0"/>
    <x v="0"/>
    <s v="Don Carlos"/>
    <s v="Animal Feed"/>
    <x v="815"/>
    <n v="4"/>
    <x v="2"/>
    <n v="2"/>
    <n v="2"/>
    <n v="0"/>
    <s v="Low"/>
    <s v="Very Sensitive"/>
    <n v="1"/>
    <n v="1"/>
    <s v="Low"/>
    <s v="Smartphone"/>
    <s v="Credit Card"/>
    <d v="2024-06-20T00:00:00"/>
    <b v="0"/>
    <b v="0"/>
    <s v="Planned"/>
    <x v="2"/>
    <n v="14"/>
  </r>
  <r>
    <x v="821"/>
    <n v="25"/>
    <s v="Female"/>
    <x v="1"/>
    <x v="1"/>
    <x v="1"/>
    <x v="1"/>
    <s v="Seleuš"/>
    <s v="Books"/>
    <x v="816"/>
    <n v="12"/>
    <x v="2"/>
    <n v="1"/>
    <n v="4"/>
    <n v="2"/>
    <s v="Low"/>
    <s v="Somewhat Sensitive"/>
    <n v="0"/>
    <n v="8"/>
    <s v="Medium"/>
    <s v="Smartphone"/>
    <s v="Credit Card"/>
    <d v="2024-02-04T00:00:00"/>
    <b v="1"/>
    <b v="0"/>
    <s v="Planned"/>
    <x v="1"/>
    <n v="8"/>
  </r>
  <r>
    <x v="822"/>
    <n v="21"/>
    <s v="Female"/>
    <x v="1"/>
    <x v="3"/>
    <x v="1"/>
    <x v="0"/>
    <s v="Cervantes"/>
    <s v="Luxury Goods"/>
    <x v="817"/>
    <n v="12"/>
    <x v="0"/>
    <n v="1"/>
    <n v="4"/>
    <n v="2"/>
    <s v="Low"/>
    <s v="Very Sensitive"/>
    <n v="1"/>
    <n v="7"/>
    <s v="Medium"/>
    <s v="Desktop"/>
    <s v="Cash"/>
    <d v="2024-08-04T00:00:00"/>
    <b v="0"/>
    <b v="0"/>
    <s v="Impulsive"/>
    <x v="1"/>
    <n v="11"/>
  </r>
  <r>
    <x v="823"/>
    <n v="26"/>
    <s v="Male"/>
    <x v="1"/>
    <x v="1"/>
    <x v="2"/>
    <x v="1"/>
    <s v="Ebebiyin"/>
    <s v="Groceries"/>
    <x v="818"/>
    <n v="11"/>
    <x v="0"/>
    <n v="1"/>
    <n v="3"/>
    <n v="2"/>
    <s v="None"/>
    <s v="Somewhat Sensitive"/>
    <n v="0"/>
    <n v="8"/>
    <s v="None"/>
    <s v="Tablet"/>
    <s v="PayPal"/>
    <d v="2024-03-21T00:00:00"/>
    <b v="1"/>
    <b v="0"/>
    <s v="Planned"/>
    <x v="2"/>
    <n v="12"/>
  </r>
  <r>
    <x v="824"/>
    <n v="40"/>
    <s v="Male"/>
    <x v="1"/>
    <x v="3"/>
    <x v="0"/>
    <x v="1"/>
    <s v="Chuquitira"/>
    <s v="Home Appliances"/>
    <x v="819"/>
    <n v="12"/>
    <x v="2"/>
    <n v="4"/>
    <n v="1"/>
    <n v="0"/>
    <s v="None"/>
    <s v="Very Sensitive"/>
    <n v="0"/>
    <n v="6"/>
    <s v="None"/>
    <s v="Desktop"/>
    <s v="Debit Card"/>
    <d v="2024-06-13T00:00:00"/>
    <b v="0"/>
    <b v="0"/>
    <s v="Need-based"/>
    <x v="1"/>
    <n v="14"/>
  </r>
  <r>
    <x v="825"/>
    <n v="47"/>
    <s v="Female"/>
    <x v="1"/>
    <x v="3"/>
    <x v="1"/>
    <x v="0"/>
    <s v="Proletarsk"/>
    <s v="Animal Feed"/>
    <x v="820"/>
    <n v="11"/>
    <x v="2"/>
    <n v="5"/>
    <n v="1"/>
    <n v="2"/>
    <s v="Low"/>
    <s v="Somewhat Sensitive"/>
    <n v="0"/>
    <n v="8"/>
    <s v="None"/>
    <s v="Desktop"/>
    <s v="PayPal"/>
    <d v="2024-04-04T00:00:00"/>
    <b v="1"/>
    <b v="1"/>
    <s v="Need-based"/>
    <x v="2"/>
    <n v="3"/>
  </r>
  <r>
    <x v="826"/>
    <n v="27"/>
    <s v="Bigender"/>
    <x v="1"/>
    <x v="2"/>
    <x v="1"/>
    <x v="0"/>
    <s v="Naghalin"/>
    <s v="Food &amp; Beverages"/>
    <x v="821"/>
    <n v="6"/>
    <x v="0"/>
    <n v="3"/>
    <n v="2"/>
    <n v="2"/>
    <s v="None"/>
    <s v="Somewhat Sensitive"/>
    <n v="1"/>
    <n v="4"/>
    <s v="None"/>
    <s v="Desktop"/>
    <s v="PayPal"/>
    <d v="2024-05-02T00:00:00"/>
    <b v="1"/>
    <b v="0"/>
    <s v="Planned"/>
    <x v="1"/>
    <n v="8"/>
  </r>
  <r>
    <x v="827"/>
    <n v="29"/>
    <s v="Female"/>
    <x v="0"/>
    <x v="3"/>
    <x v="1"/>
    <x v="1"/>
    <s v="Honolulu"/>
    <s v="Jewelry &amp; Accessories"/>
    <x v="822"/>
    <n v="3"/>
    <x v="2"/>
    <n v="5"/>
    <n v="2"/>
    <n v="1"/>
    <s v="High"/>
    <s v="Very Sensitive"/>
    <n v="2"/>
    <n v="3"/>
    <s v="Low"/>
    <s v="Smartphone"/>
    <s v="PayPal"/>
    <d v="2024-02-14T00:00:00"/>
    <b v="0"/>
    <b v="1"/>
    <s v="Impulsive"/>
    <x v="0"/>
    <n v="5"/>
  </r>
  <r>
    <x v="828"/>
    <n v="21"/>
    <s v="Male"/>
    <x v="0"/>
    <x v="1"/>
    <x v="0"/>
    <x v="1"/>
    <s v="Dhalie"/>
    <s v="Books"/>
    <x v="823"/>
    <n v="11"/>
    <x v="2"/>
    <n v="4"/>
    <n v="1"/>
    <n v="1"/>
    <s v="None"/>
    <s v="Very Sensitive"/>
    <n v="0"/>
    <n v="9"/>
    <s v="Medium"/>
    <s v="Desktop"/>
    <s v="PayPal"/>
    <d v="2024-05-14T00:00:00"/>
    <b v="1"/>
    <b v="0"/>
    <s v="Wants-based"/>
    <x v="2"/>
    <n v="12"/>
  </r>
  <r>
    <x v="829"/>
    <n v="41"/>
    <s v="Genderfluid"/>
    <x v="1"/>
    <x v="1"/>
    <x v="0"/>
    <x v="1"/>
    <s v="Giesteira"/>
    <s v="Packages)"/>
    <x v="824"/>
    <n v="4"/>
    <x v="2"/>
    <n v="2"/>
    <n v="2"/>
    <n v="0"/>
    <s v="Low"/>
    <s v="Not Sensitive"/>
    <n v="1"/>
    <n v="7"/>
    <s v="None"/>
    <s v="Tablet"/>
    <s v="Debit Card"/>
    <d v="2024-02-06T00:00:00"/>
    <b v="1"/>
    <b v="1"/>
    <s v="Impulsive"/>
    <x v="2"/>
    <n v="4"/>
  </r>
  <r>
    <x v="830"/>
    <n v="43"/>
    <s v="Male"/>
    <x v="0"/>
    <x v="2"/>
    <x v="1"/>
    <x v="1"/>
    <s v="Khilok"/>
    <s v="Jewelry &amp; Accessories"/>
    <x v="825"/>
    <n v="7"/>
    <x v="1"/>
    <n v="2"/>
    <n v="4"/>
    <n v="1"/>
    <s v="High"/>
    <s v="Somewhat Sensitive"/>
    <n v="1"/>
    <n v="1"/>
    <s v="Low"/>
    <s v="Tablet"/>
    <s v="Debit Card"/>
    <d v="2024-11-12T00:00:00"/>
    <b v="0"/>
    <b v="1"/>
    <s v="Impulsive"/>
    <x v="0"/>
    <n v="1"/>
  </r>
  <r>
    <x v="831"/>
    <n v="33"/>
    <s v="Male"/>
    <x v="1"/>
    <x v="2"/>
    <x v="2"/>
    <x v="0"/>
    <s v="Cimara"/>
    <s v="Hotels"/>
    <x v="826"/>
    <n v="2"/>
    <x v="2"/>
    <n v="2"/>
    <n v="5"/>
    <n v="2"/>
    <s v="Low"/>
    <s v="Not Sensitive"/>
    <n v="2"/>
    <n v="7"/>
    <s v="Low"/>
    <s v="Tablet"/>
    <s v="Credit Card"/>
    <d v="2024-12-26T00:00:00"/>
    <b v="0"/>
    <b v="0"/>
    <s v="Impulsive"/>
    <x v="0"/>
    <n v="5"/>
  </r>
  <r>
    <x v="832"/>
    <n v="23"/>
    <s v="Female"/>
    <x v="0"/>
    <x v="1"/>
    <x v="2"/>
    <x v="0"/>
    <s v="Vereshchagino"/>
    <s v="Office Supplies"/>
    <x v="827"/>
    <n v="7"/>
    <x v="1"/>
    <n v="2"/>
    <n v="4"/>
    <n v="0"/>
    <s v="None"/>
    <s v="Somewhat Sensitive"/>
    <n v="2"/>
    <n v="8"/>
    <s v="Low"/>
    <s v="Smartphone"/>
    <s v="Cash"/>
    <d v="2024-10-01T00:00:00"/>
    <b v="1"/>
    <b v="0"/>
    <s v="Need-based"/>
    <x v="1"/>
    <n v="11"/>
  </r>
  <r>
    <x v="833"/>
    <n v="37"/>
    <s v="Female"/>
    <x v="0"/>
    <x v="3"/>
    <x v="0"/>
    <x v="1"/>
    <s v="Binagadi"/>
    <s v="Baby Products"/>
    <x v="828"/>
    <n v="8"/>
    <x v="1"/>
    <n v="3"/>
    <n v="3"/>
    <n v="2"/>
    <s v="Low"/>
    <s v="Not Sensitive"/>
    <n v="2"/>
    <n v="7"/>
    <s v="Medium"/>
    <s v="Tablet"/>
    <s v="Other"/>
    <d v="2024-03-03T00:00:00"/>
    <b v="1"/>
    <b v="0"/>
    <s v="Impulsive"/>
    <x v="0"/>
    <n v="9"/>
  </r>
  <r>
    <x v="834"/>
    <n v="34"/>
    <s v="Female"/>
    <x v="1"/>
    <x v="1"/>
    <x v="2"/>
    <x v="1"/>
    <s v="Tsuen Wan"/>
    <s v="Software &amp; Apps"/>
    <x v="829"/>
    <n v="2"/>
    <x v="1"/>
    <n v="2"/>
    <n v="5"/>
    <n v="0"/>
    <s v="Medium"/>
    <s v="Somewhat Sensitive"/>
    <n v="1"/>
    <n v="8"/>
    <s v="Medium"/>
    <s v="Tablet"/>
    <s v="Debit Card"/>
    <d v="2024-04-20T00:00:00"/>
    <b v="1"/>
    <b v="0"/>
    <s v="Planned"/>
    <x v="0"/>
    <n v="10"/>
  </r>
  <r>
    <x v="835"/>
    <n v="27"/>
    <s v="Male"/>
    <x v="1"/>
    <x v="3"/>
    <x v="2"/>
    <x v="0"/>
    <s v="Banjar Batanpoh"/>
    <s v="Hotels"/>
    <x v="830"/>
    <n v="3"/>
    <x v="0"/>
    <n v="5"/>
    <n v="5"/>
    <n v="2"/>
    <s v="Medium"/>
    <s v="Very Sensitive"/>
    <n v="1"/>
    <n v="9"/>
    <s v="Medium"/>
    <s v="Smartphone"/>
    <s v="Cash"/>
    <d v="2024-08-21T00:00:00"/>
    <b v="1"/>
    <b v="1"/>
    <s v="Planned"/>
    <x v="1"/>
    <n v="12"/>
  </r>
  <r>
    <x v="836"/>
    <n v="40"/>
    <s v="Male"/>
    <x v="0"/>
    <x v="2"/>
    <x v="2"/>
    <x v="1"/>
    <s v="Yenakiyeve"/>
    <s v="Sports &amp; Outdoors"/>
    <x v="831"/>
    <n v="10"/>
    <x v="2"/>
    <n v="4"/>
    <n v="2"/>
    <n v="1"/>
    <s v="Low"/>
    <s v="Not Sensitive"/>
    <n v="0"/>
    <n v="4"/>
    <s v="Medium"/>
    <s v="Desktop"/>
    <s v="Cash"/>
    <d v="2024-10-21T00:00:00"/>
    <b v="1"/>
    <b v="1"/>
    <s v="Need-based"/>
    <x v="0"/>
    <n v="1"/>
  </r>
  <r>
    <x v="837"/>
    <n v="40"/>
    <s v="Female"/>
    <x v="0"/>
    <x v="2"/>
    <x v="2"/>
    <x v="0"/>
    <s v="San Ramon"/>
    <s v="Sports &amp; Outdoors"/>
    <x v="832"/>
    <n v="4"/>
    <x v="0"/>
    <n v="5"/>
    <n v="3"/>
    <n v="1"/>
    <s v="None"/>
    <s v="Not Sensitive"/>
    <n v="0"/>
    <n v="9"/>
    <s v="Medium"/>
    <s v="Smartphone"/>
    <s v="PayPal"/>
    <d v="2024-04-11T00:00:00"/>
    <b v="0"/>
    <b v="1"/>
    <s v="Wants-based"/>
    <x v="0"/>
    <n v="2"/>
  </r>
  <r>
    <x v="838"/>
    <n v="43"/>
    <s v="Male"/>
    <x v="1"/>
    <x v="2"/>
    <x v="0"/>
    <x v="1"/>
    <s v="Sakété"/>
    <s v="Toys &amp; Games"/>
    <x v="833"/>
    <n v="10"/>
    <x v="2"/>
    <n v="4"/>
    <n v="4"/>
    <n v="0"/>
    <s v="Low"/>
    <s v="Somewhat Sensitive"/>
    <n v="1"/>
    <n v="2"/>
    <s v="None"/>
    <s v="Desktop"/>
    <s v="PayPal"/>
    <d v="2024-02-09T00:00:00"/>
    <b v="1"/>
    <b v="1"/>
    <s v="Planned"/>
    <x v="0"/>
    <n v="13"/>
  </r>
  <r>
    <x v="839"/>
    <n v="37"/>
    <s v="Non-binary"/>
    <x v="0"/>
    <x v="1"/>
    <x v="0"/>
    <x v="0"/>
    <s v="Pantenan"/>
    <s v="Food &amp; Beverages"/>
    <x v="834"/>
    <n v="8"/>
    <x v="1"/>
    <n v="3"/>
    <n v="2"/>
    <n v="1"/>
    <s v="Low"/>
    <s v="Somewhat Sensitive"/>
    <n v="1"/>
    <n v="8"/>
    <s v="High"/>
    <s v="Desktop"/>
    <s v="Cash"/>
    <d v="2024-05-25T00:00:00"/>
    <b v="0"/>
    <b v="0"/>
    <s v="Wants-based"/>
    <x v="1"/>
    <n v="2"/>
  </r>
  <r>
    <x v="840"/>
    <n v="49"/>
    <s v="Male"/>
    <x v="1"/>
    <x v="1"/>
    <x v="0"/>
    <x v="1"/>
    <s v="Antrukan"/>
    <s v="Office Supplies"/>
    <x v="478"/>
    <n v="10"/>
    <x v="0"/>
    <n v="4"/>
    <n v="5"/>
    <n v="1"/>
    <s v="None"/>
    <s v="Somewhat Sensitive"/>
    <n v="1"/>
    <n v="1"/>
    <s v="Medium"/>
    <s v="Tablet"/>
    <s v="PayPal"/>
    <d v="2024-04-16T00:00:00"/>
    <b v="0"/>
    <b v="0"/>
    <s v="Wants-based"/>
    <x v="2"/>
    <n v="9"/>
  </r>
  <r>
    <x v="841"/>
    <n v="27"/>
    <s v="Female"/>
    <x v="0"/>
    <x v="0"/>
    <x v="0"/>
    <x v="0"/>
    <s v="Dhahab"/>
    <s v="Toys &amp; Games"/>
    <x v="835"/>
    <n v="8"/>
    <x v="0"/>
    <n v="5"/>
    <n v="4"/>
    <n v="0"/>
    <s v="None"/>
    <s v="Somewhat Sensitive"/>
    <n v="0"/>
    <n v="1"/>
    <s v="None"/>
    <s v="Tablet"/>
    <s v="Debit Card"/>
    <d v="2024-02-17T00:00:00"/>
    <b v="1"/>
    <b v="1"/>
    <s v="Wants-based"/>
    <x v="2"/>
    <n v="13"/>
  </r>
  <r>
    <x v="842"/>
    <n v="19"/>
    <s v="Female"/>
    <x v="1"/>
    <x v="1"/>
    <x v="1"/>
    <x v="1"/>
    <s v="Vetluga"/>
    <s v="Jewelry &amp; Accessories"/>
    <x v="836"/>
    <n v="10"/>
    <x v="0"/>
    <n v="5"/>
    <n v="3"/>
    <n v="2"/>
    <s v="None"/>
    <s v="Not Sensitive"/>
    <n v="0"/>
    <n v="10"/>
    <s v="Low"/>
    <s v="Tablet"/>
    <s v="Other"/>
    <d v="2024-07-07T00:00:00"/>
    <b v="1"/>
    <b v="0"/>
    <s v="Impulsive"/>
    <x v="1"/>
    <n v="9"/>
  </r>
  <r>
    <x v="843"/>
    <n v="40"/>
    <s v="Female"/>
    <x v="1"/>
    <x v="0"/>
    <x v="2"/>
    <x v="0"/>
    <s v="Wolfsberg"/>
    <s v="Books"/>
    <x v="837"/>
    <n v="7"/>
    <x v="1"/>
    <n v="3"/>
    <n v="1"/>
    <n v="1"/>
    <s v="Medium"/>
    <s v="Somewhat Sensitive"/>
    <n v="0"/>
    <n v="6"/>
    <s v="High"/>
    <s v="Desktop"/>
    <s v="Other"/>
    <d v="2024-08-03T00:00:00"/>
    <b v="1"/>
    <b v="1"/>
    <s v="Need-based"/>
    <x v="1"/>
    <n v="13"/>
  </r>
  <r>
    <x v="844"/>
    <n v="27"/>
    <s v="Male"/>
    <x v="0"/>
    <x v="0"/>
    <x v="0"/>
    <x v="1"/>
    <s v="San Bautista"/>
    <s v="Animal Feed"/>
    <x v="838"/>
    <n v="6"/>
    <x v="1"/>
    <n v="3"/>
    <n v="1"/>
    <n v="2"/>
    <s v="Low"/>
    <s v="Not Sensitive"/>
    <n v="0"/>
    <n v="7"/>
    <s v="Medium"/>
    <s v="Tablet"/>
    <s v="Debit Card"/>
    <d v="2024-03-09T00:00:00"/>
    <b v="1"/>
    <b v="1"/>
    <s v="Impulsive"/>
    <x v="1"/>
    <n v="3"/>
  </r>
  <r>
    <x v="845"/>
    <n v="29"/>
    <s v="Female"/>
    <x v="0"/>
    <x v="0"/>
    <x v="2"/>
    <x v="1"/>
    <s v="Reuleuet"/>
    <s v="Electronics"/>
    <x v="839"/>
    <n v="9"/>
    <x v="1"/>
    <n v="5"/>
    <n v="4"/>
    <n v="0"/>
    <s v="None"/>
    <s v="Not Sensitive"/>
    <n v="2"/>
    <n v="6"/>
    <s v="None"/>
    <s v="Tablet"/>
    <s v="Other"/>
    <d v="2024-07-28T00:00:00"/>
    <b v="0"/>
    <b v="1"/>
    <s v="Impulsive"/>
    <x v="1"/>
    <n v="2"/>
  </r>
  <r>
    <x v="846"/>
    <n v="45"/>
    <s v="Polygender"/>
    <x v="1"/>
    <x v="1"/>
    <x v="0"/>
    <x v="1"/>
    <s v="Lonpao Dajah"/>
    <s v="Health Supplements"/>
    <x v="840"/>
    <n v="8"/>
    <x v="0"/>
    <n v="1"/>
    <n v="4"/>
    <n v="1"/>
    <s v="High"/>
    <s v="Not Sensitive"/>
    <n v="0"/>
    <n v="3"/>
    <s v="Medium"/>
    <s v="Smartphone"/>
    <s v="Other"/>
    <d v="2024-02-29T00:00:00"/>
    <b v="1"/>
    <b v="1"/>
    <s v="Planned"/>
    <x v="2"/>
    <n v="14"/>
  </r>
  <r>
    <x v="847"/>
    <n v="24"/>
    <s v="Female"/>
    <x v="1"/>
    <x v="1"/>
    <x v="1"/>
    <x v="0"/>
    <s v="Nanqiao"/>
    <s v="Books"/>
    <x v="841"/>
    <n v="11"/>
    <x v="1"/>
    <n v="4"/>
    <n v="1"/>
    <n v="2"/>
    <s v="None"/>
    <s v="Very Sensitive"/>
    <n v="2"/>
    <n v="1"/>
    <s v="Medium"/>
    <s v="Smartphone"/>
    <s v="Cash"/>
    <d v="2024-07-03T00:00:00"/>
    <b v="1"/>
    <b v="0"/>
    <s v="Wants-based"/>
    <x v="2"/>
    <n v="13"/>
  </r>
  <r>
    <x v="848"/>
    <n v="45"/>
    <s v="Female"/>
    <x v="0"/>
    <x v="0"/>
    <x v="2"/>
    <x v="0"/>
    <s v="San Carlos"/>
    <s v="Health Care"/>
    <x v="842"/>
    <n v="5"/>
    <x v="2"/>
    <n v="2"/>
    <n v="1"/>
    <n v="0"/>
    <s v="High"/>
    <s v="Very Sensitive"/>
    <n v="0"/>
    <n v="4"/>
    <s v="High"/>
    <s v="Tablet"/>
    <s v="Debit Card"/>
    <d v="2024-03-02T00:00:00"/>
    <b v="1"/>
    <b v="0"/>
    <s v="Need-based"/>
    <x v="0"/>
    <n v="2"/>
  </r>
  <r>
    <x v="849"/>
    <n v="39"/>
    <s v="Female"/>
    <x v="0"/>
    <x v="3"/>
    <x v="1"/>
    <x v="0"/>
    <s v="Ishikawa"/>
    <s v="Groceries"/>
    <x v="843"/>
    <n v="8"/>
    <x v="2"/>
    <n v="3"/>
    <n v="3"/>
    <n v="1"/>
    <s v="None"/>
    <s v="Very Sensitive"/>
    <n v="2"/>
    <n v="4"/>
    <s v="Low"/>
    <s v="Tablet"/>
    <s v="Cash"/>
    <d v="2024-07-27T00:00:00"/>
    <b v="0"/>
    <b v="0"/>
    <s v="Planned"/>
    <x v="2"/>
    <n v="14"/>
  </r>
  <r>
    <x v="850"/>
    <n v="40"/>
    <s v="Male"/>
    <x v="1"/>
    <x v="2"/>
    <x v="1"/>
    <x v="1"/>
    <s v="Oguma"/>
    <s v="Furniture"/>
    <x v="844"/>
    <n v="9"/>
    <x v="0"/>
    <n v="2"/>
    <n v="4"/>
    <n v="1"/>
    <s v="Medium"/>
    <s v="Very Sensitive"/>
    <n v="1"/>
    <n v="7"/>
    <s v="Medium"/>
    <s v="Tablet"/>
    <s v="PayPal"/>
    <d v="2024-05-26T00:00:00"/>
    <b v="1"/>
    <b v="1"/>
    <s v="Need-based"/>
    <x v="1"/>
    <n v="6"/>
  </r>
  <r>
    <x v="851"/>
    <n v="21"/>
    <s v="Female"/>
    <x v="1"/>
    <x v="1"/>
    <x v="2"/>
    <x v="0"/>
    <s v="Těšany"/>
    <s v="Mobile Accessories"/>
    <x v="845"/>
    <n v="7"/>
    <x v="2"/>
    <n v="2"/>
    <n v="3"/>
    <n v="2"/>
    <s v="None"/>
    <s v="Very Sensitive"/>
    <n v="2"/>
    <n v="5"/>
    <s v="High"/>
    <s v="Desktop"/>
    <s v="PayPal"/>
    <d v="2024-03-04T00:00:00"/>
    <b v="1"/>
    <b v="1"/>
    <s v="Need-based"/>
    <x v="0"/>
    <n v="12"/>
  </r>
  <r>
    <x v="852"/>
    <n v="42"/>
    <s v="Female"/>
    <x v="0"/>
    <x v="0"/>
    <x v="2"/>
    <x v="1"/>
    <s v="Aksha"/>
    <s v="Gardening &amp; Outdoors"/>
    <x v="846"/>
    <n v="4"/>
    <x v="2"/>
    <n v="1"/>
    <n v="1"/>
    <n v="2"/>
    <s v="None"/>
    <s v="Somewhat Sensitive"/>
    <n v="1"/>
    <n v="9"/>
    <s v="None"/>
    <s v="Desktop"/>
    <s v="Cash"/>
    <d v="2024-12-13T00:00:00"/>
    <b v="0"/>
    <b v="1"/>
    <s v="Wants-based"/>
    <x v="1"/>
    <n v="4"/>
  </r>
  <r>
    <x v="853"/>
    <n v="44"/>
    <s v="Female"/>
    <x v="0"/>
    <x v="3"/>
    <x v="0"/>
    <x v="1"/>
    <s v="Lahan Sai"/>
    <s v="Furniture"/>
    <x v="847"/>
    <n v="12"/>
    <x v="1"/>
    <n v="5"/>
    <n v="1"/>
    <n v="1"/>
    <s v="None"/>
    <s v="Somewhat Sensitive"/>
    <n v="0"/>
    <n v="8"/>
    <s v="None"/>
    <s v="Smartphone"/>
    <s v="Other"/>
    <d v="2024-02-24T00:00:00"/>
    <b v="0"/>
    <b v="0"/>
    <s v="Planned"/>
    <x v="2"/>
    <n v="1"/>
  </r>
  <r>
    <x v="854"/>
    <n v="46"/>
    <s v="Female"/>
    <x v="0"/>
    <x v="0"/>
    <x v="2"/>
    <x v="1"/>
    <s v="Estância"/>
    <s v="Hotels"/>
    <x v="848"/>
    <n v="3"/>
    <x v="1"/>
    <n v="5"/>
    <n v="1"/>
    <n v="2"/>
    <s v="None"/>
    <s v="Somewhat Sensitive"/>
    <n v="1"/>
    <n v="1"/>
    <s v="None"/>
    <s v="Desktop"/>
    <s v="PayPal"/>
    <d v="2024-03-12T00:00:00"/>
    <b v="1"/>
    <b v="0"/>
    <s v="Wants-based"/>
    <x v="0"/>
    <n v="4"/>
  </r>
  <r>
    <x v="855"/>
    <n v="29"/>
    <s v="Male"/>
    <x v="1"/>
    <x v="3"/>
    <x v="2"/>
    <x v="1"/>
    <s v="Las Lomas"/>
    <s v="Animal Feed"/>
    <x v="849"/>
    <n v="5"/>
    <x v="1"/>
    <n v="1"/>
    <n v="3"/>
    <n v="2"/>
    <s v="High"/>
    <s v="Very Sensitive"/>
    <n v="1"/>
    <n v="2"/>
    <s v="Low"/>
    <s v="Tablet"/>
    <s v="Credit Card"/>
    <d v="2024-08-21T00:00:00"/>
    <b v="0"/>
    <b v="0"/>
    <s v="Planned"/>
    <x v="1"/>
    <n v="4"/>
  </r>
  <r>
    <x v="856"/>
    <n v="19"/>
    <s v="Female"/>
    <x v="0"/>
    <x v="0"/>
    <x v="1"/>
    <x v="1"/>
    <s v="Xiamayu"/>
    <s v="Baby Products"/>
    <x v="850"/>
    <n v="8"/>
    <x v="0"/>
    <n v="4"/>
    <n v="2"/>
    <n v="0"/>
    <s v="None"/>
    <s v="Not Sensitive"/>
    <n v="0"/>
    <n v="6"/>
    <s v="High"/>
    <s v="Tablet"/>
    <s v="Other"/>
    <d v="2024-05-23T00:00:00"/>
    <b v="1"/>
    <b v="1"/>
    <s v="Need-based"/>
    <x v="0"/>
    <n v="5"/>
  </r>
  <r>
    <x v="857"/>
    <n v="21"/>
    <s v="Male"/>
    <x v="1"/>
    <x v="2"/>
    <x v="2"/>
    <x v="1"/>
    <s v="Iñapari"/>
    <s v="Sports &amp; Outdoors"/>
    <x v="851"/>
    <n v="9"/>
    <x v="2"/>
    <n v="5"/>
    <n v="5"/>
    <n v="0"/>
    <s v="Medium"/>
    <s v="Not Sensitive"/>
    <n v="1"/>
    <n v="5"/>
    <s v="Low"/>
    <s v="Desktop"/>
    <s v="Debit Card"/>
    <d v="2024-05-26T00:00:00"/>
    <b v="1"/>
    <b v="0"/>
    <s v="Need-based"/>
    <x v="1"/>
    <n v="9"/>
  </r>
  <r>
    <x v="858"/>
    <n v="38"/>
    <s v="Female"/>
    <x v="1"/>
    <x v="1"/>
    <x v="1"/>
    <x v="1"/>
    <s v="Orsay"/>
    <s v="Gardening &amp; Outdoors"/>
    <x v="852"/>
    <n v="10"/>
    <x v="2"/>
    <n v="4"/>
    <n v="3"/>
    <n v="2"/>
    <s v="Low"/>
    <s v="Somewhat Sensitive"/>
    <n v="0"/>
    <n v="4"/>
    <s v="High"/>
    <s v="Desktop"/>
    <s v="Other"/>
    <d v="2024-03-20T00:00:00"/>
    <b v="0"/>
    <b v="0"/>
    <s v="Impulsive"/>
    <x v="1"/>
    <n v="7"/>
  </r>
  <r>
    <x v="859"/>
    <n v="41"/>
    <s v="Bigender"/>
    <x v="0"/>
    <x v="3"/>
    <x v="2"/>
    <x v="0"/>
    <s v="Zhongying"/>
    <s v="Gardening &amp; Outdoors"/>
    <x v="853"/>
    <n v="4"/>
    <x v="1"/>
    <n v="1"/>
    <n v="2"/>
    <n v="0"/>
    <s v="None"/>
    <s v="Somewhat Sensitive"/>
    <n v="0"/>
    <n v="4"/>
    <s v="Low"/>
    <s v="Smartphone"/>
    <s v="PayPal"/>
    <d v="2024-10-03T00:00:00"/>
    <b v="1"/>
    <b v="1"/>
    <s v="Impulsive"/>
    <x v="0"/>
    <n v="14"/>
  </r>
  <r>
    <x v="860"/>
    <n v="49"/>
    <s v="Female"/>
    <x v="1"/>
    <x v="3"/>
    <x v="2"/>
    <x v="1"/>
    <s v="Bayḩān"/>
    <s v="Office Supplies"/>
    <x v="854"/>
    <n v="8"/>
    <x v="2"/>
    <n v="5"/>
    <n v="1"/>
    <n v="2"/>
    <s v="High"/>
    <s v="Somewhat Sensitive"/>
    <n v="1"/>
    <n v="7"/>
    <s v="Low"/>
    <s v="Smartphone"/>
    <s v="PayPal"/>
    <d v="2024-08-23T00:00:00"/>
    <b v="0"/>
    <b v="1"/>
    <s v="Wants-based"/>
    <x v="0"/>
    <n v="8"/>
  </r>
  <r>
    <x v="861"/>
    <n v="32"/>
    <s v="Genderfluid"/>
    <x v="0"/>
    <x v="1"/>
    <x v="1"/>
    <x v="0"/>
    <s v="Beizhakou"/>
    <s v="Packages)"/>
    <x v="855"/>
    <n v="3"/>
    <x v="1"/>
    <n v="2"/>
    <n v="1"/>
    <n v="2"/>
    <s v="Low"/>
    <s v="Not Sensitive"/>
    <n v="2"/>
    <n v="8"/>
    <s v="None"/>
    <s v="Tablet"/>
    <s v="Credit Card"/>
    <d v="2024-09-17T00:00:00"/>
    <b v="1"/>
    <b v="0"/>
    <s v="Impulsive"/>
    <x v="2"/>
    <n v="5"/>
  </r>
  <r>
    <x v="862"/>
    <n v="24"/>
    <s v="Male"/>
    <x v="1"/>
    <x v="0"/>
    <x v="1"/>
    <x v="1"/>
    <s v="Kyŏngsŏng"/>
    <s v="Books"/>
    <x v="856"/>
    <n v="11"/>
    <x v="1"/>
    <n v="4"/>
    <n v="2"/>
    <n v="2"/>
    <s v="Low"/>
    <s v="Not Sensitive"/>
    <n v="2"/>
    <n v="9"/>
    <s v="Medium"/>
    <s v="Desktop"/>
    <s v="Other"/>
    <d v="2024-10-17T00:00:00"/>
    <b v="0"/>
    <b v="1"/>
    <s v="Impulsive"/>
    <x v="1"/>
    <n v="1"/>
  </r>
  <r>
    <x v="863"/>
    <n v="27"/>
    <s v="Male"/>
    <x v="1"/>
    <x v="3"/>
    <x v="2"/>
    <x v="0"/>
    <s v="Turinsk"/>
    <s v="Office Supplies"/>
    <x v="857"/>
    <n v="7"/>
    <x v="0"/>
    <n v="1"/>
    <n v="1"/>
    <n v="2"/>
    <s v="High"/>
    <s v="Somewhat Sensitive"/>
    <n v="1"/>
    <n v="10"/>
    <s v="High"/>
    <s v="Smartphone"/>
    <s v="Credit Card"/>
    <d v="2024-08-08T00:00:00"/>
    <b v="1"/>
    <b v="1"/>
    <s v="Planned"/>
    <x v="2"/>
    <n v="6"/>
  </r>
  <r>
    <x v="864"/>
    <n v="44"/>
    <s v="Female"/>
    <x v="0"/>
    <x v="0"/>
    <x v="2"/>
    <x v="1"/>
    <s v="As Sawdā"/>
    <s v="Office Supplies"/>
    <x v="858"/>
    <n v="11"/>
    <x v="1"/>
    <n v="3"/>
    <n v="1"/>
    <n v="0"/>
    <s v="Low"/>
    <s v="Not Sensitive"/>
    <n v="2"/>
    <n v="4"/>
    <s v="High"/>
    <s v="Smartphone"/>
    <s v="Credit Card"/>
    <d v="2024-12-12T00:00:00"/>
    <b v="1"/>
    <b v="1"/>
    <s v="Impulsive"/>
    <x v="1"/>
    <n v="8"/>
  </r>
  <r>
    <x v="865"/>
    <n v="28"/>
    <s v="Female"/>
    <x v="1"/>
    <x v="0"/>
    <x v="0"/>
    <x v="1"/>
    <s v="Legaspi"/>
    <s v="Baby Products"/>
    <x v="859"/>
    <n v="7"/>
    <x v="1"/>
    <n v="4"/>
    <n v="5"/>
    <n v="2"/>
    <s v="Medium"/>
    <s v="Somewhat Sensitive"/>
    <n v="1"/>
    <n v="5"/>
    <s v="High"/>
    <s v="Smartphone"/>
    <s v="Cash"/>
    <d v="2024-06-12T00:00:00"/>
    <b v="0"/>
    <b v="1"/>
    <s v="Planned"/>
    <x v="0"/>
    <n v="13"/>
  </r>
  <r>
    <x v="866"/>
    <n v="23"/>
    <s v="Male"/>
    <x v="0"/>
    <x v="0"/>
    <x v="1"/>
    <x v="0"/>
    <s v="Shimorskoye"/>
    <s v="Packages)"/>
    <x v="860"/>
    <n v="5"/>
    <x v="1"/>
    <n v="4"/>
    <n v="3"/>
    <n v="1"/>
    <s v="Low"/>
    <s v="Somewhat Sensitive"/>
    <n v="1"/>
    <n v="1"/>
    <s v="Low"/>
    <s v="Tablet"/>
    <s v="PayPal"/>
    <d v="2024-03-28T00:00:00"/>
    <b v="0"/>
    <b v="0"/>
    <s v="Planned"/>
    <x v="2"/>
    <n v="5"/>
  </r>
  <r>
    <x v="867"/>
    <n v="42"/>
    <s v="Female"/>
    <x v="1"/>
    <x v="3"/>
    <x v="1"/>
    <x v="1"/>
    <s v="Kościelec"/>
    <s v="Electronics"/>
    <x v="861"/>
    <n v="7"/>
    <x v="0"/>
    <n v="3"/>
    <n v="4"/>
    <n v="1"/>
    <s v="None"/>
    <s v="Not Sensitive"/>
    <n v="2"/>
    <n v="3"/>
    <s v="None"/>
    <s v="Desktop"/>
    <s v="PayPal"/>
    <d v="2024-12-27T00:00:00"/>
    <b v="1"/>
    <b v="1"/>
    <s v="Impulsive"/>
    <x v="2"/>
    <n v="1"/>
  </r>
  <r>
    <x v="868"/>
    <n v="20"/>
    <s v="Male"/>
    <x v="0"/>
    <x v="2"/>
    <x v="2"/>
    <x v="1"/>
    <s v="Yongfu"/>
    <s v="Office Supplies"/>
    <x v="862"/>
    <n v="2"/>
    <x v="1"/>
    <n v="3"/>
    <n v="4"/>
    <n v="1"/>
    <s v="None"/>
    <s v="Not Sensitive"/>
    <n v="2"/>
    <n v="2"/>
    <s v="None"/>
    <s v="Tablet"/>
    <s v="Cash"/>
    <d v="2024-02-24T00:00:00"/>
    <b v="1"/>
    <b v="1"/>
    <s v="Impulsive"/>
    <x v="2"/>
    <n v="11"/>
  </r>
  <r>
    <x v="869"/>
    <n v="49"/>
    <s v="Male"/>
    <x v="1"/>
    <x v="3"/>
    <x v="2"/>
    <x v="0"/>
    <s v="Vinkkilä"/>
    <s v="Travel &amp; Leisure (Flights"/>
    <x v="863"/>
    <n v="5"/>
    <x v="1"/>
    <n v="1"/>
    <n v="4"/>
    <n v="0"/>
    <s v="Medium"/>
    <s v="Very Sensitive"/>
    <n v="2"/>
    <n v="9"/>
    <s v="None"/>
    <s v="Desktop"/>
    <s v="Other"/>
    <d v="2024-06-15T00:00:00"/>
    <b v="1"/>
    <b v="1"/>
    <s v="Wants-based"/>
    <x v="1"/>
    <n v="7"/>
  </r>
  <r>
    <x v="870"/>
    <n v="19"/>
    <s v="Male"/>
    <x v="1"/>
    <x v="3"/>
    <x v="1"/>
    <x v="1"/>
    <s v="Revolucion Verde"/>
    <s v="Toys &amp; Games"/>
    <x v="864"/>
    <n v="12"/>
    <x v="2"/>
    <n v="2"/>
    <n v="1"/>
    <n v="0"/>
    <s v="None"/>
    <s v="Very Sensitive"/>
    <n v="1"/>
    <n v="10"/>
    <s v="Medium"/>
    <s v="Desktop"/>
    <s v="Other"/>
    <d v="2024-08-14T00:00:00"/>
    <b v="1"/>
    <b v="1"/>
    <s v="Wants-based"/>
    <x v="1"/>
    <n v="7"/>
  </r>
  <r>
    <x v="871"/>
    <n v="38"/>
    <s v="Female"/>
    <x v="0"/>
    <x v="1"/>
    <x v="1"/>
    <x v="1"/>
    <s v="Newton"/>
    <s v="Travel &amp; Leisure (Flights"/>
    <x v="865"/>
    <n v="10"/>
    <x v="0"/>
    <n v="1"/>
    <n v="4"/>
    <n v="2"/>
    <s v="None"/>
    <s v="Somewhat Sensitive"/>
    <n v="2"/>
    <n v="9"/>
    <s v="Low"/>
    <s v="Tablet"/>
    <s v="Other"/>
    <d v="2024-05-15T00:00:00"/>
    <b v="1"/>
    <b v="1"/>
    <s v="Impulsive"/>
    <x v="1"/>
    <n v="8"/>
  </r>
  <r>
    <x v="872"/>
    <n v="43"/>
    <s v="Male"/>
    <x v="1"/>
    <x v="0"/>
    <x v="1"/>
    <x v="0"/>
    <s v="Nantang"/>
    <s v="Travel &amp; Leisure (Flights"/>
    <x v="866"/>
    <n v="5"/>
    <x v="2"/>
    <n v="2"/>
    <n v="3"/>
    <n v="1"/>
    <s v="None"/>
    <s v="Not Sensitive"/>
    <n v="1"/>
    <n v="6"/>
    <s v="High"/>
    <s v="Tablet"/>
    <s v="Other"/>
    <d v="2024-06-01T00:00:00"/>
    <b v="0"/>
    <b v="1"/>
    <s v="Wants-based"/>
    <x v="0"/>
    <n v="11"/>
  </r>
  <r>
    <x v="873"/>
    <n v="38"/>
    <s v="Male"/>
    <x v="0"/>
    <x v="3"/>
    <x v="0"/>
    <x v="1"/>
    <s v="Perugia"/>
    <s v="Arts &amp; Crafts"/>
    <x v="867"/>
    <n v="12"/>
    <x v="2"/>
    <n v="4"/>
    <n v="4"/>
    <n v="2"/>
    <s v="Medium"/>
    <s v="Somewhat Sensitive"/>
    <n v="0"/>
    <n v="6"/>
    <s v="None"/>
    <s v="Tablet"/>
    <s v="Other"/>
    <d v="2024-08-25T00:00:00"/>
    <b v="0"/>
    <b v="0"/>
    <s v="Wants-based"/>
    <x v="1"/>
    <n v="3"/>
  </r>
  <r>
    <x v="874"/>
    <n v="21"/>
    <s v="Male"/>
    <x v="0"/>
    <x v="2"/>
    <x v="0"/>
    <x v="1"/>
    <s v="Tancheng"/>
    <s v="Software &amp; Apps"/>
    <x v="868"/>
    <n v="10"/>
    <x v="1"/>
    <n v="3"/>
    <n v="4"/>
    <n v="2"/>
    <s v="Low"/>
    <s v="Somewhat Sensitive"/>
    <n v="0"/>
    <n v="9"/>
    <s v="Low"/>
    <s v="Tablet"/>
    <s v="Cash"/>
    <d v="2024-03-01T00:00:00"/>
    <b v="1"/>
    <b v="0"/>
    <s v="Need-based"/>
    <x v="2"/>
    <n v="9"/>
  </r>
  <r>
    <x v="875"/>
    <n v="27"/>
    <s v="Male"/>
    <x v="0"/>
    <x v="2"/>
    <x v="2"/>
    <x v="0"/>
    <s v="Leon Postigo"/>
    <s v="Jewelry &amp; Accessories"/>
    <x v="869"/>
    <n v="3"/>
    <x v="1"/>
    <n v="5"/>
    <n v="2"/>
    <n v="2"/>
    <s v="None"/>
    <s v="Not Sensitive"/>
    <n v="0"/>
    <n v="10"/>
    <s v="None"/>
    <s v="Tablet"/>
    <s v="Debit Card"/>
    <d v="2024-06-30T00:00:00"/>
    <b v="1"/>
    <b v="1"/>
    <s v="Wants-based"/>
    <x v="1"/>
    <n v="2"/>
  </r>
  <r>
    <x v="876"/>
    <n v="35"/>
    <s v="Male"/>
    <x v="0"/>
    <x v="0"/>
    <x v="2"/>
    <x v="1"/>
    <s v="Bollène"/>
    <s v="Sports &amp; Outdoors"/>
    <x v="870"/>
    <n v="8"/>
    <x v="1"/>
    <n v="3"/>
    <n v="2"/>
    <n v="1"/>
    <s v="High"/>
    <s v="Very Sensitive"/>
    <n v="2"/>
    <n v="3"/>
    <s v="None"/>
    <s v="Tablet"/>
    <s v="Debit Card"/>
    <d v="2024-01-02T00:00:00"/>
    <b v="0"/>
    <b v="0"/>
    <s v="Need-based"/>
    <x v="1"/>
    <n v="7"/>
  </r>
  <r>
    <x v="877"/>
    <n v="30"/>
    <s v="Male"/>
    <x v="0"/>
    <x v="0"/>
    <x v="0"/>
    <x v="0"/>
    <s v="Baihe"/>
    <s v="Luxury Goods"/>
    <x v="871"/>
    <n v="4"/>
    <x v="2"/>
    <n v="2"/>
    <n v="5"/>
    <n v="0"/>
    <s v="High"/>
    <s v="Very Sensitive"/>
    <n v="1"/>
    <n v="2"/>
    <s v="Low"/>
    <s v="Desktop"/>
    <s v="PayPal"/>
    <d v="2024-12-28T00:00:00"/>
    <b v="0"/>
    <b v="0"/>
    <s v="Need-based"/>
    <x v="0"/>
    <n v="14"/>
  </r>
  <r>
    <x v="878"/>
    <n v="31"/>
    <s v="Male"/>
    <x v="1"/>
    <x v="2"/>
    <x v="2"/>
    <x v="0"/>
    <s v="Puqi"/>
    <s v="Baby Products"/>
    <x v="872"/>
    <n v="10"/>
    <x v="0"/>
    <n v="3"/>
    <n v="1"/>
    <n v="2"/>
    <s v="Medium"/>
    <s v="Somewhat Sensitive"/>
    <n v="2"/>
    <n v="2"/>
    <s v="Low"/>
    <s v="Tablet"/>
    <s v="Cash"/>
    <d v="2024-09-02T00:00:00"/>
    <b v="1"/>
    <b v="0"/>
    <s v="Wants-based"/>
    <x v="2"/>
    <n v="3"/>
  </r>
  <r>
    <x v="879"/>
    <n v="50"/>
    <s v="Bigender"/>
    <x v="1"/>
    <x v="3"/>
    <x v="1"/>
    <x v="1"/>
    <s v="Pedraza"/>
    <s v="Health Care"/>
    <x v="873"/>
    <n v="4"/>
    <x v="1"/>
    <n v="2"/>
    <n v="3"/>
    <n v="0"/>
    <s v="Medium"/>
    <s v="Not Sensitive"/>
    <n v="1"/>
    <n v="9"/>
    <s v="None"/>
    <s v="Desktop"/>
    <s v="Debit Card"/>
    <d v="2024-09-21T00:00:00"/>
    <b v="1"/>
    <b v="0"/>
    <s v="Need-based"/>
    <x v="0"/>
    <n v="5"/>
  </r>
  <r>
    <x v="880"/>
    <n v="34"/>
    <s v="Female"/>
    <x v="1"/>
    <x v="2"/>
    <x v="1"/>
    <x v="1"/>
    <s v="Hoolt"/>
    <s v="Gardening &amp; Outdoors"/>
    <x v="874"/>
    <n v="7"/>
    <x v="0"/>
    <n v="3"/>
    <n v="5"/>
    <n v="1"/>
    <s v="High"/>
    <s v="Not Sensitive"/>
    <n v="0"/>
    <n v="1"/>
    <s v="Low"/>
    <s v="Tablet"/>
    <s v="Debit Card"/>
    <d v="2024-03-27T00:00:00"/>
    <b v="0"/>
    <b v="0"/>
    <s v="Need-based"/>
    <x v="0"/>
    <n v="10"/>
  </r>
  <r>
    <x v="881"/>
    <n v="24"/>
    <s v="Female"/>
    <x v="1"/>
    <x v="0"/>
    <x v="1"/>
    <x v="1"/>
    <s v="Pasinan Barat"/>
    <s v="Home Appliances"/>
    <x v="875"/>
    <n v="8"/>
    <x v="0"/>
    <n v="2"/>
    <n v="4"/>
    <n v="0"/>
    <s v="Medium"/>
    <s v="Not Sensitive"/>
    <n v="2"/>
    <n v="3"/>
    <s v="High"/>
    <s v="Smartphone"/>
    <s v="Other"/>
    <d v="2024-11-11T00:00:00"/>
    <b v="1"/>
    <b v="1"/>
    <s v="Impulsive"/>
    <x v="1"/>
    <n v="9"/>
  </r>
  <r>
    <x v="882"/>
    <n v="32"/>
    <s v="Female"/>
    <x v="0"/>
    <x v="1"/>
    <x v="2"/>
    <x v="1"/>
    <s v="Saltpond"/>
    <s v="Gardening &amp; Outdoors"/>
    <x v="876"/>
    <n v="4"/>
    <x v="0"/>
    <n v="1"/>
    <n v="2"/>
    <n v="1"/>
    <s v="Low"/>
    <s v="Not Sensitive"/>
    <n v="0"/>
    <n v="7"/>
    <s v="None"/>
    <s v="Tablet"/>
    <s v="PayPal"/>
    <d v="2024-09-16T00:00:00"/>
    <b v="1"/>
    <b v="1"/>
    <s v="Wants-based"/>
    <x v="1"/>
    <n v="10"/>
  </r>
  <r>
    <x v="883"/>
    <n v="21"/>
    <s v="Female"/>
    <x v="1"/>
    <x v="2"/>
    <x v="0"/>
    <x v="0"/>
    <s v="Rende"/>
    <s v="Electronics"/>
    <x v="877"/>
    <n v="4"/>
    <x v="1"/>
    <n v="3"/>
    <n v="1"/>
    <n v="2"/>
    <s v="None"/>
    <s v="Not Sensitive"/>
    <n v="1"/>
    <n v="3"/>
    <s v="Low"/>
    <s v="Desktop"/>
    <s v="Debit Card"/>
    <d v="2024-05-27T00:00:00"/>
    <b v="0"/>
    <b v="1"/>
    <s v="Need-based"/>
    <x v="2"/>
    <n v="3"/>
  </r>
  <r>
    <x v="884"/>
    <n v="41"/>
    <s v="Male"/>
    <x v="0"/>
    <x v="1"/>
    <x v="2"/>
    <x v="1"/>
    <s v="Zarasai"/>
    <s v="Mobile Accessories"/>
    <x v="878"/>
    <n v="9"/>
    <x v="2"/>
    <n v="3"/>
    <n v="1"/>
    <n v="2"/>
    <s v="Medium"/>
    <s v="Very Sensitive"/>
    <n v="2"/>
    <n v="9"/>
    <s v="None"/>
    <s v="Desktop"/>
    <s v="PayPal"/>
    <d v="2024-05-02T00:00:00"/>
    <b v="0"/>
    <b v="0"/>
    <s v="Wants-based"/>
    <x v="0"/>
    <n v="13"/>
  </r>
  <r>
    <x v="885"/>
    <n v="40"/>
    <s v="Female"/>
    <x v="1"/>
    <x v="0"/>
    <x v="1"/>
    <x v="0"/>
    <s v="Nanchangshan"/>
    <s v="Electronics"/>
    <x v="879"/>
    <n v="4"/>
    <x v="2"/>
    <n v="5"/>
    <n v="5"/>
    <n v="2"/>
    <s v="Medium"/>
    <s v="Very Sensitive"/>
    <n v="2"/>
    <n v="10"/>
    <s v="Low"/>
    <s v="Tablet"/>
    <s v="PayPal"/>
    <d v="2024-09-13T00:00:00"/>
    <b v="1"/>
    <b v="1"/>
    <s v="Need-based"/>
    <x v="1"/>
    <n v="13"/>
  </r>
  <r>
    <x v="886"/>
    <n v="48"/>
    <s v="Male"/>
    <x v="0"/>
    <x v="1"/>
    <x v="2"/>
    <x v="1"/>
    <s v="Pegões"/>
    <s v="Groceries"/>
    <x v="880"/>
    <n v="12"/>
    <x v="2"/>
    <n v="3"/>
    <n v="3"/>
    <n v="0"/>
    <s v="Medium"/>
    <s v="Very Sensitive"/>
    <n v="1"/>
    <n v="8"/>
    <s v="Low"/>
    <s v="Smartphone"/>
    <s v="Debit Card"/>
    <d v="2024-05-30T00:00:00"/>
    <b v="1"/>
    <b v="0"/>
    <s v="Wants-based"/>
    <x v="0"/>
    <n v="9"/>
  </r>
  <r>
    <x v="887"/>
    <n v="25"/>
    <s v="Female"/>
    <x v="0"/>
    <x v="2"/>
    <x v="0"/>
    <x v="0"/>
    <s v="Espírito Santo do Pinhal"/>
    <s v="Animal Feed"/>
    <x v="881"/>
    <n v="4"/>
    <x v="1"/>
    <n v="3"/>
    <n v="4"/>
    <n v="0"/>
    <s v="High"/>
    <s v="Somewhat Sensitive"/>
    <n v="1"/>
    <n v="5"/>
    <s v="None"/>
    <s v="Desktop"/>
    <s v="Other"/>
    <d v="2024-10-21T00:00:00"/>
    <b v="1"/>
    <b v="0"/>
    <s v="Need-based"/>
    <x v="0"/>
    <n v="2"/>
  </r>
  <r>
    <x v="888"/>
    <n v="30"/>
    <s v="Female"/>
    <x v="1"/>
    <x v="3"/>
    <x v="0"/>
    <x v="1"/>
    <s v="Újezd"/>
    <s v="Travel &amp; Leisure (Flights"/>
    <x v="882"/>
    <n v="2"/>
    <x v="1"/>
    <n v="5"/>
    <n v="4"/>
    <n v="1"/>
    <s v="Medium"/>
    <s v="Somewhat Sensitive"/>
    <n v="1"/>
    <n v="4"/>
    <s v="Medium"/>
    <s v="Smartphone"/>
    <s v="Cash"/>
    <d v="2024-10-15T00:00:00"/>
    <b v="0"/>
    <b v="1"/>
    <s v="Need-based"/>
    <x v="0"/>
    <n v="13"/>
  </r>
  <r>
    <x v="889"/>
    <n v="25"/>
    <s v="Male"/>
    <x v="0"/>
    <x v="1"/>
    <x v="2"/>
    <x v="1"/>
    <s v="Bhadrapur"/>
    <s v="Sports &amp; Outdoors"/>
    <x v="883"/>
    <n v="10"/>
    <x v="1"/>
    <n v="5"/>
    <n v="5"/>
    <n v="2"/>
    <s v="None"/>
    <s v="Not Sensitive"/>
    <n v="1"/>
    <n v="3"/>
    <s v="High"/>
    <s v="Desktop"/>
    <s v="Other"/>
    <d v="2024-11-07T00:00:00"/>
    <b v="0"/>
    <b v="0"/>
    <s v="Planned"/>
    <x v="2"/>
    <n v="11"/>
  </r>
  <r>
    <x v="890"/>
    <n v="40"/>
    <s v="Female"/>
    <x v="1"/>
    <x v="2"/>
    <x v="2"/>
    <x v="1"/>
    <s v="Kostrovo"/>
    <s v="Animal Feed"/>
    <x v="884"/>
    <n v="8"/>
    <x v="2"/>
    <n v="4"/>
    <n v="4"/>
    <n v="2"/>
    <s v="None"/>
    <s v="Very Sensitive"/>
    <n v="1"/>
    <n v="8"/>
    <s v="Medium"/>
    <s v="Tablet"/>
    <s v="Credit Card"/>
    <d v="2024-01-18T00:00:00"/>
    <b v="0"/>
    <b v="0"/>
    <s v="Planned"/>
    <x v="2"/>
    <n v="4"/>
  </r>
  <r>
    <x v="891"/>
    <n v="24"/>
    <s v="Female"/>
    <x v="0"/>
    <x v="1"/>
    <x v="2"/>
    <x v="1"/>
    <s v="Lemery"/>
    <s v="Hotels"/>
    <x v="885"/>
    <n v="9"/>
    <x v="0"/>
    <n v="5"/>
    <n v="4"/>
    <n v="0"/>
    <s v="Medium"/>
    <s v="Somewhat Sensitive"/>
    <n v="1"/>
    <n v="7"/>
    <s v="Low"/>
    <s v="Smartphone"/>
    <s v="Cash"/>
    <d v="2024-04-30T00:00:00"/>
    <b v="0"/>
    <b v="0"/>
    <s v="Impulsive"/>
    <x v="2"/>
    <n v="3"/>
  </r>
  <r>
    <x v="892"/>
    <n v="49"/>
    <s v="Male"/>
    <x v="0"/>
    <x v="3"/>
    <x v="0"/>
    <x v="1"/>
    <s v="Youcheng"/>
    <s v="Sports &amp; Outdoors"/>
    <x v="886"/>
    <n v="9"/>
    <x v="2"/>
    <n v="5"/>
    <n v="3"/>
    <n v="2"/>
    <s v="High"/>
    <s v="Not Sensitive"/>
    <n v="1"/>
    <n v="2"/>
    <s v="Medium"/>
    <s v="Desktop"/>
    <s v="Debit Card"/>
    <d v="2024-11-12T00:00:00"/>
    <b v="1"/>
    <b v="0"/>
    <s v="Impulsive"/>
    <x v="0"/>
    <n v="11"/>
  </r>
  <r>
    <x v="893"/>
    <n v="50"/>
    <s v="Female"/>
    <x v="1"/>
    <x v="0"/>
    <x v="2"/>
    <x v="0"/>
    <s v="Napoli"/>
    <s v="Office Supplies"/>
    <x v="887"/>
    <n v="5"/>
    <x v="1"/>
    <n v="4"/>
    <n v="3"/>
    <n v="1"/>
    <s v="High"/>
    <s v="Somewhat Sensitive"/>
    <n v="1"/>
    <n v="6"/>
    <s v="None"/>
    <s v="Smartphone"/>
    <s v="Cash"/>
    <d v="2024-05-13T00:00:00"/>
    <b v="1"/>
    <b v="0"/>
    <s v="Impulsive"/>
    <x v="2"/>
    <n v="5"/>
  </r>
  <r>
    <x v="894"/>
    <n v="45"/>
    <s v="Male"/>
    <x v="1"/>
    <x v="2"/>
    <x v="2"/>
    <x v="0"/>
    <s v="El Caño"/>
    <s v="Mobile Accessories"/>
    <x v="888"/>
    <n v="3"/>
    <x v="0"/>
    <n v="2"/>
    <n v="3"/>
    <n v="2"/>
    <s v="High"/>
    <s v="Very Sensitive"/>
    <n v="1"/>
    <n v="8"/>
    <s v="Medium"/>
    <s v="Tablet"/>
    <s v="Credit Card"/>
    <d v="2024-09-28T00:00:00"/>
    <b v="1"/>
    <b v="0"/>
    <s v="Impulsive"/>
    <x v="0"/>
    <n v="4"/>
  </r>
  <r>
    <x v="895"/>
    <n v="19"/>
    <s v="Male"/>
    <x v="1"/>
    <x v="1"/>
    <x v="2"/>
    <x v="1"/>
    <s v="Heemstede"/>
    <s v="Mobile Accessories"/>
    <x v="889"/>
    <n v="11"/>
    <x v="1"/>
    <n v="5"/>
    <n v="2"/>
    <n v="1"/>
    <s v="High"/>
    <s v="Very Sensitive"/>
    <n v="0"/>
    <n v="6"/>
    <s v="Medium"/>
    <s v="Smartphone"/>
    <s v="Credit Card"/>
    <d v="2024-03-18T00:00:00"/>
    <b v="0"/>
    <b v="1"/>
    <s v="Need-based"/>
    <x v="2"/>
    <n v="5"/>
  </r>
  <r>
    <x v="896"/>
    <n v="50"/>
    <s v="Female"/>
    <x v="0"/>
    <x v="2"/>
    <x v="1"/>
    <x v="1"/>
    <s v="Panyam"/>
    <s v="Food &amp; Beverages"/>
    <x v="890"/>
    <n v="10"/>
    <x v="0"/>
    <n v="5"/>
    <n v="2"/>
    <n v="2"/>
    <s v="High"/>
    <s v="Somewhat Sensitive"/>
    <n v="2"/>
    <n v="3"/>
    <s v="None"/>
    <s v="Smartphone"/>
    <s v="Credit Card"/>
    <d v="2024-04-13T00:00:00"/>
    <b v="1"/>
    <b v="0"/>
    <s v="Planned"/>
    <x v="0"/>
    <n v="10"/>
  </r>
  <r>
    <x v="897"/>
    <n v="32"/>
    <s v="Male"/>
    <x v="1"/>
    <x v="0"/>
    <x v="2"/>
    <x v="1"/>
    <s v="Faraulep"/>
    <s v="Gardening &amp; Outdoors"/>
    <x v="891"/>
    <n v="3"/>
    <x v="0"/>
    <n v="5"/>
    <n v="5"/>
    <n v="2"/>
    <s v="Low"/>
    <s v="Very Sensitive"/>
    <n v="2"/>
    <n v="6"/>
    <s v="None"/>
    <s v="Desktop"/>
    <s v="PayPal"/>
    <d v="2024-04-23T00:00:00"/>
    <b v="1"/>
    <b v="0"/>
    <s v="Impulsive"/>
    <x v="1"/>
    <n v="1"/>
  </r>
  <r>
    <x v="898"/>
    <n v="21"/>
    <s v="Male"/>
    <x v="0"/>
    <x v="0"/>
    <x v="2"/>
    <x v="0"/>
    <s v="San Isidro"/>
    <s v="Furniture"/>
    <x v="892"/>
    <n v="7"/>
    <x v="1"/>
    <n v="5"/>
    <n v="1"/>
    <n v="0"/>
    <s v="Low"/>
    <s v="Not Sensitive"/>
    <n v="2"/>
    <n v="5"/>
    <s v="Medium"/>
    <s v="Desktop"/>
    <s v="Other"/>
    <d v="2024-03-13T00:00:00"/>
    <b v="0"/>
    <b v="1"/>
    <s v="Wants-based"/>
    <x v="0"/>
    <n v="4"/>
  </r>
  <r>
    <x v="899"/>
    <n v="27"/>
    <s v="Polygender"/>
    <x v="1"/>
    <x v="2"/>
    <x v="0"/>
    <x v="0"/>
    <s v="Mranggen"/>
    <s v="Jewelry &amp; Accessories"/>
    <x v="893"/>
    <n v="11"/>
    <x v="0"/>
    <n v="5"/>
    <n v="1"/>
    <n v="0"/>
    <s v="High"/>
    <s v="Not Sensitive"/>
    <n v="2"/>
    <n v="6"/>
    <s v="None"/>
    <s v="Tablet"/>
    <s v="Other"/>
    <d v="2024-01-18T00:00:00"/>
    <b v="1"/>
    <b v="0"/>
    <s v="Wants-based"/>
    <x v="1"/>
    <n v="3"/>
  </r>
  <r>
    <x v="900"/>
    <n v="39"/>
    <s v="Agender"/>
    <x v="1"/>
    <x v="3"/>
    <x v="2"/>
    <x v="1"/>
    <s v="Cigadog"/>
    <s v="Packages)"/>
    <x v="894"/>
    <n v="9"/>
    <x v="1"/>
    <n v="5"/>
    <n v="3"/>
    <n v="0"/>
    <s v="High"/>
    <s v="Very Sensitive"/>
    <n v="0"/>
    <n v="4"/>
    <s v="Medium"/>
    <s v="Smartphone"/>
    <s v="Other"/>
    <d v="2024-04-25T00:00:00"/>
    <b v="1"/>
    <b v="0"/>
    <s v="Need-based"/>
    <x v="0"/>
    <n v="10"/>
  </r>
  <r>
    <x v="901"/>
    <n v="34"/>
    <s v="Male"/>
    <x v="0"/>
    <x v="2"/>
    <x v="2"/>
    <x v="1"/>
    <s v="Caitang"/>
    <s v="Electronics"/>
    <x v="895"/>
    <n v="7"/>
    <x v="2"/>
    <n v="2"/>
    <n v="1"/>
    <n v="1"/>
    <s v="None"/>
    <s v="Very Sensitive"/>
    <n v="2"/>
    <n v="9"/>
    <s v="None"/>
    <s v="Smartphone"/>
    <s v="Credit Card"/>
    <d v="2024-08-15T00:00:00"/>
    <b v="1"/>
    <b v="1"/>
    <s v="Wants-based"/>
    <x v="0"/>
    <n v="3"/>
  </r>
  <r>
    <x v="902"/>
    <n v="34"/>
    <s v="Female"/>
    <x v="0"/>
    <x v="2"/>
    <x v="0"/>
    <x v="0"/>
    <s v="Masoyila"/>
    <s v="Hotels"/>
    <x v="896"/>
    <n v="4"/>
    <x v="2"/>
    <n v="1"/>
    <n v="5"/>
    <n v="0"/>
    <s v="High"/>
    <s v="Very Sensitive"/>
    <n v="1"/>
    <n v="6"/>
    <s v="Low"/>
    <s v="Tablet"/>
    <s v="PayPal"/>
    <d v="2024-11-10T00:00:00"/>
    <b v="1"/>
    <b v="0"/>
    <s v="Planned"/>
    <x v="2"/>
    <n v="2"/>
  </r>
  <r>
    <x v="903"/>
    <n v="42"/>
    <s v="Male"/>
    <x v="0"/>
    <x v="1"/>
    <x v="2"/>
    <x v="1"/>
    <s v="Beiyuan"/>
    <s v="Furniture"/>
    <x v="897"/>
    <n v="12"/>
    <x v="1"/>
    <n v="5"/>
    <n v="5"/>
    <n v="1"/>
    <s v="Low"/>
    <s v="Very Sensitive"/>
    <n v="1"/>
    <n v="4"/>
    <s v="Low"/>
    <s v="Tablet"/>
    <s v="Other"/>
    <d v="2024-06-29T00:00:00"/>
    <b v="1"/>
    <b v="1"/>
    <s v="Need-based"/>
    <x v="0"/>
    <n v="3"/>
  </r>
  <r>
    <x v="904"/>
    <n v="42"/>
    <s v="Male"/>
    <x v="0"/>
    <x v="1"/>
    <x v="0"/>
    <x v="0"/>
    <s v="Kariya"/>
    <s v="Toys &amp; Games"/>
    <x v="898"/>
    <n v="5"/>
    <x v="2"/>
    <n v="2"/>
    <n v="5"/>
    <n v="0"/>
    <s v="None"/>
    <s v="Not Sensitive"/>
    <n v="0"/>
    <n v="9"/>
    <s v="High"/>
    <s v="Tablet"/>
    <s v="Credit Card"/>
    <d v="2024-06-20T00:00:00"/>
    <b v="0"/>
    <b v="0"/>
    <s v="Need-based"/>
    <x v="0"/>
    <n v="13"/>
  </r>
  <r>
    <x v="905"/>
    <n v="31"/>
    <s v="Male"/>
    <x v="1"/>
    <x v="2"/>
    <x v="0"/>
    <x v="1"/>
    <s v="Malakhovka"/>
    <s v="Jewelry &amp; Accessories"/>
    <x v="899"/>
    <n v="6"/>
    <x v="1"/>
    <n v="2"/>
    <n v="3"/>
    <n v="0"/>
    <s v="None"/>
    <s v="Very Sensitive"/>
    <n v="1"/>
    <n v="4"/>
    <s v="High"/>
    <s v="Desktop"/>
    <s v="Other"/>
    <d v="2024-11-16T00:00:00"/>
    <b v="0"/>
    <b v="1"/>
    <s v="Need-based"/>
    <x v="0"/>
    <n v="13"/>
  </r>
  <r>
    <x v="906"/>
    <n v="35"/>
    <s v="Female"/>
    <x v="1"/>
    <x v="2"/>
    <x v="1"/>
    <x v="1"/>
    <s v="At-Bashi"/>
    <s v="Home Appliances"/>
    <x v="900"/>
    <n v="9"/>
    <x v="2"/>
    <n v="3"/>
    <n v="5"/>
    <n v="1"/>
    <s v="High"/>
    <s v="Somewhat Sensitive"/>
    <n v="2"/>
    <n v="7"/>
    <s v="Medium"/>
    <s v="Tablet"/>
    <s v="PayPal"/>
    <d v="2024-06-29T00:00:00"/>
    <b v="0"/>
    <b v="1"/>
    <s v="Wants-based"/>
    <x v="2"/>
    <n v="13"/>
  </r>
  <r>
    <x v="907"/>
    <n v="27"/>
    <s v="Female"/>
    <x v="1"/>
    <x v="0"/>
    <x v="1"/>
    <x v="0"/>
    <s v="Sankeyushu"/>
    <s v="Packages)"/>
    <x v="901"/>
    <n v="5"/>
    <x v="1"/>
    <n v="1"/>
    <n v="2"/>
    <n v="0"/>
    <s v="None"/>
    <s v="Very Sensitive"/>
    <n v="0"/>
    <n v="5"/>
    <s v="None"/>
    <s v="Desktop"/>
    <s v="Credit Card"/>
    <d v="2024-07-20T00:00:00"/>
    <b v="0"/>
    <b v="0"/>
    <s v="Wants-based"/>
    <x v="0"/>
    <n v="10"/>
  </r>
  <r>
    <x v="908"/>
    <n v="45"/>
    <s v="Male"/>
    <x v="0"/>
    <x v="0"/>
    <x v="1"/>
    <x v="0"/>
    <s v="Limoges"/>
    <s v="Furniture"/>
    <x v="902"/>
    <n v="7"/>
    <x v="1"/>
    <n v="3"/>
    <n v="4"/>
    <n v="1"/>
    <s v="High"/>
    <s v="Somewhat Sensitive"/>
    <n v="1"/>
    <n v="7"/>
    <s v="High"/>
    <s v="Desktop"/>
    <s v="Credit Card"/>
    <d v="2024-07-28T00:00:00"/>
    <b v="1"/>
    <b v="0"/>
    <s v="Wants-based"/>
    <x v="0"/>
    <n v="13"/>
  </r>
  <r>
    <x v="909"/>
    <n v="43"/>
    <s v="Male"/>
    <x v="1"/>
    <x v="0"/>
    <x v="0"/>
    <x v="0"/>
    <s v="Hägersten"/>
    <s v="Groceries"/>
    <x v="903"/>
    <n v="4"/>
    <x v="0"/>
    <n v="5"/>
    <n v="3"/>
    <n v="1"/>
    <s v="High"/>
    <s v="Not Sensitive"/>
    <n v="2"/>
    <n v="10"/>
    <s v="Low"/>
    <s v="Desktop"/>
    <s v="Debit Card"/>
    <d v="2024-02-02T00:00:00"/>
    <b v="0"/>
    <b v="0"/>
    <s v="Wants-based"/>
    <x v="1"/>
    <n v="3"/>
  </r>
  <r>
    <x v="910"/>
    <n v="35"/>
    <s v="Bigender"/>
    <x v="0"/>
    <x v="2"/>
    <x v="1"/>
    <x v="0"/>
    <s v="Tarata"/>
    <s v="Food &amp; Beverages"/>
    <x v="904"/>
    <n v="2"/>
    <x v="0"/>
    <n v="3"/>
    <n v="3"/>
    <n v="0.2"/>
    <s v="None"/>
    <s v="Very Sensitive"/>
    <n v="2"/>
    <n v="5"/>
    <s v="None"/>
    <s v="Smartphone"/>
    <s v="Other"/>
    <d v="2024-09-26T00:00:00"/>
    <b v="0"/>
    <b v="0"/>
    <s v="Planned"/>
    <x v="0"/>
    <n v="13"/>
  </r>
  <r>
    <x v="911"/>
    <n v="33"/>
    <s v="Female"/>
    <x v="0"/>
    <x v="2"/>
    <x v="2"/>
    <x v="1"/>
    <s v="Marabahan"/>
    <s v="Beauty &amp; Personal Care"/>
    <x v="905"/>
    <n v="12"/>
    <x v="1"/>
    <n v="1"/>
    <n v="4"/>
    <n v="2"/>
    <s v="Low"/>
    <s v="Somewhat Sensitive"/>
    <n v="1"/>
    <n v="6"/>
    <s v="None"/>
    <s v="Desktop"/>
    <s v="Other"/>
    <d v="2024-04-04T00:00:00"/>
    <b v="1"/>
    <b v="0"/>
    <s v="Need-based"/>
    <x v="2"/>
    <n v="9"/>
  </r>
  <r>
    <x v="912"/>
    <n v="31"/>
    <s v="Female"/>
    <x v="0"/>
    <x v="1"/>
    <x v="1"/>
    <x v="0"/>
    <s v="Eslāmābād"/>
    <s v="Clothing"/>
    <x v="906"/>
    <n v="3"/>
    <x v="0"/>
    <n v="5"/>
    <n v="1"/>
    <n v="2"/>
    <s v="Low"/>
    <s v="Somewhat Sensitive"/>
    <n v="0"/>
    <n v="7"/>
    <s v="Low"/>
    <s v="Tablet"/>
    <s v="Other"/>
    <d v="2024-10-22T00:00:00"/>
    <b v="1"/>
    <b v="0"/>
    <s v="Need-based"/>
    <x v="0"/>
    <n v="14"/>
  </r>
  <r>
    <x v="913"/>
    <n v="31"/>
    <s v="Female"/>
    <x v="1"/>
    <x v="0"/>
    <x v="2"/>
    <x v="1"/>
    <s v="Emar"/>
    <s v="Health Supplements"/>
    <x v="907"/>
    <n v="7"/>
    <x v="2"/>
    <n v="3"/>
    <n v="5"/>
    <n v="0"/>
    <s v="Medium"/>
    <s v="Not Sensitive"/>
    <n v="2"/>
    <n v="4"/>
    <s v="Medium"/>
    <s v="Desktop"/>
    <s v="Credit Card"/>
    <d v="2024-07-12T00:00:00"/>
    <b v="1"/>
    <b v="0"/>
    <s v="Impulsive"/>
    <x v="1"/>
    <n v="5"/>
  </r>
  <r>
    <x v="914"/>
    <n v="26"/>
    <s v="Male"/>
    <x v="1"/>
    <x v="1"/>
    <x v="2"/>
    <x v="1"/>
    <s v="Baisha"/>
    <s v="Baby Products"/>
    <x v="908"/>
    <n v="11"/>
    <x v="1"/>
    <n v="4"/>
    <n v="3"/>
    <n v="2"/>
    <s v="Medium"/>
    <s v="Not Sensitive"/>
    <n v="2"/>
    <n v="6"/>
    <s v="Medium"/>
    <s v="Tablet"/>
    <s v="PayPal"/>
    <d v="2024-06-30T00:00:00"/>
    <b v="1"/>
    <b v="1"/>
    <s v="Impulsive"/>
    <x v="2"/>
    <n v="8"/>
  </r>
  <r>
    <x v="915"/>
    <n v="49"/>
    <s v="Male"/>
    <x v="1"/>
    <x v="0"/>
    <x v="0"/>
    <x v="0"/>
    <s v="Magdalena"/>
    <s v="Gardening &amp; Outdoors"/>
    <x v="909"/>
    <n v="8"/>
    <x v="2"/>
    <n v="4"/>
    <n v="2"/>
    <n v="0"/>
    <s v="High"/>
    <s v="Not Sensitive"/>
    <n v="0"/>
    <n v="7"/>
    <s v="Medium"/>
    <s v="Tablet"/>
    <s v="Debit Card"/>
    <d v="2024-04-02T00:00:00"/>
    <b v="1"/>
    <b v="1"/>
    <s v="Need-based"/>
    <x v="2"/>
    <n v="12"/>
  </r>
  <r>
    <x v="916"/>
    <n v="23"/>
    <s v="Male"/>
    <x v="1"/>
    <x v="1"/>
    <x v="2"/>
    <x v="1"/>
    <s v="Göteborg"/>
    <s v="Packages)"/>
    <x v="910"/>
    <n v="3"/>
    <x v="2"/>
    <n v="1"/>
    <n v="4"/>
    <n v="2"/>
    <s v="High"/>
    <s v="Very Sensitive"/>
    <n v="0"/>
    <n v="2"/>
    <s v="Medium"/>
    <s v="Desktop"/>
    <s v="Cash"/>
    <d v="2024-02-16T00:00:00"/>
    <b v="1"/>
    <b v="0"/>
    <s v="Planned"/>
    <x v="1"/>
    <n v="6"/>
  </r>
  <r>
    <x v="917"/>
    <n v="42"/>
    <s v="Male"/>
    <x v="1"/>
    <x v="1"/>
    <x v="2"/>
    <x v="0"/>
    <s v="Skórzec"/>
    <s v="Travel &amp; Leisure (Flights"/>
    <x v="911"/>
    <n v="3"/>
    <x v="2"/>
    <n v="2"/>
    <n v="5"/>
    <n v="1"/>
    <s v="High"/>
    <s v="Very Sensitive"/>
    <n v="1"/>
    <n v="6"/>
    <s v="None"/>
    <s v="Tablet"/>
    <s v="PayPal"/>
    <d v="2024-01-31T00:00:00"/>
    <b v="0"/>
    <b v="0"/>
    <s v="Planned"/>
    <x v="1"/>
    <n v="3"/>
  </r>
  <r>
    <x v="918"/>
    <n v="32"/>
    <s v="Male"/>
    <x v="0"/>
    <x v="1"/>
    <x v="0"/>
    <x v="1"/>
    <s v="São João dos Inhamuns"/>
    <s v="Groceries"/>
    <x v="912"/>
    <n v="9"/>
    <x v="2"/>
    <n v="5"/>
    <n v="1"/>
    <n v="0"/>
    <s v="High"/>
    <s v="Not Sensitive"/>
    <n v="2"/>
    <n v="10"/>
    <s v="Low"/>
    <s v="Desktop"/>
    <s v="PayPal"/>
    <d v="2024-10-09T00:00:00"/>
    <b v="1"/>
    <b v="0"/>
    <s v="Impulsive"/>
    <x v="0"/>
    <n v="1"/>
  </r>
  <r>
    <x v="919"/>
    <n v="37"/>
    <s v="Female"/>
    <x v="0"/>
    <x v="1"/>
    <x v="1"/>
    <x v="0"/>
    <s v="Tambaksari"/>
    <s v="Electronics"/>
    <x v="913"/>
    <n v="7"/>
    <x v="1"/>
    <n v="3"/>
    <n v="2"/>
    <n v="1"/>
    <s v="High"/>
    <s v="Somewhat Sensitive"/>
    <n v="2"/>
    <n v="9"/>
    <s v="Low"/>
    <s v="Smartphone"/>
    <s v="Credit Card"/>
    <d v="2024-04-09T00:00:00"/>
    <b v="0"/>
    <b v="0"/>
    <s v="Need-based"/>
    <x v="1"/>
    <n v="11"/>
  </r>
  <r>
    <x v="920"/>
    <n v="25"/>
    <s v="Polygender"/>
    <x v="1"/>
    <x v="2"/>
    <x v="0"/>
    <x v="0"/>
    <s v="Lazarat"/>
    <s v="Travel &amp; Leisure (Flights"/>
    <x v="914"/>
    <n v="11"/>
    <x v="1"/>
    <n v="5"/>
    <n v="4"/>
    <n v="0"/>
    <s v="None"/>
    <s v="Not Sensitive"/>
    <n v="2"/>
    <n v="1"/>
    <s v="Medium"/>
    <s v="Smartphone"/>
    <s v="PayPal"/>
    <d v="2024-05-16T00:00:00"/>
    <b v="0"/>
    <b v="0"/>
    <s v="Impulsive"/>
    <x v="2"/>
    <n v="12"/>
  </r>
  <r>
    <x v="921"/>
    <n v="49"/>
    <s v="Male"/>
    <x v="0"/>
    <x v="1"/>
    <x v="1"/>
    <x v="0"/>
    <s v="Belene"/>
    <s v="Packages)"/>
    <x v="915"/>
    <n v="4"/>
    <x v="2"/>
    <n v="4"/>
    <n v="2"/>
    <n v="1"/>
    <s v="Low"/>
    <s v="Somewhat Sensitive"/>
    <n v="0"/>
    <n v="9"/>
    <s v="None"/>
    <s v="Desktop"/>
    <s v="Credit Card"/>
    <d v="2024-10-22T00:00:00"/>
    <b v="0"/>
    <b v="0"/>
    <s v="Impulsive"/>
    <x v="0"/>
    <n v="9"/>
  </r>
  <r>
    <x v="922"/>
    <n v="26"/>
    <s v="Male"/>
    <x v="0"/>
    <x v="0"/>
    <x v="0"/>
    <x v="1"/>
    <s v="Xiangshan"/>
    <s v="Gardening &amp; Outdoors"/>
    <x v="916"/>
    <n v="2"/>
    <x v="1"/>
    <n v="3"/>
    <n v="2"/>
    <n v="1"/>
    <s v="Low"/>
    <s v="Very Sensitive"/>
    <n v="2"/>
    <n v="4"/>
    <s v="High"/>
    <s v="Desktop"/>
    <s v="PayPal"/>
    <d v="2024-11-08T00:00:00"/>
    <b v="1"/>
    <b v="1"/>
    <s v="Need-based"/>
    <x v="2"/>
    <n v="13"/>
  </r>
  <r>
    <x v="923"/>
    <n v="29"/>
    <s v="Female"/>
    <x v="1"/>
    <x v="1"/>
    <x v="2"/>
    <x v="0"/>
    <s v="San Luis"/>
    <s v="Gardening &amp; Outdoors"/>
    <x v="917"/>
    <n v="12"/>
    <x v="0"/>
    <n v="4"/>
    <n v="1"/>
    <n v="1"/>
    <s v="Medium"/>
    <s v="Not Sensitive"/>
    <n v="2"/>
    <n v="4"/>
    <s v="High"/>
    <s v="Desktop"/>
    <s v="Debit Card"/>
    <d v="2024-09-01T00:00:00"/>
    <b v="0"/>
    <b v="1"/>
    <s v="Wants-based"/>
    <x v="0"/>
    <n v="11"/>
  </r>
  <r>
    <x v="924"/>
    <n v="26"/>
    <s v="Male"/>
    <x v="1"/>
    <x v="3"/>
    <x v="1"/>
    <x v="0"/>
    <s v="Zengfu"/>
    <s v="Groceries"/>
    <x v="918"/>
    <n v="8"/>
    <x v="2"/>
    <n v="4"/>
    <n v="5"/>
    <n v="1"/>
    <s v="Low"/>
    <s v="Not Sensitive"/>
    <n v="2"/>
    <n v="3"/>
    <s v="High"/>
    <s v="Tablet"/>
    <s v="Cash"/>
    <d v="2024-05-17T00:00:00"/>
    <b v="0"/>
    <b v="0"/>
    <s v="Impulsive"/>
    <x v="2"/>
    <n v="3"/>
  </r>
  <r>
    <x v="925"/>
    <n v="23"/>
    <s v="Female"/>
    <x v="1"/>
    <x v="3"/>
    <x v="2"/>
    <x v="1"/>
    <s v="Tingsryd"/>
    <s v="Books"/>
    <x v="919"/>
    <n v="8"/>
    <x v="1"/>
    <n v="1"/>
    <n v="3"/>
    <n v="0"/>
    <s v="Medium"/>
    <s v="Not Sensitive"/>
    <n v="0"/>
    <n v="6"/>
    <s v="None"/>
    <s v="Desktop"/>
    <s v="Debit Card"/>
    <d v="2024-05-19T00:00:00"/>
    <b v="0"/>
    <b v="0"/>
    <s v="Need-based"/>
    <x v="1"/>
    <n v="3"/>
  </r>
  <r>
    <x v="926"/>
    <n v="47"/>
    <s v="Female"/>
    <x v="1"/>
    <x v="1"/>
    <x v="0"/>
    <x v="1"/>
    <s v="Tipaz"/>
    <s v="Beauty &amp; Personal Care"/>
    <x v="920"/>
    <n v="7"/>
    <x v="2"/>
    <n v="4"/>
    <n v="5"/>
    <n v="0"/>
    <s v="None"/>
    <s v="Somewhat Sensitive"/>
    <n v="2"/>
    <n v="2"/>
    <s v="Low"/>
    <s v="Smartphone"/>
    <s v="Debit Card"/>
    <d v="2024-01-25T00:00:00"/>
    <b v="0"/>
    <b v="0"/>
    <s v="Wants-based"/>
    <x v="0"/>
    <n v="13"/>
  </r>
  <r>
    <x v="927"/>
    <n v="30"/>
    <s v="Male"/>
    <x v="1"/>
    <x v="1"/>
    <x v="0"/>
    <x v="0"/>
    <s v="Wādī as Salqā"/>
    <s v="Gardening &amp; Outdoors"/>
    <x v="921"/>
    <n v="2"/>
    <x v="1"/>
    <n v="1"/>
    <n v="2"/>
    <n v="2"/>
    <s v="High"/>
    <s v="Very Sensitive"/>
    <n v="2"/>
    <n v="3"/>
    <s v="Medium"/>
    <s v="Smartphone"/>
    <s v="Credit Card"/>
    <d v="2024-03-08T00:00:00"/>
    <b v="1"/>
    <b v="1"/>
    <s v="Wants-based"/>
    <x v="0"/>
    <n v="4"/>
  </r>
  <r>
    <x v="928"/>
    <n v="26"/>
    <s v="Female"/>
    <x v="1"/>
    <x v="1"/>
    <x v="1"/>
    <x v="1"/>
    <s v="Wasagu"/>
    <s v="Furniture"/>
    <x v="205"/>
    <n v="5"/>
    <x v="2"/>
    <n v="4"/>
    <n v="2"/>
    <n v="1"/>
    <s v="High"/>
    <s v="Not Sensitive"/>
    <n v="0"/>
    <n v="1"/>
    <s v="Low"/>
    <s v="Tablet"/>
    <s v="Credit Card"/>
    <d v="2024-07-13T00:00:00"/>
    <b v="1"/>
    <b v="0"/>
    <s v="Need-based"/>
    <x v="0"/>
    <n v="11"/>
  </r>
  <r>
    <x v="929"/>
    <n v="35"/>
    <s v="Female"/>
    <x v="1"/>
    <x v="3"/>
    <x v="0"/>
    <x v="1"/>
    <s v="Wangsi"/>
    <s v="Electronics"/>
    <x v="922"/>
    <n v="2"/>
    <x v="0"/>
    <n v="2"/>
    <n v="3"/>
    <n v="0"/>
    <s v="High"/>
    <s v="Somewhat Sensitive"/>
    <n v="1"/>
    <n v="9"/>
    <s v="None"/>
    <s v="Tablet"/>
    <s v="PayPal"/>
    <d v="2024-11-21T00:00:00"/>
    <b v="1"/>
    <b v="1"/>
    <s v="Impulsive"/>
    <x v="2"/>
    <n v="8"/>
  </r>
  <r>
    <x v="930"/>
    <n v="40"/>
    <s v="Male"/>
    <x v="1"/>
    <x v="0"/>
    <x v="1"/>
    <x v="1"/>
    <s v="Esmeralda"/>
    <s v="Baby Products"/>
    <x v="923"/>
    <n v="3"/>
    <x v="1"/>
    <n v="4"/>
    <n v="1"/>
    <n v="1"/>
    <s v="High"/>
    <s v="Not Sensitive"/>
    <n v="0"/>
    <n v="9"/>
    <s v="Medium"/>
    <s v="Tablet"/>
    <s v="PayPal"/>
    <d v="2024-03-31T00:00:00"/>
    <b v="1"/>
    <b v="0"/>
    <s v="Need-based"/>
    <x v="1"/>
    <n v="7"/>
  </r>
  <r>
    <x v="931"/>
    <n v="35"/>
    <s v="Male"/>
    <x v="0"/>
    <x v="0"/>
    <x v="2"/>
    <x v="1"/>
    <s v="Chivilcoy"/>
    <s v="Gardening &amp; Outdoors"/>
    <x v="924"/>
    <n v="2"/>
    <x v="1"/>
    <n v="2"/>
    <n v="3"/>
    <n v="2"/>
    <s v="High"/>
    <s v="Not Sensitive"/>
    <n v="1"/>
    <n v="3"/>
    <s v="Medium"/>
    <s v="Tablet"/>
    <s v="PayPal"/>
    <d v="2024-04-28T00:00:00"/>
    <b v="1"/>
    <b v="1"/>
    <s v="Impulsive"/>
    <x v="1"/>
    <n v="10"/>
  </r>
  <r>
    <x v="932"/>
    <n v="21"/>
    <s v="Male"/>
    <x v="0"/>
    <x v="1"/>
    <x v="2"/>
    <x v="0"/>
    <s v="São Miguel do Araguaia"/>
    <s v="Software &amp; Apps"/>
    <x v="925"/>
    <n v="3"/>
    <x v="0"/>
    <n v="5"/>
    <n v="3"/>
    <n v="0.2"/>
    <s v="None"/>
    <s v="Very Sensitive"/>
    <n v="2"/>
    <n v="8"/>
    <s v="None"/>
    <s v="Tablet"/>
    <s v="Cash"/>
    <d v="2024-07-09T00:00:00"/>
    <b v="0"/>
    <b v="1"/>
    <s v="Planned"/>
    <x v="0"/>
    <n v="9"/>
  </r>
  <r>
    <x v="933"/>
    <n v="41"/>
    <s v="Male"/>
    <x v="0"/>
    <x v="2"/>
    <x v="2"/>
    <x v="0"/>
    <s v="Libei"/>
    <s v="Sports &amp; Outdoors"/>
    <x v="926"/>
    <n v="6"/>
    <x v="0"/>
    <n v="5"/>
    <n v="2"/>
    <n v="0.2"/>
    <s v="None"/>
    <s v="Somewhat Sensitive"/>
    <n v="2"/>
    <n v="1"/>
    <s v="None"/>
    <s v="Tablet"/>
    <s v="PayPal"/>
    <d v="2024-09-22T00:00:00"/>
    <b v="1"/>
    <b v="1"/>
    <s v="Planned"/>
    <x v="2"/>
    <n v="2"/>
  </r>
  <r>
    <x v="934"/>
    <n v="44"/>
    <s v="Female"/>
    <x v="1"/>
    <x v="1"/>
    <x v="0"/>
    <x v="1"/>
    <s v="Araci"/>
    <s v="Mobile Accessories"/>
    <x v="927"/>
    <n v="7"/>
    <x v="0"/>
    <n v="5"/>
    <n v="4"/>
    <n v="1"/>
    <s v="Low"/>
    <s v="Very Sensitive"/>
    <n v="2"/>
    <n v="6"/>
    <s v="Low"/>
    <s v="Smartphone"/>
    <s v="Debit Card"/>
    <d v="2024-04-04T00:00:00"/>
    <b v="0"/>
    <b v="0"/>
    <s v="Need-based"/>
    <x v="0"/>
    <n v="13"/>
  </r>
  <r>
    <x v="935"/>
    <n v="44"/>
    <s v="Female"/>
    <x v="1"/>
    <x v="0"/>
    <x v="2"/>
    <x v="0"/>
    <s v="Kuçovë"/>
    <s v="Electronics"/>
    <x v="928"/>
    <n v="3"/>
    <x v="2"/>
    <n v="3"/>
    <n v="1"/>
    <n v="1"/>
    <s v="Low"/>
    <s v="Somewhat Sensitive"/>
    <n v="0"/>
    <n v="2"/>
    <s v="High"/>
    <s v="Desktop"/>
    <s v="PayPal"/>
    <d v="2024-06-20T00:00:00"/>
    <b v="0"/>
    <b v="1"/>
    <s v="Impulsive"/>
    <x v="1"/>
    <n v="1"/>
  </r>
  <r>
    <x v="936"/>
    <n v="37"/>
    <s v="Male"/>
    <x v="0"/>
    <x v="2"/>
    <x v="2"/>
    <x v="1"/>
    <s v="Bokong Timur"/>
    <s v="Sports &amp; Outdoors"/>
    <x v="929"/>
    <n v="11"/>
    <x v="2"/>
    <n v="3"/>
    <n v="3"/>
    <n v="2"/>
    <s v="None"/>
    <s v="Very Sensitive"/>
    <n v="0"/>
    <n v="2"/>
    <s v="Low"/>
    <s v="Smartphone"/>
    <s v="Cash"/>
    <d v="2024-03-22T00:00:00"/>
    <b v="0"/>
    <b v="0"/>
    <s v="Impulsive"/>
    <x v="0"/>
    <n v="7"/>
  </r>
  <r>
    <x v="937"/>
    <n v="40"/>
    <s v="Female"/>
    <x v="1"/>
    <x v="2"/>
    <x v="0"/>
    <x v="1"/>
    <s v="Gaowu"/>
    <s v="Animal Feed"/>
    <x v="930"/>
    <n v="6"/>
    <x v="2"/>
    <n v="1"/>
    <n v="3"/>
    <n v="0"/>
    <s v="Low"/>
    <s v="Very Sensitive"/>
    <n v="2"/>
    <n v="1"/>
    <s v="None"/>
    <s v="Smartphone"/>
    <s v="Other"/>
    <d v="2024-04-06T00:00:00"/>
    <b v="1"/>
    <b v="1"/>
    <s v="Planned"/>
    <x v="0"/>
    <n v="12"/>
  </r>
  <r>
    <x v="938"/>
    <n v="43"/>
    <s v="Male"/>
    <x v="1"/>
    <x v="2"/>
    <x v="2"/>
    <x v="1"/>
    <s v="Guéret"/>
    <s v="Electronics"/>
    <x v="931"/>
    <n v="10"/>
    <x v="2"/>
    <n v="1"/>
    <n v="2"/>
    <n v="1"/>
    <s v="High"/>
    <s v="Somewhat Sensitive"/>
    <n v="0"/>
    <n v="9"/>
    <s v="Low"/>
    <s v="Desktop"/>
    <s v="Credit Card"/>
    <d v="2024-05-20T00:00:00"/>
    <b v="1"/>
    <b v="1"/>
    <s v="Need-based"/>
    <x v="1"/>
    <n v="5"/>
  </r>
  <r>
    <x v="939"/>
    <n v="48"/>
    <s v="Male"/>
    <x v="0"/>
    <x v="1"/>
    <x v="2"/>
    <x v="1"/>
    <s v="Postřekov"/>
    <s v="Animal Feed"/>
    <x v="627"/>
    <n v="9"/>
    <x v="1"/>
    <n v="4"/>
    <n v="4"/>
    <n v="2"/>
    <s v="Low"/>
    <s v="Not Sensitive"/>
    <n v="2"/>
    <n v="7"/>
    <s v="High"/>
    <s v="Tablet"/>
    <s v="Other"/>
    <d v="2024-04-09T00:00:00"/>
    <b v="1"/>
    <b v="1"/>
    <s v="Need-based"/>
    <x v="0"/>
    <n v="4"/>
  </r>
  <r>
    <x v="940"/>
    <n v="32"/>
    <s v="Female"/>
    <x v="1"/>
    <x v="3"/>
    <x v="0"/>
    <x v="0"/>
    <s v="Gobojango"/>
    <s v="Hotels"/>
    <x v="932"/>
    <n v="10"/>
    <x v="0"/>
    <n v="1"/>
    <n v="2"/>
    <n v="0"/>
    <s v="Low"/>
    <s v="Not Sensitive"/>
    <n v="2"/>
    <n v="6"/>
    <s v="None"/>
    <s v="Tablet"/>
    <s v="Cash"/>
    <d v="2024-12-04T00:00:00"/>
    <b v="0"/>
    <b v="0"/>
    <s v="Planned"/>
    <x v="0"/>
    <n v="6"/>
  </r>
  <r>
    <x v="941"/>
    <n v="37"/>
    <s v="Female"/>
    <x v="0"/>
    <x v="2"/>
    <x v="1"/>
    <x v="1"/>
    <s v="Tandahimba"/>
    <s v="Animal Feed"/>
    <x v="933"/>
    <n v="4"/>
    <x v="1"/>
    <n v="3"/>
    <n v="3"/>
    <n v="0"/>
    <s v="Medium"/>
    <s v="Not Sensitive"/>
    <n v="2"/>
    <n v="1"/>
    <s v="Low"/>
    <s v="Desktop"/>
    <s v="PayPal"/>
    <d v="2024-05-27T00:00:00"/>
    <b v="1"/>
    <b v="1"/>
    <s v="Need-based"/>
    <x v="0"/>
    <n v="14"/>
  </r>
  <r>
    <x v="942"/>
    <n v="29"/>
    <s v="Female"/>
    <x v="0"/>
    <x v="2"/>
    <x v="1"/>
    <x v="0"/>
    <s v="Iwade"/>
    <s v="Baby Products"/>
    <x v="934"/>
    <n v="2"/>
    <x v="2"/>
    <n v="4"/>
    <n v="2"/>
    <n v="0"/>
    <s v="High"/>
    <s v="Very Sensitive"/>
    <n v="2"/>
    <n v="6"/>
    <s v="High"/>
    <s v="Tablet"/>
    <s v="Cash"/>
    <d v="2024-07-01T00:00:00"/>
    <b v="1"/>
    <b v="0"/>
    <s v="Planned"/>
    <x v="0"/>
    <n v="3"/>
  </r>
  <r>
    <x v="943"/>
    <n v="36"/>
    <s v="Male"/>
    <x v="1"/>
    <x v="3"/>
    <x v="1"/>
    <x v="0"/>
    <s v="La Guata"/>
    <s v="Mobile Accessories"/>
    <x v="935"/>
    <n v="10"/>
    <x v="2"/>
    <n v="4"/>
    <n v="3"/>
    <n v="2"/>
    <s v="None"/>
    <s v="Somewhat Sensitive"/>
    <n v="1"/>
    <n v="5"/>
    <s v="High"/>
    <s v="Tablet"/>
    <s v="Debit Card"/>
    <d v="2024-08-15T00:00:00"/>
    <b v="1"/>
    <b v="0"/>
    <s v="Impulsive"/>
    <x v="1"/>
    <n v="6"/>
  </r>
  <r>
    <x v="944"/>
    <n v="50"/>
    <s v="Female"/>
    <x v="1"/>
    <x v="0"/>
    <x v="2"/>
    <x v="1"/>
    <s v="Saint-Brieuc"/>
    <s v="Toys &amp; Games"/>
    <x v="936"/>
    <n v="9"/>
    <x v="1"/>
    <n v="1"/>
    <n v="2"/>
    <n v="1"/>
    <s v="None"/>
    <s v="Very Sensitive"/>
    <n v="0"/>
    <n v="10"/>
    <s v="Low"/>
    <s v="Tablet"/>
    <s v="Other"/>
    <d v="2024-01-19T00:00:00"/>
    <b v="1"/>
    <b v="1"/>
    <s v="Wants-based"/>
    <x v="0"/>
    <n v="1"/>
  </r>
  <r>
    <x v="945"/>
    <n v="31"/>
    <s v="Bigender"/>
    <x v="1"/>
    <x v="3"/>
    <x v="1"/>
    <x v="1"/>
    <s v="Paya Dapur"/>
    <s v="Health Supplements"/>
    <x v="937"/>
    <n v="2"/>
    <x v="0"/>
    <n v="1"/>
    <n v="2"/>
    <n v="1"/>
    <s v="None"/>
    <s v="Somewhat Sensitive"/>
    <n v="1"/>
    <n v="2"/>
    <s v="Low"/>
    <s v="Desktop"/>
    <s v="Credit Card"/>
    <d v="2024-09-18T00:00:00"/>
    <b v="0"/>
    <b v="0"/>
    <s v="Wants-based"/>
    <x v="1"/>
    <n v="1"/>
  </r>
  <r>
    <x v="946"/>
    <n v="29"/>
    <s v="Female"/>
    <x v="1"/>
    <x v="1"/>
    <x v="2"/>
    <x v="0"/>
    <s v="Xinzha"/>
    <s v="Luxury Goods"/>
    <x v="938"/>
    <n v="4"/>
    <x v="2"/>
    <n v="2"/>
    <n v="1"/>
    <n v="2"/>
    <s v="Medium"/>
    <s v="Very Sensitive"/>
    <n v="1"/>
    <n v="7"/>
    <s v="High"/>
    <s v="Smartphone"/>
    <s v="Credit Card"/>
    <d v="2024-06-17T00:00:00"/>
    <b v="0"/>
    <b v="0"/>
    <s v="Planned"/>
    <x v="2"/>
    <n v="9"/>
  </r>
  <r>
    <x v="947"/>
    <n v="26"/>
    <s v="Male"/>
    <x v="0"/>
    <x v="0"/>
    <x v="0"/>
    <x v="0"/>
    <s v="Al Qārah"/>
    <s v="Baby Products"/>
    <x v="939"/>
    <n v="8"/>
    <x v="1"/>
    <n v="5"/>
    <n v="5"/>
    <n v="0"/>
    <s v="Low"/>
    <s v="Not Sensitive"/>
    <n v="1"/>
    <n v="6"/>
    <s v="Medium"/>
    <s v="Tablet"/>
    <s v="Credit Card"/>
    <d v="2024-07-26T00:00:00"/>
    <b v="0"/>
    <b v="1"/>
    <s v="Wants-based"/>
    <x v="0"/>
    <n v="3"/>
  </r>
  <r>
    <x v="948"/>
    <n v="22"/>
    <s v="Female"/>
    <x v="1"/>
    <x v="1"/>
    <x v="1"/>
    <x v="1"/>
    <s v="Antipolo"/>
    <s v="Food &amp; Beverages"/>
    <x v="874"/>
    <n v="2"/>
    <x v="2"/>
    <n v="2"/>
    <n v="2"/>
    <n v="2"/>
    <s v="Medium"/>
    <s v="Very Sensitive"/>
    <n v="0"/>
    <n v="3"/>
    <s v="None"/>
    <s v="Desktop"/>
    <s v="Cash"/>
    <d v="2024-03-11T00:00:00"/>
    <b v="0"/>
    <b v="0"/>
    <s v="Planned"/>
    <x v="0"/>
    <n v="13"/>
  </r>
  <r>
    <x v="949"/>
    <n v="35"/>
    <s v="Female"/>
    <x v="1"/>
    <x v="0"/>
    <x v="1"/>
    <x v="1"/>
    <s v="Yuyangguan"/>
    <s v="Electronics"/>
    <x v="940"/>
    <n v="7"/>
    <x v="0"/>
    <n v="3"/>
    <n v="5"/>
    <n v="2"/>
    <s v="High"/>
    <s v="Somewhat Sensitive"/>
    <n v="1"/>
    <n v="6"/>
    <s v="Medium"/>
    <s v="Desktop"/>
    <s v="Cash"/>
    <d v="2024-09-27T00:00:00"/>
    <b v="0"/>
    <b v="0"/>
    <s v="Need-based"/>
    <x v="1"/>
    <n v="9"/>
  </r>
  <r>
    <x v="950"/>
    <n v="23"/>
    <s v="Male"/>
    <x v="0"/>
    <x v="0"/>
    <x v="0"/>
    <x v="0"/>
    <s v="Qiman"/>
    <s v="Home Appliances"/>
    <x v="941"/>
    <n v="2"/>
    <x v="1"/>
    <n v="5"/>
    <n v="2"/>
    <n v="2"/>
    <s v="High"/>
    <s v="Not Sensitive"/>
    <n v="0"/>
    <n v="7"/>
    <s v="Low"/>
    <s v="Tablet"/>
    <s v="PayPal"/>
    <d v="2024-09-05T00:00:00"/>
    <b v="1"/>
    <b v="1"/>
    <s v="Impulsive"/>
    <x v="0"/>
    <n v="7"/>
  </r>
  <r>
    <x v="951"/>
    <n v="40"/>
    <s v="Female"/>
    <x v="1"/>
    <x v="0"/>
    <x v="1"/>
    <x v="1"/>
    <s v="Maguwon"/>
    <s v="Packages)"/>
    <x v="942"/>
    <n v="11"/>
    <x v="0"/>
    <n v="3"/>
    <n v="2"/>
    <n v="1"/>
    <s v="Low"/>
    <s v="Very Sensitive"/>
    <n v="0"/>
    <n v="1"/>
    <s v="None"/>
    <s v="Tablet"/>
    <s v="Credit Card"/>
    <d v="2024-12-22T00:00:00"/>
    <b v="0"/>
    <b v="0"/>
    <s v="Wants-based"/>
    <x v="0"/>
    <n v="3"/>
  </r>
  <r>
    <x v="952"/>
    <n v="32"/>
    <s v="Female"/>
    <x v="1"/>
    <x v="1"/>
    <x v="1"/>
    <x v="0"/>
    <s v="Tsibulev"/>
    <s v="Software &amp; Apps"/>
    <x v="943"/>
    <n v="8"/>
    <x v="0"/>
    <n v="4"/>
    <n v="4"/>
    <n v="1"/>
    <s v="High"/>
    <s v="Somewhat Sensitive"/>
    <n v="0"/>
    <n v="6"/>
    <s v="High"/>
    <s v="Desktop"/>
    <s v="PayPal"/>
    <d v="2024-10-29T00:00:00"/>
    <b v="0"/>
    <b v="0"/>
    <s v="Planned"/>
    <x v="0"/>
    <n v="10"/>
  </r>
  <r>
    <x v="953"/>
    <n v="29"/>
    <s v="Male"/>
    <x v="0"/>
    <x v="3"/>
    <x v="2"/>
    <x v="0"/>
    <s v="San Antonio Aguas Calientes"/>
    <s v="Mobile Accessories"/>
    <x v="944"/>
    <n v="3"/>
    <x v="2"/>
    <n v="3"/>
    <n v="1"/>
    <n v="1"/>
    <s v="Medium"/>
    <s v="Very Sensitive"/>
    <n v="2"/>
    <n v="8"/>
    <s v="None"/>
    <s v="Tablet"/>
    <s v="Debit Card"/>
    <d v="2024-06-06T00:00:00"/>
    <b v="1"/>
    <b v="0"/>
    <s v="Need-based"/>
    <x v="1"/>
    <n v="7"/>
  </r>
  <r>
    <x v="954"/>
    <n v="50"/>
    <s v="Polygender"/>
    <x v="0"/>
    <x v="0"/>
    <x v="1"/>
    <x v="1"/>
    <s v="Pombas"/>
    <s v="Travel &amp; Leisure (Flights"/>
    <x v="945"/>
    <n v="5"/>
    <x v="0"/>
    <n v="3"/>
    <n v="4"/>
    <n v="2"/>
    <s v="None"/>
    <s v="Not Sensitive"/>
    <n v="2"/>
    <n v="4"/>
    <s v="High"/>
    <s v="Tablet"/>
    <s v="Cash"/>
    <d v="2024-04-12T00:00:00"/>
    <b v="1"/>
    <b v="0"/>
    <s v="Impulsive"/>
    <x v="1"/>
    <n v="2"/>
  </r>
  <r>
    <x v="955"/>
    <n v="42"/>
    <s v="Male"/>
    <x v="1"/>
    <x v="1"/>
    <x v="1"/>
    <x v="0"/>
    <s v="Ku‘aydinah"/>
    <s v="Health Supplements"/>
    <x v="946"/>
    <n v="2"/>
    <x v="1"/>
    <n v="2"/>
    <n v="5"/>
    <n v="1"/>
    <s v="Medium"/>
    <s v="Somewhat Sensitive"/>
    <n v="0"/>
    <n v="5"/>
    <s v="Medium"/>
    <s v="Desktop"/>
    <s v="Credit Card"/>
    <d v="2024-12-21T00:00:00"/>
    <b v="0"/>
    <b v="1"/>
    <s v="Impulsive"/>
    <x v="0"/>
    <n v="7"/>
  </r>
  <r>
    <x v="956"/>
    <n v="47"/>
    <s v="Female"/>
    <x v="0"/>
    <x v="3"/>
    <x v="2"/>
    <x v="0"/>
    <s v="San Marcos"/>
    <s v="Baby Products"/>
    <x v="947"/>
    <n v="4"/>
    <x v="0"/>
    <n v="3"/>
    <n v="5"/>
    <n v="0.2"/>
    <s v="Medium"/>
    <s v="Not Sensitive"/>
    <n v="2"/>
    <n v="6"/>
    <s v="High"/>
    <s v="Tablet"/>
    <s v="Credit Card"/>
    <d v="2024-12-25T00:00:00"/>
    <b v="0"/>
    <b v="1"/>
    <s v="Need-based"/>
    <x v="0"/>
    <n v="6"/>
  </r>
  <r>
    <x v="957"/>
    <n v="27"/>
    <s v="Male"/>
    <x v="0"/>
    <x v="0"/>
    <x v="1"/>
    <x v="0"/>
    <s v="Chum Phae"/>
    <s v="Office Supplies"/>
    <x v="948"/>
    <n v="5"/>
    <x v="0"/>
    <n v="5"/>
    <n v="3"/>
    <n v="1"/>
    <s v="None"/>
    <s v="Somewhat Sensitive"/>
    <n v="0"/>
    <n v="4"/>
    <s v="High"/>
    <s v="Desktop"/>
    <s v="Cash"/>
    <d v="2024-12-01T00:00:00"/>
    <b v="0"/>
    <b v="0"/>
    <s v="Need-based"/>
    <x v="1"/>
    <n v="14"/>
  </r>
  <r>
    <x v="958"/>
    <n v="40"/>
    <s v="Female"/>
    <x v="0"/>
    <x v="2"/>
    <x v="2"/>
    <x v="0"/>
    <s v="La Laja"/>
    <s v="Packages)"/>
    <x v="949"/>
    <n v="8"/>
    <x v="2"/>
    <n v="4"/>
    <n v="2"/>
    <n v="1"/>
    <s v="Low"/>
    <s v="Somewhat Sensitive"/>
    <n v="2"/>
    <n v="9"/>
    <s v="High"/>
    <s v="Desktop"/>
    <s v="Cash"/>
    <d v="2024-03-31T00:00:00"/>
    <b v="1"/>
    <b v="1"/>
    <s v="Need-based"/>
    <x v="0"/>
    <n v="10"/>
  </r>
  <r>
    <x v="959"/>
    <n v="28"/>
    <s v="Female"/>
    <x v="1"/>
    <x v="0"/>
    <x v="1"/>
    <x v="0"/>
    <s v="San Juan del Cesar"/>
    <s v="Packages)"/>
    <x v="950"/>
    <n v="12"/>
    <x v="0"/>
    <n v="1"/>
    <n v="4"/>
    <n v="0"/>
    <s v="High"/>
    <s v="Not Sensitive"/>
    <n v="1"/>
    <n v="9"/>
    <s v="Medium"/>
    <s v="Smartphone"/>
    <s v="Debit Card"/>
    <d v="2024-10-12T00:00:00"/>
    <b v="0"/>
    <b v="1"/>
    <s v="Impulsive"/>
    <x v="1"/>
    <n v="10"/>
  </r>
  <r>
    <x v="960"/>
    <n v="28"/>
    <s v="Male"/>
    <x v="0"/>
    <x v="2"/>
    <x v="1"/>
    <x v="0"/>
    <s v="Taiyigong"/>
    <s v="Clothing"/>
    <x v="951"/>
    <n v="6"/>
    <x v="0"/>
    <n v="1"/>
    <n v="1"/>
    <n v="1"/>
    <s v="Medium"/>
    <s v="Not Sensitive"/>
    <n v="0"/>
    <n v="4"/>
    <s v="Medium"/>
    <s v="Smartphone"/>
    <s v="Credit Card"/>
    <d v="2024-12-25T00:00:00"/>
    <b v="0"/>
    <b v="0"/>
    <s v="Impulsive"/>
    <x v="1"/>
    <n v="2"/>
  </r>
  <r>
    <x v="961"/>
    <n v="29"/>
    <s v="Female"/>
    <x v="1"/>
    <x v="3"/>
    <x v="0"/>
    <x v="1"/>
    <s v="Gävle"/>
    <s v="Clothing"/>
    <x v="952"/>
    <n v="3"/>
    <x v="0"/>
    <n v="4"/>
    <n v="5"/>
    <n v="1"/>
    <s v="High"/>
    <s v="Very Sensitive"/>
    <n v="2"/>
    <n v="6"/>
    <s v="Low"/>
    <s v="Tablet"/>
    <s v="PayPal"/>
    <d v="2024-01-11T00:00:00"/>
    <b v="1"/>
    <b v="1"/>
    <s v="Planned"/>
    <x v="2"/>
    <n v="10"/>
  </r>
  <r>
    <x v="962"/>
    <n v="29"/>
    <s v="Female"/>
    <x v="0"/>
    <x v="2"/>
    <x v="1"/>
    <x v="1"/>
    <s v="Tayabamba"/>
    <s v="Animal Feed"/>
    <x v="953"/>
    <n v="9"/>
    <x v="2"/>
    <n v="2"/>
    <n v="4"/>
    <n v="2"/>
    <s v="Low"/>
    <s v="Somewhat Sensitive"/>
    <n v="2"/>
    <n v="10"/>
    <s v="Low"/>
    <s v="Smartphone"/>
    <s v="PayPal"/>
    <d v="2024-07-29T00:00:00"/>
    <b v="0"/>
    <b v="1"/>
    <s v="Need-based"/>
    <x v="1"/>
    <n v="7"/>
  </r>
  <r>
    <x v="963"/>
    <n v="32"/>
    <s v="Female"/>
    <x v="1"/>
    <x v="1"/>
    <x v="2"/>
    <x v="1"/>
    <s v="Majennang"/>
    <s v="Baby Products"/>
    <x v="954"/>
    <n v="12"/>
    <x v="2"/>
    <n v="3"/>
    <n v="5"/>
    <n v="1"/>
    <s v="High"/>
    <s v="Somewhat Sensitive"/>
    <n v="2"/>
    <n v="5"/>
    <s v="Low"/>
    <s v="Tablet"/>
    <s v="PayPal"/>
    <d v="2024-01-11T00:00:00"/>
    <b v="1"/>
    <b v="1"/>
    <s v="Wants-based"/>
    <x v="2"/>
    <n v="13"/>
  </r>
  <r>
    <x v="964"/>
    <n v="39"/>
    <s v="Female"/>
    <x v="1"/>
    <x v="1"/>
    <x v="1"/>
    <x v="1"/>
    <s v="Njeru"/>
    <s v="Luxury Goods"/>
    <x v="955"/>
    <n v="12"/>
    <x v="1"/>
    <n v="1"/>
    <n v="5"/>
    <n v="2"/>
    <s v="None"/>
    <s v="Not Sensitive"/>
    <n v="2"/>
    <n v="2"/>
    <s v="Medium"/>
    <s v="Desktop"/>
    <s v="Credit Card"/>
    <d v="2024-07-30T00:00:00"/>
    <b v="0"/>
    <b v="1"/>
    <s v="Planned"/>
    <x v="0"/>
    <n v="8"/>
  </r>
  <r>
    <x v="965"/>
    <n v="22"/>
    <s v="Male"/>
    <x v="0"/>
    <x v="0"/>
    <x v="0"/>
    <x v="1"/>
    <s v="Ambatolaona"/>
    <s v="Travel &amp; Leisure (Flights"/>
    <x v="956"/>
    <n v="9"/>
    <x v="0"/>
    <n v="5"/>
    <n v="5"/>
    <n v="0"/>
    <s v="None"/>
    <s v="Not Sensitive"/>
    <n v="2"/>
    <n v="10"/>
    <s v="Medium"/>
    <s v="Desktop"/>
    <s v="Debit Card"/>
    <d v="2024-07-28T00:00:00"/>
    <b v="0"/>
    <b v="1"/>
    <s v="Wants-based"/>
    <x v="1"/>
    <n v="7"/>
  </r>
  <r>
    <x v="966"/>
    <n v="48"/>
    <s v="Male"/>
    <x v="0"/>
    <x v="3"/>
    <x v="2"/>
    <x v="1"/>
    <s v="Jianggang"/>
    <s v="Food &amp; Beverages"/>
    <x v="957"/>
    <n v="11"/>
    <x v="1"/>
    <n v="2"/>
    <n v="1"/>
    <n v="2"/>
    <s v="High"/>
    <s v="Not Sensitive"/>
    <n v="2"/>
    <n v="4"/>
    <s v="None"/>
    <s v="Smartphone"/>
    <s v="Cash"/>
    <d v="2024-11-11T00:00:00"/>
    <b v="1"/>
    <b v="1"/>
    <s v="Impulsive"/>
    <x v="2"/>
    <n v="8"/>
  </r>
  <r>
    <x v="967"/>
    <n v="29"/>
    <s v="Male"/>
    <x v="0"/>
    <x v="2"/>
    <x v="2"/>
    <x v="0"/>
    <s v="Langkou"/>
    <s v="Office Supplies"/>
    <x v="958"/>
    <n v="10"/>
    <x v="1"/>
    <n v="2"/>
    <n v="1"/>
    <n v="2"/>
    <s v="None"/>
    <s v="Somewhat Sensitive"/>
    <n v="2"/>
    <n v="4"/>
    <s v="High"/>
    <s v="Smartphone"/>
    <s v="Other"/>
    <d v="2024-10-25T00:00:00"/>
    <b v="0"/>
    <b v="1"/>
    <s v="Planned"/>
    <x v="0"/>
    <n v="5"/>
  </r>
  <r>
    <x v="968"/>
    <n v="41"/>
    <s v="Female"/>
    <x v="1"/>
    <x v="0"/>
    <x v="1"/>
    <x v="1"/>
    <s v="Horní Suchá"/>
    <s v="Animal Feed"/>
    <x v="959"/>
    <n v="6"/>
    <x v="2"/>
    <n v="3"/>
    <n v="2"/>
    <n v="0"/>
    <s v="None"/>
    <s v="Very Sensitive"/>
    <n v="2"/>
    <n v="9"/>
    <s v="Medium"/>
    <s v="Tablet"/>
    <s v="Cash"/>
    <d v="2024-09-20T00:00:00"/>
    <b v="0"/>
    <b v="0"/>
    <s v="Impulsive"/>
    <x v="1"/>
    <n v="5"/>
  </r>
  <r>
    <x v="969"/>
    <n v="50"/>
    <s v="Female"/>
    <x v="0"/>
    <x v="0"/>
    <x v="2"/>
    <x v="1"/>
    <s v="Haradok"/>
    <s v="Toys &amp; Games"/>
    <x v="373"/>
    <n v="7"/>
    <x v="2"/>
    <n v="3"/>
    <n v="5"/>
    <n v="1"/>
    <s v="Medium"/>
    <s v="Very Sensitive"/>
    <n v="1"/>
    <n v="10"/>
    <s v="Low"/>
    <s v="Tablet"/>
    <s v="Other"/>
    <d v="2024-10-22T00:00:00"/>
    <b v="1"/>
    <b v="0"/>
    <s v="Planned"/>
    <x v="1"/>
    <n v="5"/>
  </r>
  <r>
    <x v="970"/>
    <n v="48"/>
    <s v="Male"/>
    <x v="0"/>
    <x v="3"/>
    <x v="0"/>
    <x v="1"/>
    <s v="Vichuga"/>
    <s v="Health Supplements"/>
    <x v="960"/>
    <n v="7"/>
    <x v="1"/>
    <n v="1"/>
    <n v="1"/>
    <n v="1"/>
    <s v="High"/>
    <s v="Very Sensitive"/>
    <n v="0"/>
    <n v="2"/>
    <s v="High"/>
    <s v="Desktop"/>
    <s v="Debit Card"/>
    <d v="2024-09-09T00:00:00"/>
    <b v="1"/>
    <b v="0"/>
    <s v="Need-based"/>
    <x v="1"/>
    <n v="2"/>
  </r>
  <r>
    <x v="971"/>
    <n v="29"/>
    <s v="Female"/>
    <x v="1"/>
    <x v="3"/>
    <x v="2"/>
    <x v="1"/>
    <s v="Luci"/>
    <s v="Beauty &amp; Personal Care"/>
    <x v="961"/>
    <n v="5"/>
    <x v="0"/>
    <n v="4"/>
    <n v="5"/>
    <n v="1"/>
    <s v="High"/>
    <s v="Not Sensitive"/>
    <n v="0"/>
    <n v="2"/>
    <s v="Low"/>
    <s v="Tablet"/>
    <s v="Other"/>
    <d v="2024-07-17T00:00:00"/>
    <b v="1"/>
    <b v="0"/>
    <s v="Wants-based"/>
    <x v="0"/>
    <n v="7"/>
  </r>
  <r>
    <x v="972"/>
    <n v="36"/>
    <s v="Male"/>
    <x v="1"/>
    <x v="1"/>
    <x v="0"/>
    <x v="0"/>
    <s v="Guolemude"/>
    <s v="Hotels"/>
    <x v="962"/>
    <n v="9"/>
    <x v="2"/>
    <n v="2"/>
    <n v="2"/>
    <n v="0"/>
    <s v="Low"/>
    <s v="Not Sensitive"/>
    <n v="0"/>
    <n v="6"/>
    <s v="None"/>
    <s v="Desktop"/>
    <s v="Debit Card"/>
    <d v="2024-05-12T00:00:00"/>
    <b v="1"/>
    <b v="0"/>
    <s v="Impulsive"/>
    <x v="0"/>
    <n v="3"/>
  </r>
  <r>
    <x v="973"/>
    <n v="43"/>
    <s v="Male"/>
    <x v="1"/>
    <x v="3"/>
    <x v="1"/>
    <x v="0"/>
    <s v="Prengtale"/>
    <s v="Gardening &amp; Outdoors"/>
    <x v="963"/>
    <n v="3"/>
    <x v="2"/>
    <n v="4"/>
    <n v="1"/>
    <n v="1"/>
    <s v="None"/>
    <s v="Somewhat Sensitive"/>
    <n v="1"/>
    <n v="8"/>
    <s v="Low"/>
    <s v="Smartphone"/>
    <s v="Cash"/>
    <d v="2024-10-11T00:00:00"/>
    <b v="1"/>
    <b v="1"/>
    <s v="Planned"/>
    <x v="2"/>
    <n v="11"/>
  </r>
  <r>
    <x v="974"/>
    <n v="30"/>
    <s v="Male"/>
    <x v="1"/>
    <x v="2"/>
    <x v="0"/>
    <x v="1"/>
    <s v="Cabanas"/>
    <s v="Home Appliances"/>
    <x v="964"/>
    <n v="5"/>
    <x v="2"/>
    <n v="3"/>
    <n v="4"/>
    <n v="1"/>
    <s v="High"/>
    <s v="Very Sensitive"/>
    <n v="1"/>
    <n v="5"/>
    <s v="Low"/>
    <s v="Smartphone"/>
    <s v="Cash"/>
    <d v="2024-06-23T00:00:00"/>
    <b v="0"/>
    <b v="0"/>
    <s v="Impulsive"/>
    <x v="0"/>
    <n v="4"/>
  </r>
  <r>
    <x v="975"/>
    <n v="24"/>
    <s v="Male"/>
    <x v="1"/>
    <x v="0"/>
    <x v="2"/>
    <x v="1"/>
    <s v="Faīẕābād"/>
    <s v="Gardening &amp; Outdoors"/>
    <x v="965"/>
    <n v="9"/>
    <x v="2"/>
    <n v="3"/>
    <n v="1"/>
    <n v="0"/>
    <s v="Low"/>
    <s v="Not Sensitive"/>
    <n v="0"/>
    <n v="2"/>
    <s v="High"/>
    <s v="Desktop"/>
    <s v="Credit Card"/>
    <d v="2024-08-23T00:00:00"/>
    <b v="1"/>
    <b v="1"/>
    <s v="Need-based"/>
    <x v="2"/>
    <n v="10"/>
  </r>
  <r>
    <x v="976"/>
    <n v="30"/>
    <s v="Male"/>
    <x v="0"/>
    <x v="3"/>
    <x v="0"/>
    <x v="0"/>
    <s v="Sukumo"/>
    <s v="Toys &amp; Games"/>
    <x v="966"/>
    <n v="12"/>
    <x v="2"/>
    <n v="1"/>
    <n v="3"/>
    <n v="1"/>
    <s v="Medium"/>
    <s v="Very Sensitive"/>
    <n v="1"/>
    <n v="8"/>
    <s v="Low"/>
    <s v="Smartphone"/>
    <s v="PayPal"/>
    <d v="2024-02-15T00:00:00"/>
    <b v="1"/>
    <b v="0"/>
    <s v="Impulsive"/>
    <x v="0"/>
    <n v="7"/>
  </r>
  <r>
    <x v="977"/>
    <n v="37"/>
    <s v="Female"/>
    <x v="0"/>
    <x v="0"/>
    <x v="2"/>
    <x v="1"/>
    <s v="Fenglu"/>
    <s v="Jewelry &amp; Accessories"/>
    <x v="967"/>
    <n v="2"/>
    <x v="2"/>
    <n v="2"/>
    <n v="5"/>
    <n v="1"/>
    <s v="None"/>
    <s v="Very Sensitive"/>
    <n v="2"/>
    <n v="9"/>
    <s v="None"/>
    <s v="Tablet"/>
    <s v="Other"/>
    <d v="2024-01-10T00:00:00"/>
    <b v="0"/>
    <b v="0"/>
    <s v="Impulsive"/>
    <x v="0"/>
    <n v="11"/>
  </r>
  <r>
    <x v="978"/>
    <n v="40"/>
    <s v="Male"/>
    <x v="1"/>
    <x v="0"/>
    <x v="0"/>
    <x v="1"/>
    <s v="Tanjungbalai"/>
    <s v="Travel &amp; Leisure (Flights"/>
    <x v="968"/>
    <n v="9"/>
    <x v="0"/>
    <n v="5"/>
    <n v="5"/>
    <n v="2"/>
    <s v="Low"/>
    <s v="Somewhat Sensitive"/>
    <n v="1"/>
    <n v="3"/>
    <s v="None"/>
    <s v="Tablet"/>
    <s v="Credit Card"/>
    <d v="2024-11-18T00:00:00"/>
    <b v="1"/>
    <b v="0"/>
    <s v="Need-based"/>
    <x v="1"/>
    <n v="4"/>
  </r>
  <r>
    <x v="979"/>
    <n v="30"/>
    <s v="Female"/>
    <x v="0"/>
    <x v="3"/>
    <x v="2"/>
    <x v="1"/>
    <s v="Carrefour"/>
    <s v="Electronics"/>
    <x v="969"/>
    <n v="10"/>
    <x v="2"/>
    <n v="4"/>
    <n v="5"/>
    <n v="1"/>
    <s v="Medium"/>
    <s v="Not Sensitive"/>
    <n v="0"/>
    <n v="1"/>
    <s v="Low"/>
    <s v="Desktop"/>
    <s v="Other"/>
    <d v="2024-05-10T00:00:00"/>
    <b v="1"/>
    <b v="0"/>
    <s v="Planned"/>
    <x v="2"/>
    <n v="1"/>
  </r>
  <r>
    <x v="980"/>
    <n v="39"/>
    <s v="Female"/>
    <x v="0"/>
    <x v="0"/>
    <x v="0"/>
    <x v="0"/>
    <s v="Tewulike"/>
    <s v="Electronics"/>
    <x v="970"/>
    <n v="9"/>
    <x v="0"/>
    <n v="1"/>
    <n v="5"/>
    <n v="1"/>
    <s v="Low"/>
    <s v="Somewhat Sensitive"/>
    <n v="1"/>
    <n v="1"/>
    <s v="High"/>
    <s v="Smartphone"/>
    <s v="PayPal"/>
    <d v="2024-09-18T00:00:00"/>
    <b v="1"/>
    <b v="1"/>
    <s v="Impulsive"/>
    <x v="0"/>
    <n v="1"/>
  </r>
  <r>
    <x v="981"/>
    <n v="46"/>
    <s v="Female"/>
    <x v="1"/>
    <x v="2"/>
    <x v="2"/>
    <x v="1"/>
    <s v="Hejiang"/>
    <s v="Mobile Accessories"/>
    <x v="971"/>
    <n v="8"/>
    <x v="0"/>
    <n v="2"/>
    <n v="1"/>
    <n v="1"/>
    <s v="None"/>
    <s v="Very Sensitive"/>
    <n v="2"/>
    <n v="6"/>
    <s v="None"/>
    <s v="Smartphone"/>
    <s v="Cash"/>
    <d v="2024-04-14T00:00:00"/>
    <b v="0"/>
    <b v="1"/>
    <s v="Planned"/>
    <x v="1"/>
    <n v="5"/>
  </r>
  <r>
    <x v="982"/>
    <n v="48"/>
    <s v="Male"/>
    <x v="0"/>
    <x v="3"/>
    <x v="2"/>
    <x v="1"/>
    <s v="Yaizu"/>
    <s v="Books"/>
    <x v="972"/>
    <n v="6"/>
    <x v="2"/>
    <n v="4"/>
    <n v="1"/>
    <n v="2"/>
    <s v="Low"/>
    <s v="Not Sensitive"/>
    <n v="1"/>
    <n v="8"/>
    <s v="Medium"/>
    <s v="Desktop"/>
    <s v="Other"/>
    <d v="2024-03-06T00:00:00"/>
    <b v="0"/>
    <b v="0"/>
    <s v="Impulsive"/>
    <x v="1"/>
    <n v="11"/>
  </r>
  <r>
    <x v="983"/>
    <n v="20"/>
    <s v="Female"/>
    <x v="1"/>
    <x v="2"/>
    <x v="1"/>
    <x v="0"/>
    <s v="Kembé"/>
    <s v="Hotels"/>
    <x v="973"/>
    <n v="8"/>
    <x v="1"/>
    <n v="3"/>
    <n v="1"/>
    <n v="2"/>
    <s v="High"/>
    <s v="Not Sensitive"/>
    <n v="1"/>
    <n v="3"/>
    <s v="Low"/>
    <s v="Tablet"/>
    <s v="Other"/>
    <d v="2024-04-19T00:00:00"/>
    <b v="0"/>
    <b v="0"/>
    <s v="Planned"/>
    <x v="2"/>
    <n v="10"/>
  </r>
  <r>
    <x v="984"/>
    <n v="34"/>
    <s v="Male"/>
    <x v="1"/>
    <x v="0"/>
    <x v="0"/>
    <x v="0"/>
    <s v="Novokayakent"/>
    <s v="Electronics"/>
    <x v="974"/>
    <n v="2"/>
    <x v="0"/>
    <n v="5"/>
    <n v="1"/>
    <n v="2"/>
    <s v="None"/>
    <s v="Somewhat Sensitive"/>
    <n v="0"/>
    <n v="5"/>
    <s v="High"/>
    <s v="Smartphone"/>
    <s v="Credit Card"/>
    <d v="2024-02-29T00:00:00"/>
    <b v="1"/>
    <b v="1"/>
    <s v="Impulsive"/>
    <x v="1"/>
    <n v="3"/>
  </r>
  <r>
    <x v="985"/>
    <n v="50"/>
    <s v="Female"/>
    <x v="0"/>
    <x v="1"/>
    <x v="2"/>
    <x v="1"/>
    <s v="Hekou"/>
    <s v="Software &amp; Apps"/>
    <x v="975"/>
    <n v="2"/>
    <x v="0"/>
    <n v="5"/>
    <n v="5"/>
    <n v="0"/>
    <s v="None"/>
    <s v="Very Sensitive"/>
    <n v="1"/>
    <n v="1"/>
    <s v="Medium"/>
    <s v="Desktop"/>
    <s v="Cash"/>
    <d v="2024-01-22T00:00:00"/>
    <b v="0"/>
    <b v="1"/>
    <s v="Need-based"/>
    <x v="2"/>
    <n v="14"/>
  </r>
  <r>
    <x v="986"/>
    <n v="25"/>
    <s v="Male"/>
    <x v="0"/>
    <x v="1"/>
    <x v="1"/>
    <x v="1"/>
    <s v="Bailadores"/>
    <s v="Electronics"/>
    <x v="653"/>
    <n v="3"/>
    <x v="0"/>
    <n v="2"/>
    <n v="1"/>
    <n v="2"/>
    <s v="Medium"/>
    <s v="Not Sensitive"/>
    <n v="0"/>
    <n v="8"/>
    <s v="High"/>
    <s v="Desktop"/>
    <s v="Debit Card"/>
    <d v="2024-01-18T00:00:00"/>
    <b v="1"/>
    <b v="1"/>
    <s v="Wants-based"/>
    <x v="1"/>
    <n v="14"/>
  </r>
  <r>
    <x v="987"/>
    <n v="49"/>
    <s v="Male"/>
    <x v="0"/>
    <x v="1"/>
    <x v="0"/>
    <x v="1"/>
    <s v="Masuda"/>
    <s v="Home Appliances"/>
    <x v="976"/>
    <n v="7"/>
    <x v="2"/>
    <n v="4"/>
    <n v="2"/>
    <n v="0.2"/>
    <s v="Low"/>
    <s v="Not Sensitive"/>
    <n v="0"/>
    <n v="4"/>
    <s v="Low"/>
    <s v="Tablet"/>
    <s v="Other"/>
    <d v="2024-09-30T00:00:00"/>
    <b v="1"/>
    <b v="1"/>
    <s v="Planned"/>
    <x v="1"/>
    <n v="6"/>
  </r>
  <r>
    <x v="988"/>
    <n v="25"/>
    <s v="Female"/>
    <x v="1"/>
    <x v="3"/>
    <x v="0"/>
    <x v="1"/>
    <s v="Martanesh"/>
    <s v="Health Supplements"/>
    <x v="977"/>
    <n v="11"/>
    <x v="0"/>
    <n v="3"/>
    <n v="4"/>
    <n v="2"/>
    <s v="Low"/>
    <s v="Very Sensitive"/>
    <n v="0"/>
    <n v="3"/>
    <s v="Low"/>
    <s v="Desktop"/>
    <s v="Cash"/>
    <d v="2024-04-27T00:00:00"/>
    <b v="1"/>
    <b v="1"/>
    <s v="Impulsive"/>
    <x v="2"/>
    <n v="7"/>
  </r>
  <r>
    <x v="989"/>
    <n v="40"/>
    <s v="Female"/>
    <x v="1"/>
    <x v="2"/>
    <x v="1"/>
    <x v="1"/>
    <s v="Xinzhou"/>
    <s v="Jewelry &amp; Accessories"/>
    <x v="978"/>
    <n v="9"/>
    <x v="1"/>
    <n v="2"/>
    <n v="5"/>
    <n v="1"/>
    <s v="None"/>
    <s v="Somewhat Sensitive"/>
    <n v="0"/>
    <n v="6"/>
    <s v="None"/>
    <s v="Smartphone"/>
    <s v="Cash"/>
    <d v="2024-03-10T00:00:00"/>
    <b v="0"/>
    <b v="0"/>
    <s v="Wants-based"/>
    <x v="0"/>
    <n v="8"/>
  </r>
  <r>
    <x v="990"/>
    <n v="19"/>
    <s v="Female"/>
    <x v="1"/>
    <x v="2"/>
    <x v="0"/>
    <x v="1"/>
    <s v="Nanfeng"/>
    <s v="Toys &amp; Games"/>
    <x v="979"/>
    <n v="5"/>
    <x v="2"/>
    <n v="3"/>
    <n v="3"/>
    <n v="1"/>
    <s v="Low"/>
    <s v="Not Sensitive"/>
    <n v="0"/>
    <n v="4"/>
    <s v="None"/>
    <s v="Desktop"/>
    <s v="PayPal"/>
    <d v="2024-10-12T00:00:00"/>
    <b v="1"/>
    <b v="0"/>
    <s v="Wants-based"/>
    <x v="2"/>
    <n v="12"/>
  </r>
  <r>
    <x v="991"/>
    <n v="40"/>
    <s v="Bigender"/>
    <x v="1"/>
    <x v="1"/>
    <x v="0"/>
    <x v="1"/>
    <s v="Oke Ila"/>
    <s v="Baby Products"/>
    <x v="980"/>
    <n v="11"/>
    <x v="2"/>
    <n v="2"/>
    <n v="5"/>
    <n v="2"/>
    <s v="Medium"/>
    <s v="Not Sensitive"/>
    <n v="0"/>
    <n v="7"/>
    <s v="Medium"/>
    <s v="Smartphone"/>
    <s v="Debit Card"/>
    <d v="2024-05-21T00:00:00"/>
    <b v="0"/>
    <b v="1"/>
    <s v="Need-based"/>
    <x v="2"/>
    <n v="12"/>
  </r>
  <r>
    <x v="992"/>
    <n v="22"/>
    <s v="Female"/>
    <x v="1"/>
    <x v="1"/>
    <x v="1"/>
    <x v="0"/>
    <s v="Rio Pardo"/>
    <s v="Groceries"/>
    <x v="981"/>
    <n v="5"/>
    <x v="2"/>
    <n v="2"/>
    <n v="1"/>
    <n v="1"/>
    <s v="None"/>
    <s v="Not Sensitive"/>
    <n v="0"/>
    <n v="1"/>
    <s v="None"/>
    <s v="Smartphone"/>
    <s v="Debit Card"/>
    <d v="2024-01-10T00:00:00"/>
    <b v="1"/>
    <b v="1"/>
    <s v="Impulsive"/>
    <x v="2"/>
    <n v="6"/>
  </r>
  <r>
    <x v="993"/>
    <n v="25"/>
    <s v="Female"/>
    <x v="1"/>
    <x v="3"/>
    <x v="1"/>
    <x v="0"/>
    <s v="Pingtang"/>
    <s v="Luxury Goods"/>
    <x v="982"/>
    <n v="7"/>
    <x v="0"/>
    <n v="4"/>
    <n v="2"/>
    <n v="1"/>
    <s v="Low"/>
    <s v="Very Sensitive"/>
    <n v="2"/>
    <n v="3"/>
    <s v="Low"/>
    <s v="Smartphone"/>
    <s v="Other"/>
    <d v="2024-05-07T00:00:00"/>
    <b v="0"/>
    <b v="0"/>
    <s v="Need-based"/>
    <x v="0"/>
    <n v="3"/>
  </r>
  <r>
    <x v="994"/>
    <n v="32"/>
    <s v="Female"/>
    <x v="1"/>
    <x v="3"/>
    <x v="2"/>
    <x v="0"/>
    <s v="Podbrdo"/>
    <s v="Baby Products"/>
    <x v="983"/>
    <n v="8"/>
    <x v="2"/>
    <n v="3"/>
    <n v="5"/>
    <n v="1"/>
    <s v="Low"/>
    <s v="Somewhat Sensitive"/>
    <n v="1"/>
    <n v="5"/>
    <s v="High"/>
    <s v="Desktop"/>
    <s v="Credit Card"/>
    <d v="2024-01-22T00:00:00"/>
    <b v="0"/>
    <b v="0"/>
    <s v="Planned"/>
    <x v="1"/>
    <n v="2"/>
  </r>
  <r>
    <x v="995"/>
    <n v="44"/>
    <s v="Female"/>
    <x v="1"/>
    <x v="3"/>
    <x v="0"/>
    <x v="1"/>
    <s v="Aramayuan"/>
    <s v="Mobile Accessories"/>
    <x v="984"/>
    <n v="5"/>
    <x v="2"/>
    <n v="2"/>
    <n v="4"/>
    <n v="0.3"/>
    <s v="High"/>
    <s v="Not Sensitive"/>
    <n v="2"/>
    <n v="4"/>
    <s v="None"/>
    <s v="Tablet"/>
    <s v="PayPal"/>
    <d v="2024-07-07T00:00:00"/>
    <b v="1"/>
    <b v="0"/>
    <s v="Need-based"/>
    <x v="1"/>
    <n v="5"/>
  </r>
  <r>
    <x v="996"/>
    <n v="50"/>
    <s v="Female"/>
    <x v="1"/>
    <x v="1"/>
    <x v="1"/>
    <x v="0"/>
    <s v="Paquera"/>
    <s v="Gardening &amp; Outdoors"/>
    <x v="985"/>
    <n v="9"/>
    <x v="0"/>
    <n v="4"/>
    <n v="3"/>
    <n v="2"/>
    <s v="Low"/>
    <s v="Very Sensitive"/>
    <n v="0"/>
    <n v="6"/>
    <s v="Low"/>
    <s v="Tablet"/>
    <s v="Cash"/>
    <d v="2024-03-28T00:00:00"/>
    <b v="1"/>
    <b v="0"/>
    <s v="Wants-based"/>
    <x v="0"/>
    <n v="9"/>
  </r>
  <r>
    <x v="997"/>
    <n v="26"/>
    <s v="Male"/>
    <x v="1"/>
    <x v="0"/>
    <x v="0"/>
    <x v="1"/>
    <s v="Warudoyong"/>
    <s v="Food &amp; Beverages"/>
    <x v="986"/>
    <n v="10"/>
    <x v="0"/>
    <n v="1"/>
    <n v="1"/>
    <n v="2"/>
    <s v="Low"/>
    <s v="Very Sensitive"/>
    <n v="0"/>
    <n v="6"/>
    <s v="High"/>
    <s v="Desktop"/>
    <s v="Credit Card"/>
    <d v="2024-03-11T00:00:00"/>
    <b v="1"/>
    <b v="1"/>
    <s v="Wants-based"/>
    <x v="2"/>
    <n v="9"/>
  </r>
  <r>
    <x v="998"/>
    <n v="21"/>
    <s v="Female"/>
    <x v="1"/>
    <x v="2"/>
    <x v="0"/>
    <x v="0"/>
    <s v="Béziers"/>
    <s v="Baby Products"/>
    <x v="987"/>
    <n v="12"/>
    <x v="1"/>
    <n v="4"/>
    <n v="4"/>
    <n v="0.3"/>
    <s v="Low"/>
    <s v="Somewhat Sensitive"/>
    <n v="0"/>
    <n v="5"/>
    <s v="Medium"/>
    <s v="Desktop"/>
    <s v="Cash"/>
    <d v="2024-03-30T00:00:00"/>
    <b v="1"/>
    <b v="1"/>
    <s v="Impulsive"/>
    <x v="1"/>
    <n v="8"/>
  </r>
  <r>
    <x v="999"/>
    <n v="21"/>
    <s v="Female"/>
    <x v="0"/>
    <x v="1"/>
    <x v="1"/>
    <x v="1"/>
    <s v="Dongzhou"/>
    <s v="Health Care"/>
    <x v="988"/>
    <n v="6"/>
    <x v="2"/>
    <n v="5"/>
    <n v="2"/>
    <n v="0.33"/>
    <s v="Medium"/>
    <s v="Not Sensitive"/>
    <n v="1"/>
    <n v="10"/>
    <s v="Low"/>
    <s v="Tablet"/>
    <s v="Other"/>
    <d v="2024-12-08T00:00:00"/>
    <b v="0"/>
    <b v="0"/>
    <s v="Planned"/>
    <x v="2"/>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1E4CDE-BCC6-4A39-9311-77FF9D30F8E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7:K8" firstHeaderRow="1" firstDataRow="1" firstDataCol="0"/>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Total Product_Rating" fld="13" baseField="0" baseItem="0"/>
  </dataFields>
  <formats count="3">
    <format dxfId="8">
      <pivotArea type="all" dataOnly="0" outline="0" fieldPosition="0"/>
    </format>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28AE4B3-A5F9-4CE6-A3F9-CA5CD267C4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0:C14" firstHeaderRow="1" firstDataRow="1" firstDataCol="1"/>
  <pivotFields count="28">
    <pivotField showAll="0"/>
    <pivotField showAll="0"/>
    <pivotField showAll="0"/>
    <pivotField showAll="0"/>
    <pivotField showAll="0"/>
    <pivotField axis="axisRow" showAll="0">
      <items count="4">
        <item x="0"/>
        <item x="1"/>
        <item x="2"/>
        <item t="default"/>
      </items>
    </pivotField>
    <pivotField showAll="0"/>
    <pivotField showAll="0"/>
    <pivotField showAll="0"/>
    <pivotField dataField="1" showAll="0"/>
    <pivotField showAll="0"/>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Fields count="1">
    <field x="5"/>
  </rowFields>
  <rowItems count="4">
    <i>
      <x/>
    </i>
    <i>
      <x v="1"/>
    </i>
    <i>
      <x v="2"/>
    </i>
    <i t="grand">
      <x/>
    </i>
  </rowItems>
  <colItems count="1">
    <i/>
  </colItems>
  <dataFields count="1">
    <dataField name="Sum of Purchase_Amount" fld="9"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5" count="1" selected="0">
            <x v="0"/>
          </reference>
        </references>
      </pivotArea>
    </chartFormat>
    <chartFormat chart="4" format="7">
      <pivotArea type="data" outline="0" fieldPosition="0">
        <references count="2">
          <reference field="4294967294" count="1" selected="0">
            <x v="0"/>
          </reference>
          <reference field="5" count="1" selected="0">
            <x v="1"/>
          </reference>
        </references>
      </pivotArea>
    </chartFormat>
    <chartFormat chart="4"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2A41E0-F5D5-44D0-BC7B-B82B66562CA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M3" firstHeaderRow="1" firstDataRow="1" firstDataCol="0"/>
  <pivotFields count="28">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Total Purchase_Amount" fld="9" baseField="0" baseItem="0"/>
  </dataFields>
  <formats count="6">
    <format dxfId="14">
      <pivotArea type="all" dataOnly="0" outline="0" fieldPosition="0"/>
    </format>
    <format dxfId="13">
      <pivotArea outline="0" collapsedLevelsAreSubtotals="1" fieldPosition="0"/>
    </format>
    <format dxfId="12">
      <pivotArea dataOnly="0" labelOnly="1" outline="0" axis="axisValues" fieldPosition="0"/>
    </format>
    <format dxfId="11">
      <pivotArea type="all" dataOnly="0" outline="0" fieldPosition="0"/>
    </format>
    <format dxfId="10">
      <pivotArea outline="0" collapsedLevelsAreSubtotals="1" fieldPosition="0"/>
    </format>
    <format dxfId="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DB5471-03B0-4E2A-968D-CD8C230E8D4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2:G7" firstHeaderRow="1" firstDataRow="1" firstDataCol="1"/>
  <pivotFields count="28">
    <pivotField showAll="0"/>
    <pivotField showAll="0"/>
    <pivotField showAll="0"/>
    <pivotField showAll="0">
      <items count="3">
        <item x="1"/>
        <item x="0"/>
        <item t="default"/>
      </items>
    </pivotField>
    <pivotField axis="axisRow" showAll="0">
      <items count="5">
        <item x="3"/>
        <item x="0"/>
        <item x="1"/>
        <item x="2"/>
        <item t="default"/>
      </items>
    </pivotField>
    <pivotField showAll="0"/>
    <pivotField showAll="0">
      <items count="3">
        <item x="1"/>
        <item x="0"/>
        <item t="default"/>
      </items>
    </pivotField>
    <pivotField showAll="0"/>
    <pivotField showAll="0"/>
    <pivotField dataField="1" showAll="0"/>
    <pivotField showAll="0"/>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Sum of Purchase_Amount" fld="9"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72803D9-DC37-4A34-BA18-F0122D4C077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2:C5" firstHeaderRow="1" firstDataRow="1" firstDataCol="1"/>
  <pivotFields count="28">
    <pivotField showAll="0"/>
    <pivotField showAll="0"/>
    <pivotField showAll="0"/>
    <pivotField showAll="0"/>
    <pivotField showAll="0">
      <items count="5">
        <item x="3"/>
        <item x="0"/>
        <item x="1"/>
        <item x="2"/>
        <item t="default"/>
      </items>
    </pivotField>
    <pivotField showAll="0">
      <items count="4">
        <item x="0"/>
        <item x="1"/>
        <item x="2"/>
        <item t="default"/>
      </items>
    </pivotField>
    <pivotField axis="axisRow" showAll="0">
      <items count="3">
        <item x="1"/>
        <item x="0"/>
        <item t="default"/>
      </items>
    </pivotField>
    <pivotField showAll="0"/>
    <pivotField showAll="0"/>
    <pivotField dataField="1" showAll="0">
      <items count="990">
        <item x="242"/>
        <item x="585"/>
        <item x="380"/>
        <item x="47"/>
        <item x="610"/>
        <item x="947"/>
        <item x="858"/>
        <item x="35"/>
        <item x="824"/>
        <item x="720"/>
        <item x="212"/>
        <item x="338"/>
        <item x="265"/>
        <item x="41"/>
        <item x="179"/>
        <item x="853"/>
        <item x="656"/>
        <item x="718"/>
        <item x="21"/>
        <item x="227"/>
        <item x="786"/>
        <item x="181"/>
        <item x="882"/>
        <item x="479"/>
        <item x="543"/>
        <item x="125"/>
        <item x="14"/>
        <item x="792"/>
        <item x="721"/>
        <item x="755"/>
        <item x="12"/>
        <item x="429"/>
        <item x="621"/>
        <item x="369"/>
        <item x="538"/>
        <item x="317"/>
        <item x="506"/>
        <item x="391"/>
        <item x="209"/>
        <item x="902"/>
        <item x="418"/>
        <item x="368"/>
        <item x="480"/>
        <item x="235"/>
        <item x="272"/>
        <item x="434"/>
        <item x="332"/>
        <item x="985"/>
        <item x="709"/>
        <item x="738"/>
        <item x="177"/>
        <item x="954"/>
        <item x="377"/>
        <item x="194"/>
        <item x="450"/>
        <item x="467"/>
        <item x="277"/>
        <item x="257"/>
        <item x="865"/>
        <item x="420"/>
        <item x="861"/>
        <item x="515"/>
        <item x="45"/>
        <item x="348"/>
        <item x="134"/>
        <item x="155"/>
        <item x="953"/>
        <item x="784"/>
        <item x="411"/>
        <item x="698"/>
        <item x="81"/>
        <item x="171"/>
        <item x="655"/>
        <item x="587"/>
        <item x="13"/>
        <item x="210"/>
        <item x="918"/>
        <item x="693"/>
        <item x="651"/>
        <item x="27"/>
        <item x="706"/>
        <item x="951"/>
        <item x="847"/>
        <item x="852"/>
        <item x="622"/>
        <item x="726"/>
        <item x="650"/>
        <item x="753"/>
        <item x="615"/>
        <item x="736"/>
        <item x="440"/>
        <item x="135"/>
        <item x="453"/>
        <item x="872"/>
        <item x="85"/>
        <item x="499"/>
        <item x="402"/>
        <item x="617"/>
        <item x="525"/>
        <item x="799"/>
        <item x="405"/>
        <item x="162"/>
        <item x="981"/>
        <item x="869"/>
        <item x="389"/>
        <item x="580"/>
        <item x="253"/>
        <item x="782"/>
        <item x="427"/>
        <item x="417"/>
        <item x="890"/>
        <item x="956"/>
        <item x="600"/>
        <item x="214"/>
        <item x="199"/>
        <item x="133"/>
        <item x="648"/>
        <item x="187"/>
        <item x="3"/>
        <item x="175"/>
        <item x="157"/>
        <item x="633"/>
        <item x="608"/>
        <item x="185"/>
        <item x="234"/>
        <item x="802"/>
        <item x="330"/>
        <item x="930"/>
        <item x="884"/>
        <item x="555"/>
        <item x="817"/>
        <item x="987"/>
        <item x="619"/>
        <item x="838"/>
        <item x="371"/>
        <item x="649"/>
        <item x="441"/>
        <item x="91"/>
        <item x="15"/>
        <item x="727"/>
        <item x="549"/>
        <item x="44"/>
        <item x="51"/>
        <item x="252"/>
        <item x="75"/>
        <item x="86"/>
        <item x="223"/>
        <item x="168"/>
        <item x="335"/>
        <item x="711"/>
        <item x="267"/>
        <item x="82"/>
        <item x="548"/>
        <item x="541"/>
        <item x="624"/>
        <item x="261"/>
        <item x="545"/>
        <item x="959"/>
        <item x="857"/>
        <item x="683"/>
        <item x="180"/>
        <item x="629"/>
        <item x="83"/>
        <item x="361"/>
        <item x="382"/>
        <item x="699"/>
        <item x="770"/>
        <item x="448"/>
        <item x="259"/>
        <item x="533"/>
        <item x="154"/>
        <item x="732"/>
        <item x="652"/>
        <item x="315"/>
        <item x="507"/>
        <item x="716"/>
        <item x="149"/>
        <item x="424"/>
        <item x="493"/>
        <item x="167"/>
        <item x="877"/>
        <item x="221"/>
        <item x="879"/>
        <item x="688"/>
        <item x="588"/>
        <item x="464"/>
        <item x="243"/>
        <item x="661"/>
        <item x="638"/>
        <item x="763"/>
        <item x="435"/>
        <item x="814"/>
        <item x="28"/>
        <item x="776"/>
        <item x="87"/>
        <item x="25"/>
        <item x="928"/>
        <item x="783"/>
        <item x="164"/>
        <item x="345"/>
        <item x="641"/>
        <item x="34"/>
        <item x="207"/>
        <item x="264"/>
        <item x="159"/>
        <item x="828"/>
        <item x="504"/>
        <item x="963"/>
        <item x="224"/>
        <item x="564"/>
        <item x="505"/>
        <item x="188"/>
        <item x="713"/>
        <item x="581"/>
        <item x="201"/>
        <item x="643"/>
        <item x="293"/>
        <item x="141"/>
        <item x="372"/>
        <item x="705"/>
        <item x="978"/>
        <item x="283"/>
        <item x="767"/>
        <item x="198"/>
        <item x="829"/>
        <item x="532"/>
        <item x="602"/>
        <item x="701"/>
        <item x="535"/>
        <item x="752"/>
        <item x="668"/>
        <item x="892"/>
        <item x="254"/>
        <item x="365"/>
        <item x="297"/>
        <item x="714"/>
        <item x="387"/>
        <item x="575"/>
        <item x="366"/>
        <item x="977"/>
        <item x="586"/>
        <item x="845"/>
        <item x="801"/>
        <item x="100"/>
        <item x="206"/>
        <item x="888"/>
        <item x="281"/>
        <item x="687"/>
        <item x="894"/>
        <item x="476"/>
        <item x="579"/>
        <item x="114"/>
        <item x="598"/>
        <item x="113"/>
        <item x="562"/>
        <item x="556"/>
        <item x="107"/>
        <item x="104"/>
        <item x="321"/>
        <item x="136"/>
        <item x="616"/>
        <item x="226"/>
        <item x="59"/>
        <item x="684"/>
        <item x="526"/>
        <item x="573"/>
        <item x="889"/>
        <item x="53"/>
        <item x="863"/>
        <item x="258"/>
        <item x="518"/>
        <item x="316"/>
        <item x="472"/>
        <item x="830"/>
        <item x="56"/>
        <item x="195"/>
        <item x="442"/>
        <item x="933"/>
        <item x="832"/>
        <item x="497"/>
        <item x="469"/>
        <item x="708"/>
        <item x="102"/>
        <item x="93"/>
        <item x="733"/>
        <item x="347"/>
        <item x="414"/>
        <item x="723"/>
        <item x="975"/>
        <item x="826"/>
        <item x="917"/>
        <item x="728"/>
        <item x="470"/>
        <item x="307"/>
        <item x="228"/>
        <item x="360"/>
        <item x="342"/>
        <item x="337"/>
        <item x="129"/>
        <item x="856"/>
        <item x="276"/>
        <item x="490"/>
        <item x="851"/>
        <item x="626"/>
        <item x="772"/>
        <item x="238"/>
        <item x="883"/>
        <item x="927"/>
        <item x="454"/>
        <item x="601"/>
        <item x="200"/>
        <item x="750"/>
        <item x="145"/>
        <item x="806"/>
        <item x="397"/>
        <item x="89"/>
        <item x="508"/>
        <item x="771"/>
        <item x="836"/>
        <item x="674"/>
        <item x="165"/>
        <item x="436"/>
        <item x="72"/>
        <item x="940"/>
        <item x="653"/>
        <item x="846"/>
        <item x="398"/>
        <item x="343"/>
        <item x="577"/>
        <item x="273"/>
        <item x="475"/>
        <item x="866"/>
        <item x="260"/>
        <item x="522"/>
        <item x="8"/>
        <item x="935"/>
        <item x="239"/>
        <item x="914"/>
        <item x="303"/>
        <item x="895"/>
        <item x="805"/>
        <item x="170"/>
        <item x="118"/>
        <item x="979"/>
        <item x="849"/>
        <item x="740"/>
        <item x="333"/>
        <item x="962"/>
        <item x="314"/>
        <item x="503"/>
        <item x="561"/>
        <item x="974"/>
        <item x="582"/>
        <item x="599"/>
        <item x="197"/>
        <item x="681"/>
        <item x="474"/>
        <item x="595"/>
        <item x="95"/>
        <item x="969"/>
        <item x="4"/>
        <item x="246"/>
        <item x="456"/>
        <item x="443"/>
        <item x="715"/>
        <item x="78"/>
        <item x="278"/>
        <item x="754"/>
        <item x="785"/>
        <item x="341"/>
        <item x="84"/>
        <item x="399"/>
        <item x="860"/>
        <item x="822"/>
        <item x="631"/>
        <item x="530"/>
        <item x="7"/>
        <item x="596"/>
        <item x="762"/>
        <item x="502"/>
        <item x="768"/>
        <item x="230"/>
        <item x="905"/>
        <item x="1"/>
        <item x="632"/>
        <item x="376"/>
        <item x="66"/>
        <item x="495"/>
        <item x="730"/>
        <item x="182"/>
        <item x="745"/>
        <item x="823"/>
        <item x="126"/>
        <item x="761"/>
        <item x="627"/>
        <item x="150"/>
        <item x="48"/>
        <item x="205"/>
        <item x="458"/>
        <item x="191"/>
        <item x="304"/>
        <item x="779"/>
        <item x="800"/>
        <item x="760"/>
        <item x="215"/>
        <item x="512"/>
        <item x="430"/>
        <item x="891"/>
        <item x="672"/>
        <item x="455"/>
        <item x="357"/>
        <item x="137"/>
        <item x="887"/>
        <item x="320"/>
        <item x="899"/>
        <item x="521"/>
        <item x="17"/>
        <item x="690"/>
        <item x="383"/>
        <item x="660"/>
        <item x="11"/>
        <item x="603"/>
        <item x="298"/>
        <item x="57"/>
        <item x="299"/>
        <item x="955"/>
        <item x="566"/>
        <item x="326"/>
        <item x="774"/>
        <item x="925"/>
        <item x="571"/>
        <item x="964"/>
        <item x="867"/>
        <item x="251"/>
        <item x="138"/>
        <item x="385"/>
        <item x="827"/>
        <item x="781"/>
        <item x="457"/>
        <item x="492"/>
        <item x="834"/>
        <item x="241"/>
        <item x="109"/>
        <item x="777"/>
        <item x="166"/>
        <item x="790"/>
        <item x="567"/>
        <item x="282"/>
        <item x="696"/>
        <item x="112"/>
        <item x="274"/>
        <item x="912"/>
        <item x="965"/>
        <item x="393"/>
        <item x="870"/>
        <item x="821"/>
        <item x="24"/>
        <item x="885"/>
        <item x="120"/>
        <item x="937"/>
        <item x="520"/>
        <item x="217"/>
        <item x="419"/>
        <item x="292"/>
        <item x="657"/>
        <item x="172"/>
        <item x="42"/>
        <item x="117"/>
        <item x="694"/>
        <item x="123"/>
        <item x="916"/>
        <item x="915"/>
        <item x="646"/>
        <item x="308"/>
        <item x="404"/>
        <item x="37"/>
        <item x="240"/>
        <item x="922"/>
        <item x="881"/>
        <item x="381"/>
        <item x="378"/>
        <item x="344"/>
        <item x="944"/>
        <item x="349"/>
        <item x="169"/>
        <item x="208"/>
        <item x="116"/>
        <item x="517"/>
        <item x="98"/>
        <item x="358"/>
        <item x="350"/>
        <item x="559"/>
        <item x="513"/>
        <item x="746"/>
        <item x="219"/>
        <item x="957"/>
        <item x="189"/>
        <item x="237"/>
        <item x="569"/>
        <item x="211"/>
        <item x="906"/>
        <item x="628"/>
        <item x="222"/>
        <item x="451"/>
        <item x="481"/>
        <item x="178"/>
        <item x="327"/>
        <item x="794"/>
        <item x="731"/>
        <item x="32"/>
        <item x="751"/>
        <item x="340"/>
        <item x="795"/>
        <item x="609"/>
        <item x="64"/>
        <item x="578"/>
        <item x="637"/>
        <item x="554"/>
        <item x="396"/>
        <item x="864"/>
        <item x="900"/>
        <item x="255"/>
        <item x="392"/>
        <item x="848"/>
        <item x="231"/>
        <item x="174"/>
        <item x="913"/>
        <item x="607"/>
        <item x="43"/>
        <item x="613"/>
        <item x="855"/>
        <item x="686"/>
        <item x="724"/>
        <item x="202"/>
        <item x="843"/>
        <item x="931"/>
        <item x="536"/>
        <item x="286"/>
        <item x="808"/>
        <item x="296"/>
        <item x="323"/>
        <item x="74"/>
        <item x="142"/>
        <item x="926"/>
        <item x="654"/>
        <item x="527"/>
        <item x="52"/>
        <item x="589"/>
        <item x="949"/>
        <item x="592"/>
        <item x="620"/>
        <item x="192"/>
        <item x="425"/>
        <item x="295"/>
        <item x="300"/>
        <item x="748"/>
        <item x="364"/>
        <item x="967"/>
        <item x="775"/>
        <item x="363"/>
        <item x="788"/>
        <item x="122"/>
        <item x="203"/>
        <item x="268"/>
        <item x="695"/>
        <item x="604"/>
        <item x="152"/>
        <item x="700"/>
        <item x="153"/>
        <item x="980"/>
        <item x="862"/>
        <item x="140"/>
        <item x="971"/>
        <item x="948"/>
        <item x="58"/>
        <item x="550"/>
        <item x="612"/>
        <item x="294"/>
        <item x="367"/>
        <item x="594"/>
        <item x="758"/>
        <item x="896"/>
        <item x="749"/>
        <item x="958"/>
        <item x="431"/>
        <item x="590"/>
        <item x="710"/>
        <item x="248"/>
        <item x="868"/>
        <item x="630"/>
        <item x="819"/>
        <item x="449"/>
        <item x="213"/>
        <item x="270"/>
        <item x="929"/>
        <item x="574"/>
        <item x="576"/>
        <item x="444"/>
        <item x="310"/>
        <item x="908"/>
        <item x="132"/>
        <item x="460"/>
        <item x="432"/>
        <item x="115"/>
        <item x="70"/>
        <item x="40"/>
        <item x="742"/>
        <item x="897"/>
        <item x="186"/>
        <item x="833"/>
        <item x="356"/>
        <item x="697"/>
        <item x="390"/>
        <item x="466"/>
        <item x="65"/>
        <item x="911"/>
        <item x="220"/>
        <item x="312"/>
        <item x="0"/>
        <item x="351"/>
        <item x="461"/>
        <item x="306"/>
        <item x="128"/>
        <item x="439"/>
        <item x="938"/>
        <item x="941"/>
        <item x="939"/>
        <item x="658"/>
        <item x="804"/>
        <item x="36"/>
        <item x="663"/>
        <item x="375"/>
        <item x="514"/>
        <item x="269"/>
        <item x="459"/>
        <item x="494"/>
        <item x="675"/>
        <item x="318"/>
        <item x="968"/>
        <item x="148"/>
        <item x="445"/>
        <item x="151"/>
        <item x="370"/>
        <item x="329"/>
        <item x="907"/>
        <item x="529"/>
        <item x="791"/>
        <item x="285"/>
        <item x="105"/>
        <item x="606"/>
        <item x="284"/>
        <item x="328"/>
        <item x="61"/>
        <item x="161"/>
        <item x="741"/>
        <item x="311"/>
        <item x="818"/>
        <item x="324"/>
        <item x="815"/>
        <item x="190"/>
        <item x="39"/>
        <item x="236"/>
        <item x="30"/>
        <item x="77"/>
        <item x="835"/>
        <item x="256"/>
        <item x="305"/>
        <item x="667"/>
        <item x="16"/>
        <item x="950"/>
        <item x="537"/>
        <item x="482"/>
        <item x="400"/>
        <item x="972"/>
        <item x="302"/>
        <item x="163"/>
        <item x="353"/>
        <item x="483"/>
        <item x="673"/>
        <item x="946"/>
        <item x="558"/>
        <item x="60"/>
        <item x="976"/>
        <item x="747"/>
        <item x="787"/>
        <item x="789"/>
        <item x="904"/>
        <item x="563"/>
        <item x="110"/>
        <item x="488"/>
        <item x="664"/>
        <item x="478"/>
        <item x="462"/>
        <item x="92"/>
        <item x="401"/>
        <item x="759"/>
        <item x="301"/>
        <item x="69"/>
        <item x="647"/>
        <item x="176"/>
        <item x="810"/>
        <item x="422"/>
        <item x="605"/>
        <item x="534"/>
        <item x="247"/>
        <item x="854"/>
        <item x="144"/>
        <item x="22"/>
        <item x="38"/>
        <item x="839"/>
        <item x="560"/>
        <item x="275"/>
        <item x="952"/>
        <item x="229"/>
        <item x="249"/>
        <item x="354"/>
        <item x="76"/>
        <item x="484"/>
        <item x="725"/>
        <item x="679"/>
        <item x="90"/>
        <item x="106"/>
        <item x="319"/>
        <item x="988"/>
        <item x="97"/>
        <item x="593"/>
        <item x="49"/>
        <item x="639"/>
        <item x="970"/>
        <item x="80"/>
        <item x="680"/>
        <item x="29"/>
        <item x="216"/>
        <item x="919"/>
        <item x="551"/>
        <item x="245"/>
        <item x="423"/>
        <item x="825"/>
        <item x="685"/>
        <item x="584"/>
        <item x="618"/>
        <item x="542"/>
        <item x="809"/>
        <item x="10"/>
        <item x="428"/>
        <item x="523"/>
        <item x="386"/>
        <item x="68"/>
        <item x="910"/>
        <item x="46"/>
        <item x="961"/>
        <item x="156"/>
        <item x="572"/>
        <item x="547"/>
        <item x="124"/>
        <item x="325"/>
        <item x="250"/>
        <item x="143"/>
        <item x="691"/>
        <item x="62"/>
        <item x="546"/>
        <item x="491"/>
        <item x="426"/>
        <item x="121"/>
        <item x="719"/>
        <item x="798"/>
        <item x="831"/>
        <item x="79"/>
        <item x="803"/>
        <item x="744"/>
        <item x="850"/>
        <item x="477"/>
        <item x="920"/>
        <item x="465"/>
        <item x="662"/>
        <item x="409"/>
        <item x="510"/>
        <item x="528"/>
        <item x="644"/>
        <item x="611"/>
        <item x="813"/>
        <item x="290"/>
        <item x="119"/>
        <item x="233"/>
        <item x="682"/>
        <item x="173"/>
        <item x="743"/>
        <item x="416"/>
        <item x="583"/>
        <item x="623"/>
        <item x="924"/>
        <item x="796"/>
        <item x="160"/>
        <item x="232"/>
        <item x="379"/>
        <item x="67"/>
        <item x="735"/>
        <item x="764"/>
        <item x="614"/>
        <item x="263"/>
        <item x="9"/>
        <item x="336"/>
        <item x="539"/>
        <item x="645"/>
        <item x="820"/>
        <item x="96"/>
        <item x="923"/>
        <item x="737"/>
        <item x="557"/>
        <item x="218"/>
        <item x="50"/>
        <item x="597"/>
        <item x="146"/>
        <item x="71"/>
        <item x="707"/>
        <item x="516"/>
        <item x="406"/>
        <item x="473"/>
        <item x="158"/>
        <item x="2"/>
        <item x="634"/>
        <item x="487"/>
        <item x="131"/>
        <item x="55"/>
        <item x="339"/>
        <item x="671"/>
        <item x="692"/>
        <item x="874"/>
        <item x="421"/>
        <item x="500"/>
        <item x="966"/>
        <item x="204"/>
        <item x="509"/>
        <item x="678"/>
        <item x="31"/>
        <item x="665"/>
        <item x="552"/>
        <item x="501"/>
        <item x="485"/>
        <item x="886"/>
        <item x="880"/>
        <item x="903"/>
        <item x="769"/>
        <item x="568"/>
        <item x="739"/>
        <item x="266"/>
        <item x="909"/>
        <item x="511"/>
        <item x="625"/>
        <item x="388"/>
        <item x="88"/>
        <item x="139"/>
        <item x="642"/>
        <item x="183"/>
        <item x="816"/>
        <item x="346"/>
        <item x="410"/>
        <item x="130"/>
        <item x="524"/>
        <item x="936"/>
        <item x="288"/>
        <item x="519"/>
        <item x="99"/>
        <item x="531"/>
        <item x="570"/>
        <item x="636"/>
        <item x="407"/>
        <item x="859"/>
        <item x="446"/>
        <item x="496"/>
        <item x="640"/>
        <item x="291"/>
        <item x="54"/>
        <item x="757"/>
        <item x="565"/>
        <item x="468"/>
        <item x="780"/>
        <item x="103"/>
        <item x="986"/>
        <item x="334"/>
        <item x="669"/>
        <item x="33"/>
        <item x="18"/>
        <item x="73"/>
        <item x="309"/>
        <item x="982"/>
        <item x="943"/>
        <item x="322"/>
        <item x="898"/>
        <item x="289"/>
        <item x="413"/>
        <item x="486"/>
        <item x="244"/>
        <item x="765"/>
        <item x="807"/>
        <item x="945"/>
        <item x="23"/>
        <item x="94"/>
        <item x="840"/>
        <item x="374"/>
        <item x="395"/>
        <item x="793"/>
        <item x="811"/>
        <item x="355"/>
        <item x="756"/>
        <item x="934"/>
        <item x="20"/>
        <item x="447"/>
        <item x="984"/>
        <item x="544"/>
        <item x="702"/>
        <item x="729"/>
        <item x="403"/>
        <item x="778"/>
        <item x="279"/>
        <item x="196"/>
        <item x="108"/>
        <item x="983"/>
        <item x="689"/>
        <item x="127"/>
        <item x="313"/>
        <item x="875"/>
        <item x="722"/>
        <item x="438"/>
        <item x="812"/>
        <item x="271"/>
        <item x="635"/>
        <item x="193"/>
        <item x="878"/>
        <item x="437"/>
        <item x="837"/>
        <item x="873"/>
        <item x="352"/>
        <item x="63"/>
        <item x="433"/>
        <item x="280"/>
        <item x="797"/>
        <item x="960"/>
        <item x="591"/>
        <item x="717"/>
        <item x="871"/>
        <item x="452"/>
        <item x="973"/>
        <item x="394"/>
        <item x="184"/>
        <item x="463"/>
        <item x="225"/>
        <item x="677"/>
        <item x="734"/>
        <item x="262"/>
        <item x="331"/>
        <item x="901"/>
        <item x="111"/>
        <item x="773"/>
        <item x="932"/>
        <item x="670"/>
        <item x="6"/>
        <item x="489"/>
        <item x="5"/>
        <item x="766"/>
        <item x="26"/>
        <item x="553"/>
        <item x="362"/>
        <item x="893"/>
        <item x="676"/>
        <item x="942"/>
        <item x="408"/>
        <item x="384"/>
        <item x="373"/>
        <item x="19"/>
        <item x="704"/>
        <item x="498"/>
        <item x="412"/>
        <item x="540"/>
        <item x="415"/>
        <item x="712"/>
        <item x="842"/>
        <item x="101"/>
        <item x="287"/>
        <item x="844"/>
        <item x="659"/>
        <item x="876"/>
        <item x="666"/>
        <item x="147"/>
        <item x="841"/>
        <item x="921"/>
        <item x="471"/>
        <item x="703"/>
        <item x="359"/>
        <item t="default"/>
      </items>
    </pivotField>
    <pivotField showAll="0"/>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Fields count="1">
    <field x="6"/>
  </rowFields>
  <rowItems count="3">
    <i>
      <x/>
    </i>
    <i>
      <x v="1"/>
    </i>
    <i t="grand">
      <x/>
    </i>
  </rowItems>
  <colItems count="1">
    <i/>
  </colItems>
  <dataFields count="1">
    <dataField name="Sum of Purchase_Amount" fld="9"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A115CE-6581-46A6-830E-244571BE593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8">
    <pivotField dataField="1" showAll="0">
      <items count="1001">
        <item x="328"/>
        <item x="546"/>
        <item x="425"/>
        <item x="272"/>
        <item x="365"/>
        <item x="500"/>
        <item x="417"/>
        <item x="18"/>
        <item x="166"/>
        <item x="604"/>
        <item x="181"/>
        <item x="395"/>
        <item x="776"/>
        <item x="815"/>
        <item x="747"/>
        <item x="908"/>
        <item x="919"/>
        <item x="575"/>
        <item x="988"/>
        <item x="963"/>
        <item x="104"/>
        <item x="934"/>
        <item x="457"/>
        <item x="614"/>
        <item x="728"/>
        <item x="453"/>
        <item x="465"/>
        <item x="898"/>
        <item x="507"/>
        <item x="711"/>
        <item x="218"/>
        <item x="603"/>
        <item x="221"/>
        <item x="774"/>
        <item x="38"/>
        <item x="220"/>
        <item x="705"/>
        <item x="461"/>
        <item x="583"/>
        <item x="380"/>
        <item x="24"/>
        <item x="259"/>
        <item x="77"/>
        <item x="598"/>
        <item x="448"/>
        <item x="115"/>
        <item x="206"/>
        <item x="784"/>
        <item x="607"/>
        <item x="742"/>
        <item x="501"/>
        <item x="334"/>
        <item x="684"/>
        <item x="80"/>
        <item x="820"/>
        <item x="533"/>
        <item x="547"/>
        <item x="96"/>
        <item x="835"/>
        <item x="356"/>
        <item x="983"/>
        <item x="543"/>
        <item x="841"/>
        <item x="849"/>
        <item x="531"/>
        <item x="659"/>
        <item x="550"/>
        <item x="649"/>
        <item x="551"/>
        <item x="70"/>
        <item x="406"/>
        <item x="763"/>
        <item x="644"/>
        <item x="579"/>
        <item x="236"/>
        <item x="56"/>
        <item x="580"/>
        <item x="296"/>
        <item x="41"/>
        <item x="923"/>
        <item x="440"/>
        <item x="352"/>
        <item x="586"/>
        <item x="994"/>
        <item x="532"/>
        <item x="599"/>
        <item x="652"/>
        <item x="939"/>
        <item x="109"/>
        <item x="235"/>
        <item x="554"/>
        <item x="845"/>
        <item x="93"/>
        <item x="818"/>
        <item x="956"/>
        <item x="66"/>
        <item x="468"/>
        <item x="338"/>
        <item x="494"/>
        <item x="941"/>
        <item x="518"/>
        <item x="398"/>
        <item x="232"/>
        <item x="981"/>
        <item x="302"/>
        <item x="483"/>
        <item x="393"/>
        <item x="294"/>
        <item x="167"/>
        <item x="790"/>
        <item x="771"/>
        <item x="155"/>
        <item x="748"/>
        <item x="105"/>
        <item x="924"/>
        <item x="736"/>
        <item x="861"/>
        <item x="622"/>
        <item x="700"/>
        <item x="69"/>
        <item x="942"/>
        <item x="342"/>
        <item x="278"/>
        <item x="79"/>
        <item x="535"/>
        <item x="497"/>
        <item x="624"/>
        <item x="490"/>
        <item x="189"/>
        <item x="509"/>
        <item x="824"/>
        <item x="114"/>
        <item x="707"/>
        <item x="392"/>
        <item x="434"/>
        <item x="481"/>
        <item x="33"/>
        <item x="938"/>
        <item x="686"/>
        <item x="306"/>
        <item x="853"/>
        <item x="143"/>
        <item x="646"/>
        <item x="680"/>
        <item x="516"/>
        <item x="36"/>
        <item x="847"/>
        <item x="75"/>
        <item x="692"/>
        <item x="129"/>
        <item x="473"/>
        <item x="85"/>
        <item x="964"/>
        <item x="968"/>
        <item x="802"/>
        <item x="869"/>
        <item x="57"/>
        <item x="35"/>
        <item x="275"/>
        <item x="270"/>
        <item x="180"/>
        <item x="593"/>
        <item x="823"/>
        <item x="911"/>
        <item x="621"/>
        <item x="952"/>
        <item x="214"/>
        <item x="174"/>
        <item x="264"/>
        <item x="476"/>
        <item x="809"/>
        <item x="672"/>
        <item x="387"/>
        <item x="445"/>
        <item x="844"/>
        <item x="54"/>
        <item x="470"/>
        <item x="760"/>
        <item x="173"/>
        <item x="662"/>
        <item x="741"/>
        <item x="565"/>
        <item x="690"/>
        <item x="268"/>
        <item x="488"/>
        <item x="691"/>
        <item x="801"/>
        <item x="954"/>
        <item x="123"/>
        <item x="230"/>
        <item x="726"/>
        <item x="233"/>
        <item x="298"/>
        <item x="602"/>
        <item x="12"/>
        <item x="39"/>
        <item x="317"/>
        <item x="313"/>
        <item x="862"/>
        <item x="458"/>
        <item x="995"/>
        <item x="731"/>
        <item x="959"/>
        <item x="53"/>
        <item x="64"/>
        <item x="885"/>
        <item x="839"/>
        <item x="889"/>
        <item x="154"/>
        <item x="708"/>
        <item x="330"/>
        <item x="50"/>
        <item x="25"/>
        <item x="566"/>
        <item x="976"/>
        <item x="224"/>
        <item x="437"/>
        <item x="977"/>
        <item x="806"/>
        <item x="817"/>
        <item x="463"/>
        <item x="870"/>
        <item x="485"/>
        <item x="210"/>
        <item x="404"/>
        <item x="158"/>
        <item x="151"/>
        <item x="525"/>
        <item x="403"/>
        <item x="367"/>
        <item x="881"/>
        <item x="928"/>
        <item x="759"/>
        <item x="256"/>
        <item x="285"/>
        <item x="795"/>
        <item x="94"/>
        <item x="14"/>
        <item x="517"/>
        <item x="524"/>
        <item x="985"/>
        <item x="307"/>
        <item x="777"/>
        <item x="208"/>
        <item x="904"/>
        <item x="216"/>
        <item x="587"/>
        <item x="361"/>
        <item x="900"/>
        <item x="987"/>
        <item x="754"/>
        <item x="435"/>
        <item x="639"/>
        <item x="462"/>
        <item x="510"/>
        <item x="943"/>
        <item x="702"/>
        <item x="798"/>
        <item x="804"/>
        <item x="265"/>
        <item x="945"/>
        <item x="29"/>
        <item x="979"/>
        <item x="410"/>
        <item x="960"/>
        <item x="540"/>
        <item x="97"/>
        <item x="316"/>
        <item x="271"/>
        <item x="119"/>
        <item x="725"/>
        <item x="932"/>
        <item x="591"/>
        <item x="855"/>
        <item x="782"/>
        <item x="193"/>
        <item x="615"/>
        <item x="47"/>
        <item x="339"/>
        <item x="372"/>
        <item x="789"/>
        <item x="502"/>
        <item x="916"/>
        <item x="786"/>
        <item x="378"/>
        <item x="127"/>
        <item x="597"/>
        <item x="907"/>
        <item x="775"/>
        <item x="32"/>
        <item x="369"/>
        <item x="405"/>
        <item x="499"/>
        <item x="358"/>
        <item x="572"/>
        <item x="666"/>
        <item x="350"/>
        <item x="310"/>
        <item x="935"/>
        <item x="631"/>
        <item x="474"/>
        <item x="871"/>
        <item x="521"/>
        <item x="1"/>
        <item x="761"/>
        <item x="26"/>
        <item x="213"/>
        <item x="68"/>
        <item x="292"/>
        <item x="200"/>
        <item x="840"/>
        <item x="936"/>
        <item x="291"/>
        <item x="537"/>
        <item x="89"/>
        <item x="720"/>
        <item x="852"/>
        <item x="76"/>
        <item x="706"/>
        <item x="382"/>
        <item x="937"/>
        <item x="668"/>
        <item x="347"/>
        <item x="261"/>
        <item x="98"/>
        <item x="84"/>
        <item x="324"/>
        <item x="890"/>
        <item x="72"/>
        <item x="926"/>
        <item x="504"/>
        <item x="126"/>
        <item x="930"/>
        <item x="570"/>
        <item x="267"/>
        <item x="277"/>
        <item x="825"/>
        <item x="467"/>
        <item x="241"/>
        <item x="767"/>
        <item x="558"/>
        <item x="22"/>
        <item x="397"/>
        <item x="343"/>
        <item x="178"/>
        <item x="704"/>
        <item x="946"/>
        <item x="345"/>
        <item x="243"/>
        <item x="837"/>
        <item x="203"/>
        <item x="800"/>
        <item x="948"/>
        <item x="333"/>
        <item x="778"/>
        <item x="315"/>
        <item x="735"/>
        <item x="185"/>
        <item x="62"/>
        <item x="37"/>
        <item x="344"/>
        <item x="851"/>
        <item x="439"/>
        <item x="250"/>
        <item x="653"/>
        <item x="651"/>
        <item x="719"/>
        <item x="276"/>
        <item x="227"/>
        <item x="231"/>
        <item x="90"/>
        <item x="873"/>
        <item x="966"/>
        <item x="366"/>
        <item x="466"/>
        <item x="749"/>
        <item x="791"/>
        <item x="163"/>
        <item x="512"/>
        <item x="8"/>
        <item x="863"/>
        <item x="45"/>
        <item x="48"/>
        <item x="46"/>
        <item x="527"/>
        <item x="951"/>
        <item x="416"/>
        <item x="145"/>
        <item x="486"/>
        <item x="0"/>
        <item x="234"/>
        <item x="252"/>
        <item x="573"/>
        <item x="43"/>
        <item x="102"/>
        <item x="709"/>
        <item x="878"/>
        <item x="592"/>
        <item x="295"/>
        <item x="100"/>
        <item x="374"/>
        <item x="556"/>
        <item x="528"/>
        <item x="257"/>
        <item x="669"/>
        <item x="171"/>
        <item x="59"/>
        <item x="60"/>
        <item x="712"/>
        <item x="608"/>
        <item x="117"/>
        <item x="950"/>
        <item x="955"/>
        <item x="638"/>
        <item x="150"/>
        <item x="475"/>
        <item x="430"/>
        <item x="137"/>
        <item x="254"/>
        <item x="701"/>
        <item x="584"/>
        <item x="996"/>
        <item x="322"/>
        <item x="792"/>
        <item x="925"/>
        <item x="772"/>
        <item x="258"/>
        <item x="289"/>
        <item x="595"/>
        <item x="413"/>
        <item x="438"/>
        <item x="288"/>
        <item x="836"/>
        <item x="822"/>
        <item x="341"/>
        <item x="164"/>
        <item x="826"/>
        <item x="519"/>
        <item x="274"/>
        <item x="262"/>
        <item x="202"/>
        <item x="283"/>
        <item x="721"/>
        <item x="240"/>
        <item x="910"/>
        <item x="629"/>
        <item x="10"/>
        <item x="563"/>
        <item x="859"/>
        <item x="697"/>
        <item x="447"/>
        <item x="16"/>
        <item x="947"/>
        <item x="609"/>
        <item x="860"/>
        <item x="833"/>
        <item x="549"/>
        <item x="931"/>
        <item x="442"/>
        <item x="111"/>
        <item x="678"/>
        <item x="87"/>
        <item x="508"/>
        <item x="958"/>
        <item x="480"/>
        <item x="628"/>
        <item x="183"/>
        <item x="992"/>
        <item x="491"/>
        <item x="635"/>
        <item x="703"/>
        <item x="414"/>
        <item x="821"/>
        <item x="982"/>
        <item x="182"/>
        <item x="975"/>
        <item x="477"/>
        <item x="412"/>
        <item x="169"/>
        <item x="914"/>
        <item x="144"/>
        <item x="999"/>
        <item x="991"/>
        <item x="198"/>
        <item x="128"/>
        <item x="489"/>
        <item x="513"/>
        <item x="515"/>
        <item x="290"/>
        <item x="648"/>
        <item x="3"/>
        <item x="912"/>
        <item x="687"/>
        <item x="917"/>
        <item x="503"/>
        <item x="553"/>
        <item x="266"/>
        <item x="492"/>
        <item x="807"/>
        <item x="893"/>
        <item x="514"/>
        <item x="450"/>
        <item x="696"/>
        <item x="920"/>
        <item x="620"/>
        <item x="716"/>
        <item x="905"/>
        <item x="449"/>
        <item x="594"/>
        <item x="867"/>
        <item x="758"/>
        <item x="831"/>
        <item x="211"/>
        <item x="314"/>
        <item x="647"/>
        <item x="132"/>
        <item x="770"/>
        <item x="326"/>
        <item x="136"/>
        <item x="196"/>
        <item x="212"/>
        <item x="249"/>
        <item x="812"/>
        <item x="998"/>
        <item x="933"/>
        <item x="727"/>
        <item x="377"/>
        <item x="340"/>
        <item x="769"/>
        <item x="627"/>
        <item x="226"/>
        <item x="993"/>
        <item x="52"/>
        <item x="336"/>
        <item x="165"/>
        <item x="362"/>
        <item x="858"/>
        <item x="779"/>
        <item x="424"/>
        <item x="929"/>
        <item x="142"/>
        <item x="655"/>
        <item x="312"/>
        <item x="989"/>
        <item x="729"/>
        <item x="421"/>
        <item x="967"/>
        <item x="679"/>
        <item x="228"/>
        <item x="31"/>
        <item x="656"/>
        <item x="698"/>
        <item x="354"/>
        <item x="452"/>
        <item x="630"/>
        <item x="386"/>
        <item x="379"/>
        <item x="319"/>
        <item x="411"/>
        <item x="569"/>
        <item x="799"/>
        <item x="895"/>
        <item x="21"/>
        <item x="953"/>
        <item x="28"/>
        <item x="520"/>
        <item x="391"/>
        <item x="819"/>
        <item x="385"/>
        <item x="810"/>
        <item x="124"/>
        <item x="526"/>
        <item x="120"/>
        <item x="459"/>
        <item x="197"/>
        <item x="838"/>
        <item x="40"/>
        <item x="505"/>
        <item x="574"/>
        <item x="755"/>
        <item x="523"/>
        <item x="346"/>
        <item x="27"/>
        <item x="131"/>
        <item x="674"/>
        <item x="850"/>
        <item x="106"/>
        <item x="402"/>
        <item x="970"/>
        <item x="699"/>
        <item x="986"/>
        <item x="237"/>
        <item x="327"/>
        <item x="360"/>
        <item x="133"/>
        <item x="682"/>
        <item x="73"/>
        <item x="750"/>
        <item x="337"/>
        <item x="718"/>
        <item x="756"/>
        <item x="640"/>
        <item x="280"/>
        <item x="436"/>
        <item x="581"/>
        <item x="335"/>
        <item x="153"/>
        <item x="619"/>
        <item x="172"/>
        <item x="969"/>
        <item x="420"/>
        <item x="605"/>
        <item x="974"/>
        <item x="906"/>
        <item x="423"/>
        <item x="888"/>
        <item x="121"/>
        <item x="813"/>
        <item x="857"/>
        <item x="471"/>
        <item x="242"/>
        <item x="757"/>
        <item x="186"/>
        <item x="793"/>
        <item x="636"/>
        <item x="451"/>
        <item x="971"/>
        <item x="876"/>
        <item x="814"/>
        <item x="58"/>
        <item x="560"/>
        <item x="764"/>
        <item x="225"/>
        <item x="634"/>
        <item x="422"/>
        <item x="590"/>
        <item x="918"/>
        <item x="130"/>
        <item x="872"/>
        <item x="675"/>
        <item x="176"/>
        <item x="601"/>
        <item x="179"/>
        <item x="396"/>
        <item x="828"/>
        <item x="611"/>
        <item x="739"/>
        <item x="427"/>
        <item x="787"/>
        <item x="209"/>
        <item x="511"/>
        <item x="282"/>
        <item x="92"/>
        <item x="710"/>
        <item x="794"/>
        <item x="884"/>
        <item x="730"/>
        <item x="191"/>
        <item x="650"/>
        <item x="940"/>
        <item x="724"/>
        <item x="19"/>
        <item x="229"/>
        <item x="949"/>
        <item x="827"/>
        <item x="177"/>
        <item x="321"/>
        <item x="866"/>
        <item x="865"/>
        <item x="571"/>
        <item x="118"/>
        <item x="688"/>
        <item x="217"/>
        <item x="582"/>
        <item x="762"/>
        <item x="773"/>
        <item x="498"/>
        <item x="665"/>
        <item x="856"/>
        <item x="222"/>
        <item x="843"/>
        <item x="816"/>
        <item x="596"/>
        <item x="493"/>
        <item x="663"/>
        <item x="78"/>
        <item x="195"/>
        <item x="110"/>
        <item x="245"/>
        <item x="376"/>
        <item x="42"/>
        <item x="496"/>
        <item x="103"/>
        <item x="74"/>
        <item x="834"/>
        <item x="694"/>
        <item x="156"/>
        <item x="308"/>
        <item x="661"/>
        <item x="642"/>
        <item x="61"/>
        <item x="246"/>
        <item x="842"/>
        <item x="263"/>
        <item x="199"/>
        <item x="149"/>
        <item x="408"/>
        <item x="419"/>
        <item x="355"/>
        <item x="752"/>
        <item x="204"/>
        <item x="55"/>
        <item x="921"/>
        <item x="882"/>
        <item x="980"/>
        <item x="188"/>
        <item x="147"/>
        <item x="561"/>
        <item x="207"/>
        <item x="695"/>
        <item x="902"/>
        <item x="577"/>
        <item x="829"/>
        <item x="544"/>
        <item x="394"/>
        <item x="205"/>
        <item x="122"/>
        <item x="737"/>
        <item x="223"/>
        <item x="618"/>
        <item x="796"/>
        <item x="899"/>
        <item x="429"/>
        <item x="896"/>
        <item x="82"/>
        <item x="112"/>
        <item x="71"/>
        <item x="187"/>
        <item x="95"/>
        <item x="506"/>
        <item x="67"/>
        <item x="359"/>
        <item x="623"/>
        <item x="751"/>
        <item x="482"/>
        <item x="409"/>
        <item x="389"/>
        <item x="455"/>
        <item x="101"/>
        <item x="530"/>
        <item x="51"/>
        <item x="883"/>
        <item x="309"/>
        <item x="273"/>
        <item x="170"/>
        <item x="399"/>
        <item x="681"/>
        <item x="86"/>
        <item x="383"/>
        <item x="390"/>
        <item x="135"/>
        <item x="874"/>
        <item x="357"/>
        <item x="997"/>
        <item x="746"/>
        <item x="454"/>
        <item x="415"/>
        <item x="683"/>
        <item x="303"/>
        <item x="903"/>
        <item x="973"/>
        <item x="11"/>
        <item x="432"/>
        <item x="797"/>
        <item x="113"/>
        <item x="864"/>
        <item x="441"/>
        <item x="201"/>
        <item x="431"/>
        <item x="576"/>
        <item x="83"/>
        <item x="304"/>
        <item x="456"/>
        <item x="780"/>
        <item x="370"/>
        <item x="381"/>
        <item x="116"/>
        <item x="880"/>
        <item x="534"/>
        <item x="190"/>
        <item x="138"/>
        <item x="253"/>
        <item x="588"/>
        <item x="732"/>
        <item x="536"/>
        <item x="331"/>
        <item x="446"/>
        <item x="753"/>
        <item x="984"/>
        <item x="854"/>
        <item x="139"/>
        <item x="13"/>
        <item x="522"/>
        <item x="713"/>
        <item x="600"/>
        <item x="645"/>
        <item x="745"/>
        <item x="633"/>
        <item x="464"/>
        <item x="348"/>
        <item x="81"/>
        <item x="625"/>
        <item x="332"/>
        <item x="693"/>
        <item x="297"/>
        <item x="811"/>
        <item x="375"/>
        <item x="909"/>
        <item x="244"/>
        <item x="299"/>
        <item x="400"/>
        <item x="965"/>
        <item x="5"/>
        <item x="107"/>
        <item x="287"/>
        <item x="671"/>
        <item x="612"/>
        <item x="879"/>
        <item x="495"/>
        <item x="49"/>
        <item x="915"/>
        <item x="279"/>
        <item x="320"/>
        <item x="363"/>
        <item x="251"/>
        <item x="766"/>
        <item x="803"/>
        <item x="175"/>
        <item x="957"/>
        <item x="830"/>
        <item x="564"/>
        <item x="660"/>
        <item x="545"/>
        <item x="529"/>
        <item x="65"/>
        <item x="677"/>
        <item x="578"/>
        <item x="783"/>
        <item x="744"/>
        <item x="2"/>
        <item x="548"/>
        <item x="311"/>
        <item x="9"/>
        <item x="161"/>
        <item x="157"/>
        <item x="286"/>
        <item x="734"/>
        <item x="160"/>
        <item x="670"/>
        <item x="667"/>
        <item x="20"/>
        <item x="34"/>
        <item x="637"/>
        <item x="610"/>
        <item x="990"/>
        <item x="108"/>
        <item x="897"/>
        <item x="875"/>
        <item x="685"/>
        <item x="927"/>
        <item x="388"/>
        <item x="781"/>
        <item x="886"/>
        <item x="305"/>
        <item x="219"/>
        <item x="479"/>
        <item x="281"/>
        <item x="542"/>
        <item x="972"/>
        <item x="140"/>
        <item x="617"/>
        <item x="88"/>
        <item x="626"/>
        <item x="168"/>
        <item x="469"/>
        <item x="606"/>
        <item x="148"/>
        <item x="325"/>
        <item x="562"/>
        <item x="478"/>
        <item x="717"/>
        <item x="658"/>
        <item x="329"/>
        <item x="426"/>
        <item x="7"/>
        <item x="832"/>
        <item x="30"/>
        <item x="733"/>
        <item x="255"/>
        <item x="641"/>
        <item x="215"/>
        <item x="351"/>
        <item x="159"/>
        <item x="428"/>
        <item x="894"/>
        <item x="585"/>
        <item x="17"/>
        <item x="539"/>
        <item x="15"/>
        <item x="99"/>
        <item x="6"/>
        <item x="901"/>
        <item x="433"/>
        <item x="368"/>
        <item x="738"/>
        <item x="657"/>
        <item x="613"/>
        <item x="805"/>
        <item x="349"/>
        <item x="284"/>
        <item x="768"/>
        <item x="892"/>
        <item x="4"/>
        <item x="318"/>
        <item x="63"/>
        <item x="538"/>
        <item x="944"/>
        <item x="654"/>
        <item x="301"/>
        <item x="887"/>
        <item x="184"/>
        <item x="664"/>
        <item x="293"/>
        <item x="689"/>
        <item x="765"/>
        <item x="643"/>
        <item x="487"/>
        <item x="848"/>
        <item x="248"/>
        <item x="194"/>
        <item x="401"/>
        <item x="673"/>
        <item x="247"/>
        <item x="472"/>
        <item x="743"/>
        <item x="146"/>
        <item x="371"/>
        <item x="239"/>
        <item x="91"/>
        <item x="260"/>
        <item x="632"/>
        <item x="443"/>
        <item x="484"/>
        <item x="269"/>
        <item x="552"/>
        <item x="353"/>
        <item x="676"/>
        <item x="568"/>
        <item x="722"/>
        <item x="555"/>
        <item x="134"/>
        <item x="961"/>
        <item x="192"/>
        <item x="418"/>
        <item x="23"/>
        <item x="44"/>
        <item x="567"/>
        <item x="616"/>
        <item x="913"/>
        <item x="589"/>
        <item x="373"/>
        <item x="364"/>
        <item x="877"/>
        <item x="162"/>
        <item x="922"/>
        <item x="785"/>
        <item x="868"/>
        <item x="978"/>
        <item x="723"/>
        <item x="238"/>
        <item x="300"/>
        <item x="714"/>
        <item x="962"/>
        <item x="846"/>
        <item x="444"/>
        <item x="407"/>
        <item x="740"/>
        <item x="557"/>
        <item x="384"/>
        <item x="715"/>
        <item x="125"/>
        <item x="541"/>
        <item x="152"/>
        <item x="141"/>
        <item x="460"/>
        <item x="323"/>
        <item x="559"/>
        <item x="788"/>
        <item x="808"/>
        <item x="89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Count of Customer_ID" fld="0" subtotal="count" baseField="0" baseItem="0"/>
  </dataFields>
  <formats count="3">
    <format dxfId="17">
      <pivotArea type="all" dataOnly="0" outline="0" fieldPosition="0"/>
    </format>
    <format dxfId="16">
      <pivotArea outline="0" collapsedLevelsAreSubtotals="1" fieldPosition="0"/>
    </format>
    <format dxfId="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F5C4896-A1FF-41EE-A92D-8413F248E8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8:D22" firstHeaderRow="1" firstDataRow="1" firstDataCol="1"/>
  <pivotFields count="28">
    <pivotField showAll="0"/>
    <pivotField showAll="0"/>
    <pivotField showAll="0"/>
    <pivotField showAll="0">
      <items count="3">
        <item x="1"/>
        <item x="0"/>
        <item t="default"/>
      </items>
    </pivotField>
    <pivotField showAll="0"/>
    <pivotField showAll="0"/>
    <pivotField showAll="0"/>
    <pivotField showAll="0"/>
    <pivotField showAll="0"/>
    <pivotField dataField="1" showAll="0"/>
    <pivotField showAll="0"/>
    <pivotField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axis="axisRow" showAll="0">
      <items count="4">
        <item x="2"/>
        <item x="0"/>
        <item x="1"/>
        <item t="default"/>
      </items>
    </pivotField>
    <pivotField showAll="0"/>
  </pivotFields>
  <rowFields count="1">
    <field x="26"/>
  </rowFields>
  <rowItems count="4">
    <i>
      <x/>
    </i>
    <i>
      <x v="1"/>
    </i>
    <i>
      <x v="2"/>
    </i>
    <i t="grand">
      <x/>
    </i>
  </rowItems>
  <colItems count="1">
    <i/>
  </colItems>
  <dataFields count="1">
    <dataField name="Sum of Purchase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483900-D3CF-4B27-B99B-AD3B4EE66B7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F10:G12" firstHeaderRow="1" firstDataRow="1" firstDataCol="1"/>
  <pivotFields count="28">
    <pivotField showAll="0"/>
    <pivotField showAll="0"/>
    <pivotField showAll="0"/>
    <pivotField showAll="0">
      <items count="3">
        <item x="1"/>
        <item x="0"/>
        <item t="default"/>
      </items>
    </pivotField>
    <pivotField showAll="0">
      <items count="5">
        <item x="3"/>
        <item x="0"/>
        <item x="1"/>
        <item x="2"/>
        <item t="default"/>
      </items>
    </pivotField>
    <pivotField showAll="0">
      <items count="4">
        <item x="0"/>
        <item x="1"/>
        <item x="2"/>
        <item t="default"/>
      </items>
    </pivotField>
    <pivotField showAll="0"/>
    <pivotField showAll="0"/>
    <pivotField showAll="0"/>
    <pivotField dataField="1" showAll="0">
      <items count="990">
        <item x="242"/>
        <item x="585"/>
        <item x="380"/>
        <item x="47"/>
        <item x="610"/>
        <item x="947"/>
        <item x="858"/>
        <item x="35"/>
        <item x="824"/>
        <item x="720"/>
        <item x="212"/>
        <item x="338"/>
        <item x="265"/>
        <item x="41"/>
        <item x="179"/>
        <item x="853"/>
        <item x="656"/>
        <item x="718"/>
        <item x="21"/>
        <item x="227"/>
        <item x="786"/>
        <item x="181"/>
        <item x="882"/>
        <item x="479"/>
        <item x="543"/>
        <item x="125"/>
        <item x="14"/>
        <item x="792"/>
        <item x="721"/>
        <item x="755"/>
        <item x="12"/>
        <item x="429"/>
        <item x="621"/>
        <item x="369"/>
        <item x="538"/>
        <item x="317"/>
        <item x="506"/>
        <item x="391"/>
        <item x="209"/>
        <item x="902"/>
        <item x="418"/>
        <item x="368"/>
        <item x="480"/>
        <item x="235"/>
        <item x="272"/>
        <item x="434"/>
        <item x="332"/>
        <item x="985"/>
        <item x="709"/>
        <item x="738"/>
        <item x="177"/>
        <item x="954"/>
        <item x="377"/>
        <item x="194"/>
        <item x="450"/>
        <item x="467"/>
        <item x="277"/>
        <item x="257"/>
        <item x="865"/>
        <item x="420"/>
        <item x="861"/>
        <item x="515"/>
        <item x="45"/>
        <item x="348"/>
        <item x="134"/>
        <item x="155"/>
        <item x="953"/>
        <item x="784"/>
        <item x="411"/>
        <item x="698"/>
        <item x="81"/>
        <item x="171"/>
        <item x="655"/>
        <item x="587"/>
        <item x="13"/>
        <item x="210"/>
        <item x="918"/>
        <item x="693"/>
        <item x="651"/>
        <item x="27"/>
        <item x="706"/>
        <item x="951"/>
        <item x="847"/>
        <item x="852"/>
        <item x="622"/>
        <item x="726"/>
        <item x="650"/>
        <item x="753"/>
        <item x="615"/>
        <item x="736"/>
        <item x="440"/>
        <item x="135"/>
        <item x="453"/>
        <item x="872"/>
        <item x="85"/>
        <item x="499"/>
        <item x="402"/>
        <item x="617"/>
        <item x="525"/>
        <item x="799"/>
        <item x="405"/>
        <item x="162"/>
        <item x="981"/>
        <item x="869"/>
        <item x="389"/>
        <item x="580"/>
        <item x="253"/>
        <item x="782"/>
        <item x="427"/>
        <item x="417"/>
        <item x="890"/>
        <item x="956"/>
        <item x="600"/>
        <item x="214"/>
        <item x="199"/>
        <item x="133"/>
        <item x="648"/>
        <item x="187"/>
        <item x="3"/>
        <item x="175"/>
        <item x="157"/>
        <item x="633"/>
        <item x="608"/>
        <item x="185"/>
        <item x="234"/>
        <item x="802"/>
        <item x="330"/>
        <item x="930"/>
        <item x="884"/>
        <item x="555"/>
        <item x="817"/>
        <item x="987"/>
        <item x="619"/>
        <item x="838"/>
        <item x="371"/>
        <item x="649"/>
        <item x="441"/>
        <item x="91"/>
        <item x="15"/>
        <item x="727"/>
        <item x="549"/>
        <item x="44"/>
        <item x="51"/>
        <item x="252"/>
        <item x="75"/>
        <item x="86"/>
        <item x="223"/>
        <item x="168"/>
        <item x="335"/>
        <item x="711"/>
        <item x="267"/>
        <item x="82"/>
        <item x="548"/>
        <item x="541"/>
        <item x="624"/>
        <item x="261"/>
        <item x="545"/>
        <item x="959"/>
        <item x="857"/>
        <item x="683"/>
        <item x="180"/>
        <item x="629"/>
        <item x="83"/>
        <item x="361"/>
        <item x="382"/>
        <item x="699"/>
        <item x="770"/>
        <item x="448"/>
        <item x="259"/>
        <item x="533"/>
        <item x="154"/>
        <item x="732"/>
        <item x="652"/>
        <item x="315"/>
        <item x="507"/>
        <item x="716"/>
        <item x="149"/>
        <item x="424"/>
        <item x="493"/>
        <item x="167"/>
        <item x="877"/>
        <item x="221"/>
        <item x="879"/>
        <item x="688"/>
        <item x="588"/>
        <item x="464"/>
        <item x="243"/>
        <item x="661"/>
        <item x="638"/>
        <item x="763"/>
        <item x="435"/>
        <item x="814"/>
        <item x="28"/>
        <item x="776"/>
        <item x="87"/>
        <item x="25"/>
        <item x="928"/>
        <item x="783"/>
        <item x="164"/>
        <item x="345"/>
        <item x="641"/>
        <item x="34"/>
        <item x="207"/>
        <item x="264"/>
        <item x="159"/>
        <item x="828"/>
        <item x="504"/>
        <item x="963"/>
        <item x="224"/>
        <item x="564"/>
        <item x="505"/>
        <item x="188"/>
        <item x="713"/>
        <item x="581"/>
        <item x="201"/>
        <item x="643"/>
        <item x="293"/>
        <item x="141"/>
        <item x="372"/>
        <item x="705"/>
        <item x="978"/>
        <item x="283"/>
        <item x="767"/>
        <item x="198"/>
        <item x="829"/>
        <item x="532"/>
        <item x="602"/>
        <item x="701"/>
        <item x="535"/>
        <item x="752"/>
        <item x="668"/>
        <item x="892"/>
        <item x="254"/>
        <item x="365"/>
        <item x="297"/>
        <item x="714"/>
        <item x="387"/>
        <item x="575"/>
        <item x="366"/>
        <item x="977"/>
        <item x="586"/>
        <item x="845"/>
        <item x="801"/>
        <item x="100"/>
        <item x="206"/>
        <item x="888"/>
        <item x="281"/>
        <item x="687"/>
        <item x="894"/>
        <item x="476"/>
        <item x="579"/>
        <item x="114"/>
        <item x="598"/>
        <item x="113"/>
        <item x="562"/>
        <item x="556"/>
        <item x="107"/>
        <item x="104"/>
        <item x="321"/>
        <item x="136"/>
        <item x="616"/>
        <item x="226"/>
        <item x="59"/>
        <item x="684"/>
        <item x="526"/>
        <item x="573"/>
        <item x="889"/>
        <item x="53"/>
        <item x="863"/>
        <item x="258"/>
        <item x="518"/>
        <item x="316"/>
        <item x="472"/>
        <item x="830"/>
        <item x="56"/>
        <item x="195"/>
        <item x="442"/>
        <item x="933"/>
        <item x="832"/>
        <item x="497"/>
        <item x="469"/>
        <item x="708"/>
        <item x="102"/>
        <item x="93"/>
        <item x="733"/>
        <item x="347"/>
        <item x="414"/>
        <item x="723"/>
        <item x="975"/>
        <item x="826"/>
        <item x="917"/>
        <item x="728"/>
        <item x="470"/>
        <item x="307"/>
        <item x="228"/>
        <item x="360"/>
        <item x="342"/>
        <item x="337"/>
        <item x="129"/>
        <item x="856"/>
        <item x="276"/>
        <item x="490"/>
        <item x="851"/>
        <item x="626"/>
        <item x="772"/>
        <item x="238"/>
        <item x="883"/>
        <item x="927"/>
        <item x="454"/>
        <item x="601"/>
        <item x="200"/>
        <item x="750"/>
        <item x="145"/>
        <item x="806"/>
        <item x="397"/>
        <item x="89"/>
        <item x="508"/>
        <item x="771"/>
        <item x="836"/>
        <item x="674"/>
        <item x="165"/>
        <item x="436"/>
        <item x="72"/>
        <item x="940"/>
        <item x="653"/>
        <item x="846"/>
        <item x="398"/>
        <item x="343"/>
        <item x="577"/>
        <item x="273"/>
        <item x="475"/>
        <item x="866"/>
        <item x="260"/>
        <item x="522"/>
        <item x="8"/>
        <item x="935"/>
        <item x="239"/>
        <item x="914"/>
        <item x="303"/>
        <item x="895"/>
        <item x="805"/>
        <item x="170"/>
        <item x="118"/>
        <item x="979"/>
        <item x="849"/>
        <item x="740"/>
        <item x="333"/>
        <item x="962"/>
        <item x="314"/>
        <item x="503"/>
        <item x="561"/>
        <item x="974"/>
        <item x="582"/>
        <item x="599"/>
        <item x="197"/>
        <item x="681"/>
        <item x="474"/>
        <item x="595"/>
        <item x="95"/>
        <item x="969"/>
        <item x="4"/>
        <item x="246"/>
        <item x="456"/>
        <item x="443"/>
        <item x="715"/>
        <item x="78"/>
        <item x="278"/>
        <item x="754"/>
        <item x="785"/>
        <item x="341"/>
        <item x="84"/>
        <item x="399"/>
        <item x="860"/>
        <item x="822"/>
        <item x="631"/>
        <item x="530"/>
        <item x="7"/>
        <item x="596"/>
        <item x="762"/>
        <item x="502"/>
        <item x="768"/>
        <item x="230"/>
        <item x="905"/>
        <item x="1"/>
        <item x="632"/>
        <item x="376"/>
        <item x="66"/>
        <item x="495"/>
        <item x="730"/>
        <item x="182"/>
        <item x="745"/>
        <item x="823"/>
        <item x="126"/>
        <item x="761"/>
        <item x="627"/>
        <item x="150"/>
        <item x="48"/>
        <item x="205"/>
        <item x="458"/>
        <item x="191"/>
        <item x="304"/>
        <item x="779"/>
        <item x="800"/>
        <item x="760"/>
        <item x="215"/>
        <item x="512"/>
        <item x="430"/>
        <item x="891"/>
        <item x="672"/>
        <item x="455"/>
        <item x="357"/>
        <item x="137"/>
        <item x="887"/>
        <item x="320"/>
        <item x="899"/>
        <item x="521"/>
        <item x="17"/>
        <item x="690"/>
        <item x="383"/>
        <item x="660"/>
        <item x="11"/>
        <item x="603"/>
        <item x="298"/>
        <item x="57"/>
        <item x="299"/>
        <item x="955"/>
        <item x="566"/>
        <item x="326"/>
        <item x="774"/>
        <item x="925"/>
        <item x="571"/>
        <item x="964"/>
        <item x="867"/>
        <item x="251"/>
        <item x="138"/>
        <item x="385"/>
        <item x="827"/>
        <item x="781"/>
        <item x="457"/>
        <item x="492"/>
        <item x="834"/>
        <item x="241"/>
        <item x="109"/>
        <item x="777"/>
        <item x="166"/>
        <item x="790"/>
        <item x="567"/>
        <item x="282"/>
        <item x="696"/>
        <item x="112"/>
        <item x="274"/>
        <item x="912"/>
        <item x="965"/>
        <item x="393"/>
        <item x="870"/>
        <item x="821"/>
        <item x="24"/>
        <item x="885"/>
        <item x="120"/>
        <item x="937"/>
        <item x="520"/>
        <item x="217"/>
        <item x="419"/>
        <item x="292"/>
        <item x="657"/>
        <item x="172"/>
        <item x="42"/>
        <item x="117"/>
        <item x="694"/>
        <item x="123"/>
        <item x="916"/>
        <item x="915"/>
        <item x="646"/>
        <item x="308"/>
        <item x="404"/>
        <item x="37"/>
        <item x="240"/>
        <item x="922"/>
        <item x="881"/>
        <item x="381"/>
        <item x="378"/>
        <item x="344"/>
        <item x="944"/>
        <item x="349"/>
        <item x="169"/>
        <item x="208"/>
        <item x="116"/>
        <item x="517"/>
        <item x="98"/>
        <item x="358"/>
        <item x="350"/>
        <item x="559"/>
        <item x="513"/>
        <item x="746"/>
        <item x="219"/>
        <item x="957"/>
        <item x="189"/>
        <item x="237"/>
        <item x="569"/>
        <item x="211"/>
        <item x="906"/>
        <item x="628"/>
        <item x="222"/>
        <item x="451"/>
        <item x="481"/>
        <item x="178"/>
        <item x="327"/>
        <item x="794"/>
        <item x="731"/>
        <item x="32"/>
        <item x="751"/>
        <item x="340"/>
        <item x="795"/>
        <item x="609"/>
        <item x="64"/>
        <item x="578"/>
        <item x="637"/>
        <item x="554"/>
        <item x="396"/>
        <item x="864"/>
        <item x="900"/>
        <item x="255"/>
        <item x="392"/>
        <item x="848"/>
        <item x="231"/>
        <item x="174"/>
        <item x="913"/>
        <item x="607"/>
        <item x="43"/>
        <item x="613"/>
        <item x="855"/>
        <item x="686"/>
        <item x="724"/>
        <item x="202"/>
        <item x="843"/>
        <item x="931"/>
        <item x="536"/>
        <item x="286"/>
        <item x="808"/>
        <item x="296"/>
        <item x="323"/>
        <item x="74"/>
        <item x="142"/>
        <item x="926"/>
        <item x="654"/>
        <item x="527"/>
        <item x="52"/>
        <item x="589"/>
        <item x="949"/>
        <item x="592"/>
        <item x="620"/>
        <item x="192"/>
        <item x="425"/>
        <item x="295"/>
        <item x="300"/>
        <item x="748"/>
        <item x="364"/>
        <item x="967"/>
        <item x="775"/>
        <item x="363"/>
        <item x="788"/>
        <item x="122"/>
        <item x="203"/>
        <item x="268"/>
        <item x="695"/>
        <item x="604"/>
        <item x="152"/>
        <item x="700"/>
        <item x="153"/>
        <item x="980"/>
        <item x="862"/>
        <item x="140"/>
        <item x="971"/>
        <item x="948"/>
        <item x="58"/>
        <item x="550"/>
        <item x="612"/>
        <item x="294"/>
        <item x="367"/>
        <item x="594"/>
        <item x="758"/>
        <item x="896"/>
        <item x="749"/>
        <item x="958"/>
        <item x="431"/>
        <item x="590"/>
        <item x="710"/>
        <item x="248"/>
        <item x="868"/>
        <item x="630"/>
        <item x="819"/>
        <item x="449"/>
        <item x="213"/>
        <item x="270"/>
        <item x="929"/>
        <item x="574"/>
        <item x="576"/>
        <item x="444"/>
        <item x="310"/>
        <item x="908"/>
        <item x="132"/>
        <item x="460"/>
        <item x="432"/>
        <item x="115"/>
        <item x="70"/>
        <item x="40"/>
        <item x="742"/>
        <item x="897"/>
        <item x="186"/>
        <item x="833"/>
        <item x="356"/>
        <item x="697"/>
        <item x="390"/>
        <item x="466"/>
        <item x="65"/>
        <item x="911"/>
        <item x="220"/>
        <item x="312"/>
        <item x="0"/>
        <item x="351"/>
        <item x="461"/>
        <item x="306"/>
        <item x="128"/>
        <item x="439"/>
        <item x="938"/>
        <item x="941"/>
        <item x="939"/>
        <item x="658"/>
        <item x="804"/>
        <item x="36"/>
        <item x="663"/>
        <item x="375"/>
        <item x="514"/>
        <item x="269"/>
        <item x="459"/>
        <item x="494"/>
        <item x="675"/>
        <item x="318"/>
        <item x="968"/>
        <item x="148"/>
        <item x="445"/>
        <item x="151"/>
        <item x="370"/>
        <item x="329"/>
        <item x="907"/>
        <item x="529"/>
        <item x="791"/>
        <item x="285"/>
        <item x="105"/>
        <item x="606"/>
        <item x="284"/>
        <item x="328"/>
        <item x="61"/>
        <item x="161"/>
        <item x="741"/>
        <item x="311"/>
        <item x="818"/>
        <item x="324"/>
        <item x="815"/>
        <item x="190"/>
        <item x="39"/>
        <item x="236"/>
        <item x="30"/>
        <item x="77"/>
        <item x="835"/>
        <item x="256"/>
        <item x="305"/>
        <item x="667"/>
        <item x="16"/>
        <item x="950"/>
        <item x="537"/>
        <item x="482"/>
        <item x="400"/>
        <item x="972"/>
        <item x="302"/>
        <item x="163"/>
        <item x="353"/>
        <item x="483"/>
        <item x="673"/>
        <item x="946"/>
        <item x="558"/>
        <item x="60"/>
        <item x="976"/>
        <item x="747"/>
        <item x="787"/>
        <item x="789"/>
        <item x="904"/>
        <item x="563"/>
        <item x="110"/>
        <item x="488"/>
        <item x="664"/>
        <item x="478"/>
        <item x="462"/>
        <item x="92"/>
        <item x="401"/>
        <item x="759"/>
        <item x="301"/>
        <item x="69"/>
        <item x="647"/>
        <item x="176"/>
        <item x="810"/>
        <item x="422"/>
        <item x="605"/>
        <item x="534"/>
        <item x="247"/>
        <item x="854"/>
        <item x="144"/>
        <item x="22"/>
        <item x="38"/>
        <item x="839"/>
        <item x="560"/>
        <item x="275"/>
        <item x="952"/>
        <item x="229"/>
        <item x="249"/>
        <item x="354"/>
        <item x="76"/>
        <item x="484"/>
        <item x="725"/>
        <item x="679"/>
        <item x="90"/>
        <item x="106"/>
        <item x="319"/>
        <item x="988"/>
        <item x="97"/>
        <item x="593"/>
        <item x="49"/>
        <item x="639"/>
        <item x="970"/>
        <item x="80"/>
        <item x="680"/>
        <item x="29"/>
        <item x="216"/>
        <item x="919"/>
        <item x="551"/>
        <item x="245"/>
        <item x="423"/>
        <item x="825"/>
        <item x="685"/>
        <item x="584"/>
        <item x="618"/>
        <item x="542"/>
        <item x="809"/>
        <item x="10"/>
        <item x="428"/>
        <item x="523"/>
        <item x="386"/>
        <item x="68"/>
        <item x="910"/>
        <item x="46"/>
        <item x="961"/>
        <item x="156"/>
        <item x="572"/>
        <item x="547"/>
        <item x="124"/>
        <item x="325"/>
        <item x="250"/>
        <item x="143"/>
        <item x="691"/>
        <item x="62"/>
        <item x="546"/>
        <item x="491"/>
        <item x="426"/>
        <item x="121"/>
        <item x="719"/>
        <item x="798"/>
        <item x="831"/>
        <item x="79"/>
        <item x="803"/>
        <item x="744"/>
        <item x="850"/>
        <item x="477"/>
        <item x="920"/>
        <item x="465"/>
        <item x="662"/>
        <item x="409"/>
        <item x="510"/>
        <item x="528"/>
        <item x="644"/>
        <item x="611"/>
        <item x="813"/>
        <item x="290"/>
        <item x="119"/>
        <item x="233"/>
        <item x="682"/>
        <item x="173"/>
        <item x="743"/>
        <item x="416"/>
        <item x="583"/>
        <item x="623"/>
        <item x="924"/>
        <item x="796"/>
        <item x="160"/>
        <item x="232"/>
        <item x="379"/>
        <item x="67"/>
        <item x="735"/>
        <item x="764"/>
        <item x="614"/>
        <item x="263"/>
        <item x="9"/>
        <item x="336"/>
        <item x="539"/>
        <item x="645"/>
        <item x="820"/>
        <item x="96"/>
        <item x="923"/>
        <item x="737"/>
        <item x="557"/>
        <item x="218"/>
        <item x="50"/>
        <item x="597"/>
        <item x="146"/>
        <item x="71"/>
        <item x="707"/>
        <item x="516"/>
        <item x="406"/>
        <item x="473"/>
        <item x="158"/>
        <item x="2"/>
        <item x="634"/>
        <item x="487"/>
        <item x="131"/>
        <item x="55"/>
        <item x="339"/>
        <item x="671"/>
        <item x="692"/>
        <item x="874"/>
        <item x="421"/>
        <item x="500"/>
        <item x="966"/>
        <item x="204"/>
        <item x="509"/>
        <item x="678"/>
        <item x="31"/>
        <item x="665"/>
        <item x="552"/>
        <item x="501"/>
        <item x="485"/>
        <item x="886"/>
        <item x="880"/>
        <item x="903"/>
        <item x="769"/>
        <item x="568"/>
        <item x="739"/>
        <item x="266"/>
        <item x="909"/>
        <item x="511"/>
        <item x="625"/>
        <item x="388"/>
        <item x="88"/>
        <item x="139"/>
        <item x="642"/>
        <item x="183"/>
        <item x="816"/>
        <item x="346"/>
        <item x="410"/>
        <item x="130"/>
        <item x="524"/>
        <item x="936"/>
        <item x="288"/>
        <item x="519"/>
        <item x="99"/>
        <item x="531"/>
        <item x="570"/>
        <item x="636"/>
        <item x="407"/>
        <item x="859"/>
        <item x="446"/>
        <item x="496"/>
        <item x="640"/>
        <item x="291"/>
        <item x="54"/>
        <item x="757"/>
        <item x="565"/>
        <item x="468"/>
        <item x="780"/>
        <item x="103"/>
        <item x="986"/>
        <item x="334"/>
        <item x="669"/>
        <item x="33"/>
        <item x="18"/>
        <item x="73"/>
        <item x="309"/>
        <item x="982"/>
        <item x="943"/>
        <item x="322"/>
        <item x="898"/>
        <item x="289"/>
        <item x="413"/>
        <item x="486"/>
        <item x="244"/>
        <item x="765"/>
        <item x="807"/>
        <item x="945"/>
        <item x="23"/>
        <item x="94"/>
        <item x="840"/>
        <item x="374"/>
        <item x="395"/>
        <item x="793"/>
        <item x="811"/>
        <item x="355"/>
        <item x="756"/>
        <item x="934"/>
        <item x="20"/>
        <item x="447"/>
        <item x="984"/>
        <item x="544"/>
        <item x="702"/>
        <item x="729"/>
        <item x="403"/>
        <item x="778"/>
        <item x="279"/>
        <item x="196"/>
        <item x="108"/>
        <item x="983"/>
        <item x="689"/>
        <item x="127"/>
        <item x="313"/>
        <item x="875"/>
        <item x="722"/>
        <item x="438"/>
        <item x="812"/>
        <item x="271"/>
        <item x="635"/>
        <item x="193"/>
        <item x="878"/>
        <item x="437"/>
        <item x="837"/>
        <item x="873"/>
        <item x="352"/>
        <item x="63"/>
        <item x="433"/>
        <item x="280"/>
        <item x="797"/>
        <item x="960"/>
        <item x="591"/>
        <item x="717"/>
        <item x="871"/>
        <item x="452"/>
        <item x="973"/>
        <item x="394"/>
        <item x="184"/>
        <item x="463"/>
        <item x="225"/>
        <item x="677"/>
        <item x="734"/>
        <item x="262"/>
        <item x="331"/>
        <item x="901"/>
        <item x="111"/>
        <item x="773"/>
        <item x="932"/>
        <item x="670"/>
        <item x="6"/>
        <item x="489"/>
        <item x="5"/>
        <item x="766"/>
        <item x="26"/>
        <item x="553"/>
        <item x="362"/>
        <item x="893"/>
        <item x="676"/>
        <item x="942"/>
        <item x="408"/>
        <item x="384"/>
        <item x="373"/>
        <item x="19"/>
        <item x="704"/>
        <item x="498"/>
        <item x="412"/>
        <item x="540"/>
        <item x="415"/>
        <item x="712"/>
        <item x="842"/>
        <item x="101"/>
        <item x="287"/>
        <item x="844"/>
        <item x="659"/>
        <item x="876"/>
        <item x="666"/>
        <item x="147"/>
        <item x="841"/>
        <item x="921"/>
        <item x="471"/>
        <item x="703"/>
        <item x="359"/>
        <item t="default"/>
      </items>
    </pivotField>
    <pivotField showAll="0"/>
    <pivotField axis="axisRow" showAll="0">
      <items count="4">
        <item h="1" x="1"/>
        <item h="1" x="0"/>
        <item x="2"/>
        <item t="default"/>
      </items>
    </pivotField>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Fields count="1">
    <field x="11"/>
  </rowFields>
  <rowItems count="2">
    <i>
      <x v="2"/>
    </i>
    <i t="grand">
      <x/>
    </i>
  </rowItems>
  <colItems count="1">
    <i/>
  </colItems>
  <dataFields count="1">
    <dataField name="Sum of Purchase_Amount" fld="9" baseField="0" baseItem="0"/>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84FE537-C263-4DED-B49A-AAE5FB15CE47}"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7:M8" firstHeaderRow="1" firstDataRow="1" firstDataCol="0"/>
  <pivotFields count="28">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s>
  <rowItems count="1">
    <i/>
  </rowItems>
  <colItems count="1">
    <i/>
  </colItems>
  <dataFields count="1">
    <dataField name="Total Brand_Loyalty" fld="12" baseField="0" baseItem="0"/>
  </dataFields>
  <formats count="3">
    <format dxfId="20">
      <pivotArea type="all" dataOnly="0" outline="0" fieldPosition="0"/>
    </format>
    <format dxfId="19">
      <pivotArea outline="0" collapsedLevelsAreSubtotals="1" fieldPosition="0"/>
    </format>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EF85A6A-5F8D-4B93-8FB0-C9DFC33A41D3}" autoFormatId="16" applyNumberFormats="0" applyBorderFormats="0" applyFontFormats="0" applyPatternFormats="0" applyAlignmentFormats="0" applyWidthHeightFormats="0">
  <queryTableRefresh nextId="29">
    <queryTableFields count="28">
      <queryTableField id="1" name="Customer_ID" tableColumnId="1"/>
      <queryTableField id="2" name="Age" tableColumnId="2"/>
      <queryTableField id="3" name="Gender" tableColumnId="3"/>
      <queryTableField id="4" name="Income_Level" tableColumnId="4"/>
      <queryTableField id="5" name="Marital_Status" tableColumnId="5"/>
      <queryTableField id="6" name="Education_Level" tableColumnId="6"/>
      <queryTableField id="7" name="Occupation" tableColumnId="7"/>
      <queryTableField id="8" name="Location" tableColumnId="8"/>
      <queryTableField id="9" name="Purchase_Category" tableColumnId="9"/>
      <queryTableField id="10" name="Purchase_Amount" tableColumnId="10"/>
      <queryTableField id="11" name="Frequency_of_Purchase" tableColumnId="11"/>
      <queryTableField id="12" name="Purchase_Channel" tableColumnId="12"/>
      <queryTableField id="13" name="Brand_Loyalty" tableColumnId="13"/>
      <queryTableField id="14" name="Product_Rating" tableColumnId="14"/>
      <queryTableField id="15" name="Time_Spent_on_Product_Research(hours)" tableColumnId="15"/>
      <queryTableField id="16" name="Social_Media_Influence" tableColumnId="16"/>
      <queryTableField id="17" name="Discount_Sensitivity" tableColumnId="17"/>
      <queryTableField id="18" name="Return_Rate" tableColumnId="18"/>
      <queryTableField id="19" name="Customer_Satisfaction" tableColumnId="19"/>
      <queryTableField id="20" name="Engagement_with_Ads" tableColumnId="20"/>
      <queryTableField id="21" name="Device_Used_for_Shopping" tableColumnId="21"/>
      <queryTableField id="22" name="Payment_Method" tableColumnId="22"/>
      <queryTableField id="23" name="Time_of_Purchase" tableColumnId="23"/>
      <queryTableField id="24" name="Discount_Used" tableColumnId="24"/>
      <queryTableField id="25" name="Customer_Loyalty_Program_Member" tableColumnId="25"/>
      <queryTableField id="26" name="Purchase_Intent" tableColumnId="26"/>
      <queryTableField id="27" name="Shipping_Preference" tableColumnId="27"/>
      <queryTableField id="28" name="Time_to_Decision" tableColumnId="2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F36AF45-0159-49CC-9FF3-CB23E7F4146E}" autoFormatId="16" applyNumberFormats="0" applyBorderFormats="0" applyFontFormats="0" applyPatternFormats="0" applyAlignmentFormats="0" applyWidthHeightFormats="0">
  <queryTableRefresh nextId="32" unboundColumnsRight="3">
    <queryTableFields count="31">
      <queryTableField id="1" name="Customer_ID" tableColumnId="1"/>
      <queryTableField id="2" name="Age" tableColumnId="2"/>
      <queryTableField id="3" name="Gender" tableColumnId="3"/>
      <queryTableField id="4" name="Income_Level" tableColumnId="4"/>
      <queryTableField id="5" name="Marital_Status" tableColumnId="5"/>
      <queryTableField id="6" name="Education_Level" tableColumnId="6"/>
      <queryTableField id="7" name="Occupation" tableColumnId="7"/>
      <queryTableField id="8" name="Location" tableColumnId="8"/>
      <queryTableField id="9" name="Purchase_Category" tableColumnId="9"/>
      <queryTableField id="10" name="Purchase_Amount" tableColumnId="10"/>
      <queryTableField id="11" name="Frequency_of_Purchase" tableColumnId="11"/>
      <queryTableField id="12" name="Purchase_Channel" tableColumnId="12"/>
      <queryTableField id="13" name="Brand_Loyalty" tableColumnId="13"/>
      <queryTableField id="14" name="Product_Rating" tableColumnId="14"/>
      <queryTableField id="15" name="Time_Spent_on_Product_Research(hours)" tableColumnId="15"/>
      <queryTableField id="16" name="Social_Media_Influence" tableColumnId="16"/>
      <queryTableField id="17" name="Discount_Sensitivity" tableColumnId="17"/>
      <queryTableField id="18" name="Return_Rate" tableColumnId="18"/>
      <queryTableField id="19" name="Customer_Satisfaction" tableColumnId="19"/>
      <queryTableField id="20" name="Engagement_with_Ads" tableColumnId="20"/>
      <queryTableField id="21" name="Device_Used_for_Shopping" tableColumnId="21"/>
      <queryTableField id="22" name="Payment_Method" tableColumnId="22"/>
      <queryTableField id="23" name="Time_of_Purchase" tableColumnId="23"/>
      <queryTableField id="24" name="Discount_Used" tableColumnId="24"/>
      <queryTableField id="25" name="Customer_Loyalty_Program_Member" tableColumnId="25"/>
      <queryTableField id="26" name="Purchase_Intent" tableColumnId="26"/>
      <queryTableField id="27" name="Shipping_Preference" tableColumnId="27"/>
      <queryTableField id="28" name="Time_to_Decision" tableColumnId="28"/>
      <queryTableField id="29" dataBound="0" tableColumnId="29"/>
      <queryTableField id="30" dataBound="0" tableColumnId="30"/>
      <queryTableField id="31" dataBound="0" tableColumnId="31"/>
    </queryTableFields>
  </queryTableRefresh>
</queryTable>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8</v>
    <v>0</v>
    <v>3</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713EBF1-D948-43A0-A674-2F8B54A1687B}" sourceName="Marital_Status">
  <pivotTables>
    <pivotTable tabId="6" name="PivotTable2"/>
  </pivotTables>
  <data>
    <tabular pivotCacheId="849200627">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Level" xr10:uid="{4C310DB2-30B8-4DBC-8141-764A0144DCF4}" sourceName="Education_Level">
  <pivotTables>
    <pivotTable tabId="6" name="PivotTable2"/>
  </pivotTables>
  <data>
    <tabular pivotCacheId="849200627">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00E75DE-C142-495D-8A56-24B4F083A9A7}" sourceName="Occupation">
  <pivotTables>
    <pivotTable tabId="6" name="PivotTable2"/>
  </pivotTables>
  <data>
    <tabular pivotCacheId="849200627">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Amount" xr10:uid="{0CD45AD4-66F0-480B-8F04-EF1DBEAAB304}" sourceName="Purchase_Amount">
  <pivotTables>
    <pivotTable tabId="6" name="PivotTable2"/>
  </pivotTables>
  <data>
    <tabular pivotCacheId="849200627">
      <items count="989">
        <i x="242" s="1"/>
        <i x="585" s="1"/>
        <i x="47" s="1"/>
        <i x="824" s="1"/>
        <i x="212" s="1"/>
        <i x="41" s="1"/>
        <i x="718" s="1"/>
        <i x="21" s="1"/>
        <i x="227" s="1"/>
        <i x="181" s="1"/>
        <i x="125" s="1"/>
        <i x="14" s="1"/>
        <i x="317" s="1"/>
        <i x="506" s="1"/>
        <i x="391" s="1"/>
        <i x="209" s="1"/>
        <i x="272" s="1"/>
        <i x="709" s="1"/>
        <i x="738" s="1"/>
        <i x="177" s="1"/>
        <i x="954" s="1"/>
        <i x="467" s="1"/>
        <i x="257" s="1"/>
        <i x="134" s="1"/>
        <i x="155" s="1"/>
        <i x="953" s="1"/>
        <i x="411" s="1"/>
        <i x="81" s="1"/>
        <i x="655" s="1"/>
        <i x="210" s="1"/>
        <i x="918" s="1"/>
        <i x="651" s="1"/>
        <i x="706" s="1"/>
        <i x="852" s="1"/>
        <i x="650" s="1"/>
        <i x="135" s="1"/>
        <i x="402" s="1"/>
        <i x="617" s="1"/>
        <i x="981" s="1"/>
        <i x="253" s="1"/>
        <i x="782" s="1"/>
        <i x="199" s="1"/>
        <i x="175" s="1"/>
        <i x="802" s="1"/>
        <i x="930" s="1"/>
        <i x="884" s="1"/>
        <i x="619" s="1"/>
        <i x="371" s="1"/>
        <i x="15" s="1"/>
        <i x="727" s="1"/>
        <i x="252" s="1"/>
        <i x="75" s="1"/>
        <i x="267" s="1"/>
        <i x="82" s="1"/>
        <i x="541" s="1"/>
        <i x="959" s="1"/>
        <i x="629" s="1"/>
        <i x="259" s="1"/>
        <i x="533" s="1"/>
        <i x="732" s="1"/>
        <i x="507" s="1"/>
        <i x="149" s="1"/>
        <i x="879" s="1"/>
        <i x="688" s="1"/>
        <i x="435" s="1"/>
        <i x="814" s="1"/>
        <i x="928" s="1"/>
        <i x="783" s="1"/>
        <i x="345" s="1"/>
        <i x="207" s="1"/>
        <i x="264" s="1"/>
        <i x="159" s="1"/>
        <i x="963" s="1"/>
        <i x="372" s="1"/>
        <i x="602" s="1"/>
        <i x="752" s="1"/>
        <i x="365" s="1"/>
        <i x="297" s="1"/>
        <i x="714" s="1"/>
        <i x="387" s="1"/>
        <i x="366" s="1"/>
        <i x="845" s="1"/>
        <i x="206" s="1"/>
        <i x="562" s="1"/>
        <i x="104" s="1"/>
        <i x="59" s="1"/>
        <i x="573" s="1"/>
        <i x="316" s="1"/>
        <i x="56" s="1"/>
        <i x="195" s="1"/>
        <i x="442" s="1"/>
        <i x="469" s="1"/>
        <i x="708" s="1"/>
        <i x="102" s="1"/>
        <i x="414" s="1"/>
        <i x="826" s="1"/>
        <i x="470" s="1"/>
        <i x="307" s="1"/>
        <i x="342" s="1"/>
        <i x="276" s="1"/>
        <i x="490" s="1"/>
        <i x="851" s="1"/>
        <i x="89" s="1"/>
        <i x="771" s="1"/>
        <i x="165" s="1"/>
        <i x="436" s="1"/>
        <i x="846" s="1"/>
        <i x="398" s="1"/>
        <i x="273" s="1"/>
        <i x="475" s="1"/>
        <i x="866" s="1"/>
        <i x="935" s="1"/>
        <i x="895" s="1"/>
        <i x="170" s="1"/>
        <i x="979" s="1"/>
        <i x="333" s="1"/>
        <i x="962" s="1"/>
        <i x="599" s="1"/>
        <i x="969" s="1"/>
        <i x="456" s="1"/>
        <i x="715" s="1"/>
        <i x="78" s="1"/>
        <i x="278" s="1"/>
        <i x="341" s="1"/>
        <i x="84" s="1"/>
        <i x="822" s="1"/>
        <i x="530" s="1"/>
        <i x="7" s="1"/>
        <i x="502" s="1"/>
        <i x="230" s="1"/>
        <i x="632" s="1"/>
        <i x="823" s="1"/>
        <i x="761" s="1"/>
        <i x="627" s="1"/>
        <i x="150" s="1"/>
        <i x="48" s="1"/>
        <i x="205" s="1"/>
        <i x="458" s="1"/>
        <i x="304" s="1"/>
        <i x="800" s="1"/>
        <i x="672" s="1"/>
        <i x="455" s="1"/>
        <i x="357" s="1"/>
        <i x="690" s="1"/>
        <i x="660" s="1"/>
        <i x="11" s="1"/>
        <i x="603" s="1"/>
        <i x="57" s="1"/>
        <i x="964" s="1"/>
        <i x="867" s="1"/>
        <i x="251" s="1"/>
        <i x="138" s="1"/>
        <i x="492" s="1"/>
        <i x="274" s="1"/>
        <i x="912" s="1"/>
        <i x="965" s="1"/>
        <i x="120" s="1"/>
        <i x="419" s="1"/>
        <i x="292" s="1"/>
        <i x="42" s="1"/>
        <i x="117" s="1"/>
        <i x="694" s="1"/>
        <i x="123" s="1"/>
        <i x="915" s="1"/>
        <i x="646" s="1"/>
        <i x="378" s="1"/>
        <i x="944" s="1"/>
        <i x="169" s="1"/>
        <i x="116" s="1"/>
        <i x="513" s="1"/>
        <i x="746" s="1"/>
        <i x="451" s="1"/>
        <i x="731" s="1"/>
        <i x="751" s="1"/>
        <i x="554" s="1"/>
        <i x="864" s="1"/>
        <i x="900" s="1"/>
        <i x="392" s="1"/>
        <i x="231" s="1"/>
        <i x="202" s="1"/>
        <i x="843" s="1"/>
        <i x="931" s="1"/>
        <i x="808" s="1"/>
        <i x="142" s="1"/>
        <i x="949" s="1"/>
        <i x="620" s="1"/>
        <i x="192" s="1"/>
        <i x="425" s="1"/>
        <i x="748" s="1"/>
        <i x="967" s="1"/>
        <i x="775" s="1"/>
        <i x="122" s="1"/>
        <i x="980" s="1"/>
        <i x="594" s="1"/>
        <i x="896" s="1"/>
        <i x="749" s="1"/>
        <i x="431" s="1"/>
        <i x="630" s="1"/>
        <i x="819" s="1"/>
        <i x="929" s="1"/>
        <i x="576" s="1"/>
        <i x="833" s="1"/>
        <i x="697" s="1"/>
        <i x="65" s="1"/>
        <i x="911" s="1"/>
        <i x="351" s="1"/>
        <i x="938" s="1"/>
        <i x="658" s="1"/>
        <i x="36" s="1"/>
        <i x="514" s="1"/>
        <i x="675" s="1"/>
        <i x="148" s="1"/>
        <i x="370" s="1"/>
        <i x="907" s="1"/>
        <i x="161" s="1"/>
        <i x="815" s="1"/>
        <i x="39" s="1"/>
        <i x="30" s="1"/>
        <i x="305" s="1"/>
        <i x="482" s="1"/>
        <i x="972" s="1"/>
        <i x="483" s="1"/>
        <i x="673" s="1"/>
        <i x="558" s="1"/>
        <i x="976" s="1"/>
        <i x="747" s="1"/>
        <i x="787" s="1"/>
        <i x="789" s="1"/>
        <i x="664" s="1"/>
        <i x="478" s="1"/>
        <i x="401" s="1"/>
        <i x="301" s="1"/>
        <i x="69" s="1"/>
        <i x="176" s="1"/>
        <i x="247" s="1"/>
        <i x="854" s="1"/>
        <i x="275" s="1"/>
        <i x="354" s="1"/>
        <i x="76" s="1"/>
        <i x="484" s="1"/>
        <i x="725" s="1"/>
        <i x="679" s="1"/>
        <i x="90" s="1"/>
        <i x="988" s="1"/>
        <i x="97" s="1"/>
        <i x="593" s="1"/>
        <i x="49" s="1"/>
        <i x="639" s="1"/>
        <i x="680" s="1"/>
        <i x="245" s="1"/>
        <i x="685" s="1"/>
        <i x="584" s="1"/>
        <i x="523" s="1"/>
        <i x="386" s="1"/>
        <i x="910" s="1"/>
        <i x="46" s="1"/>
        <i x="572" s="1"/>
        <i x="250" s="1"/>
        <i x="546" s="1"/>
        <i x="121" s="1"/>
        <i x="719" s="1"/>
        <i x="831" s="1"/>
        <i x="744" s="1"/>
        <i x="477" s="1"/>
        <i x="920" s="1"/>
        <i x="409" s="1"/>
        <i x="644" s="1"/>
        <i x="611" s="1"/>
        <i x="233" s="1"/>
        <i x="743" s="1"/>
        <i x="614" s="1"/>
        <i x="9" s="1"/>
        <i x="820" s="1"/>
        <i x="146" s="1"/>
        <i x="516" s="1"/>
        <i x="55" s="1"/>
        <i x="874" s="1"/>
        <i x="421" s="1"/>
        <i x="500" s="1"/>
        <i x="966" s="1"/>
        <i x="31" s="1"/>
        <i x="485" s="1"/>
        <i x="886" s="1"/>
        <i x="880" s="1"/>
        <i x="909" s="1"/>
        <i x="625" s="1"/>
        <i x="139" s="1"/>
        <i x="183" s="1"/>
        <i x="816" s="1"/>
        <i x="519" s="1"/>
        <i x="99" s="1"/>
        <i x="570" s="1"/>
        <i x="640" s="1"/>
        <i x="468" s="1"/>
        <i x="780" s="1"/>
        <i x="33" s="1"/>
        <i x="309" s="1"/>
        <i x="322" s="1"/>
        <i x="898" s="1"/>
        <i x="486" s="1"/>
        <i x="807" s="1"/>
        <i x="23" s="1"/>
        <i x="94" s="1"/>
        <i x="756" s="1"/>
        <i x="934" s="1"/>
        <i x="984" s="1"/>
        <i x="702" s="1"/>
        <i x="403" s="1"/>
        <i x="983" s="1"/>
        <i x="438" s="1"/>
        <i x="812" s="1"/>
        <i x="635" s="1"/>
        <i x="878" s="1"/>
        <i x="63" s="1"/>
        <i x="433" s="1"/>
        <i x="591" s="1"/>
        <i x="871" s="1"/>
        <i x="394" s="1"/>
        <i x="734" s="1"/>
        <i x="262" s="1"/>
        <i x="331" s="1"/>
        <i x="111" s="1"/>
        <i x="6" s="1"/>
        <i x="489" s="1"/>
        <i x="26" s="1"/>
        <i x="408" s="1"/>
        <i x="373" s="1"/>
        <i x="415" s="1"/>
        <i x="842" s="1"/>
        <i x="287" s="1"/>
        <i x="471" s="1"/>
        <i x="703" s="1"/>
        <i x="359" s="1"/>
        <i x="380" s="1" nd="1"/>
        <i x="610" s="1" nd="1"/>
        <i x="947" s="1" nd="1"/>
        <i x="858" s="1" nd="1"/>
        <i x="35" s="1" nd="1"/>
        <i x="720" s="1" nd="1"/>
        <i x="338" s="1" nd="1"/>
        <i x="265" s="1" nd="1"/>
        <i x="179" s="1" nd="1"/>
        <i x="853" s="1" nd="1"/>
        <i x="656" s="1" nd="1"/>
        <i x="786" s="1" nd="1"/>
        <i x="882" s="1" nd="1"/>
        <i x="479" s="1" nd="1"/>
        <i x="543" s="1" nd="1"/>
        <i x="792" s="1" nd="1"/>
        <i x="721" s="1" nd="1"/>
        <i x="755" s="1" nd="1"/>
        <i x="12" s="1" nd="1"/>
        <i x="429" s="1" nd="1"/>
        <i x="621" s="1" nd="1"/>
        <i x="369" s="1" nd="1"/>
        <i x="538" s="1" nd="1"/>
        <i x="902" s="1" nd="1"/>
        <i x="418" s="1" nd="1"/>
        <i x="368" s="1" nd="1"/>
        <i x="480" s="1" nd="1"/>
        <i x="235" s="1" nd="1"/>
        <i x="434" s="1" nd="1"/>
        <i x="332" s="1" nd="1"/>
        <i x="985" s="1" nd="1"/>
        <i x="377" s="1" nd="1"/>
        <i x="194" s="1" nd="1"/>
        <i x="450" s="1" nd="1"/>
        <i x="277" s="1" nd="1"/>
        <i x="865" s="1" nd="1"/>
        <i x="420" s="1" nd="1"/>
        <i x="861" s="1" nd="1"/>
        <i x="515" s="1" nd="1"/>
        <i x="45" s="1" nd="1"/>
        <i x="348" s="1" nd="1"/>
        <i x="784" s="1" nd="1"/>
        <i x="698" s="1" nd="1"/>
        <i x="171" s="1" nd="1"/>
        <i x="587" s="1" nd="1"/>
        <i x="13" s="1" nd="1"/>
        <i x="693" s="1" nd="1"/>
        <i x="27" s="1" nd="1"/>
        <i x="951" s="1" nd="1"/>
        <i x="847" s="1" nd="1"/>
        <i x="622" s="1" nd="1"/>
        <i x="726" s="1" nd="1"/>
        <i x="753" s="1" nd="1"/>
        <i x="615" s="1" nd="1"/>
        <i x="736" s="1" nd="1"/>
        <i x="440" s="1" nd="1"/>
        <i x="453" s="1" nd="1"/>
        <i x="872" s="1" nd="1"/>
        <i x="85" s="1" nd="1"/>
        <i x="499" s="1" nd="1"/>
        <i x="525" s="1" nd="1"/>
        <i x="799" s="1" nd="1"/>
        <i x="405" s="1" nd="1"/>
        <i x="162" s="1" nd="1"/>
        <i x="869" s="1" nd="1"/>
        <i x="389" s="1" nd="1"/>
        <i x="580" s="1" nd="1"/>
        <i x="427" s="1" nd="1"/>
        <i x="417" s="1" nd="1"/>
        <i x="890" s="1" nd="1"/>
        <i x="956" s="1" nd="1"/>
        <i x="600" s="1" nd="1"/>
        <i x="214" s="1" nd="1"/>
        <i x="133" s="1" nd="1"/>
        <i x="648" s="1" nd="1"/>
        <i x="187" s="1" nd="1"/>
        <i x="3" s="1" nd="1"/>
        <i x="157" s="1" nd="1"/>
        <i x="633" s="1" nd="1"/>
        <i x="608" s="1" nd="1"/>
        <i x="185" s="1" nd="1"/>
        <i x="234" s="1" nd="1"/>
        <i x="330" s="1" nd="1"/>
        <i x="555" s="1" nd="1"/>
        <i x="817" s="1" nd="1"/>
        <i x="987" s="1" nd="1"/>
        <i x="838" s="1" nd="1"/>
        <i x="649" s="1" nd="1"/>
        <i x="441" s="1" nd="1"/>
        <i x="91" s="1" nd="1"/>
        <i x="549" s="1" nd="1"/>
        <i x="44" s="1" nd="1"/>
        <i x="51" s="1" nd="1"/>
        <i x="86" s="1" nd="1"/>
        <i x="223" s="1" nd="1"/>
        <i x="168" s="1" nd="1"/>
        <i x="335" s="1" nd="1"/>
        <i x="711" s="1" nd="1"/>
        <i x="548" s="1" nd="1"/>
        <i x="624" s="1" nd="1"/>
        <i x="261" s="1" nd="1"/>
        <i x="545" s="1" nd="1"/>
        <i x="857" s="1" nd="1"/>
        <i x="683" s="1" nd="1"/>
        <i x="180" s="1" nd="1"/>
        <i x="83" s="1" nd="1"/>
        <i x="361" s="1" nd="1"/>
        <i x="382" s="1" nd="1"/>
        <i x="699" s="1" nd="1"/>
        <i x="770" s="1" nd="1"/>
        <i x="448" s="1" nd="1"/>
        <i x="154" s="1" nd="1"/>
        <i x="652" s="1" nd="1"/>
        <i x="315" s="1" nd="1"/>
        <i x="716" s="1" nd="1"/>
        <i x="424" s="1" nd="1"/>
        <i x="493" s="1" nd="1"/>
        <i x="167" s="1" nd="1"/>
        <i x="877" s="1" nd="1"/>
        <i x="221" s="1" nd="1"/>
        <i x="588" s="1" nd="1"/>
        <i x="464" s="1" nd="1"/>
        <i x="243" s="1" nd="1"/>
        <i x="661" s="1" nd="1"/>
        <i x="638" s="1" nd="1"/>
        <i x="763" s="1" nd="1"/>
        <i x="28" s="1" nd="1"/>
        <i x="776" s="1" nd="1"/>
        <i x="87" s="1" nd="1"/>
        <i x="25" s="1" nd="1"/>
        <i x="164" s="1" nd="1"/>
        <i x="641" s="1" nd="1"/>
        <i x="34" s="1" nd="1"/>
        <i x="828" s="1" nd="1"/>
        <i x="504" s="1" nd="1"/>
        <i x="224" s="1" nd="1"/>
        <i x="564" s="1" nd="1"/>
        <i x="505" s="1" nd="1"/>
        <i x="188" s="1" nd="1"/>
        <i x="713" s="1" nd="1"/>
        <i x="581" s="1" nd="1"/>
        <i x="201" s="1" nd="1"/>
        <i x="643" s="1" nd="1"/>
        <i x="293" s="1" nd="1"/>
        <i x="141" s="1" nd="1"/>
        <i x="705" s="1" nd="1"/>
        <i x="978" s="1" nd="1"/>
        <i x="283" s="1" nd="1"/>
        <i x="767" s="1" nd="1"/>
        <i x="198" s="1" nd="1"/>
        <i x="829" s="1" nd="1"/>
        <i x="532" s="1" nd="1"/>
        <i x="701" s="1" nd="1"/>
        <i x="535" s="1" nd="1"/>
        <i x="668" s="1" nd="1"/>
        <i x="892" s="1" nd="1"/>
        <i x="254" s="1" nd="1"/>
        <i x="575" s="1" nd="1"/>
        <i x="977" s="1" nd="1"/>
        <i x="586" s="1" nd="1"/>
        <i x="801" s="1" nd="1"/>
        <i x="100" s="1" nd="1"/>
        <i x="888" s="1" nd="1"/>
        <i x="281" s="1" nd="1"/>
        <i x="687" s="1" nd="1"/>
        <i x="894" s="1" nd="1"/>
        <i x="476" s="1" nd="1"/>
        <i x="579" s="1" nd="1"/>
        <i x="114" s="1" nd="1"/>
        <i x="598" s="1" nd="1"/>
        <i x="113" s="1" nd="1"/>
        <i x="556" s="1" nd="1"/>
        <i x="107" s="1" nd="1"/>
        <i x="321" s="1" nd="1"/>
        <i x="136" s="1" nd="1"/>
        <i x="616" s="1" nd="1"/>
        <i x="226" s="1" nd="1"/>
        <i x="684" s="1" nd="1"/>
        <i x="526" s="1" nd="1"/>
        <i x="889" s="1" nd="1"/>
        <i x="53" s="1" nd="1"/>
        <i x="863" s="1" nd="1"/>
        <i x="258" s="1" nd="1"/>
        <i x="518" s="1" nd="1"/>
        <i x="472" s="1" nd="1"/>
        <i x="830" s="1" nd="1"/>
        <i x="933" s="1" nd="1"/>
        <i x="832" s="1" nd="1"/>
        <i x="497" s="1" nd="1"/>
        <i x="93" s="1" nd="1"/>
        <i x="733" s="1" nd="1"/>
        <i x="347" s="1" nd="1"/>
        <i x="723" s="1" nd="1"/>
        <i x="975" s="1" nd="1"/>
        <i x="917" s="1" nd="1"/>
        <i x="728" s="1" nd="1"/>
        <i x="228" s="1" nd="1"/>
        <i x="360" s="1" nd="1"/>
        <i x="337" s="1" nd="1"/>
        <i x="129" s="1" nd="1"/>
        <i x="856" s="1" nd="1"/>
        <i x="626" s="1" nd="1"/>
        <i x="772" s="1" nd="1"/>
        <i x="238" s="1" nd="1"/>
        <i x="883" s="1" nd="1"/>
        <i x="927" s="1" nd="1"/>
        <i x="454" s="1" nd="1"/>
        <i x="601" s="1" nd="1"/>
        <i x="200" s="1" nd="1"/>
        <i x="750" s="1" nd="1"/>
        <i x="145" s="1" nd="1"/>
        <i x="806" s="1" nd="1"/>
        <i x="397" s="1" nd="1"/>
        <i x="508" s="1" nd="1"/>
        <i x="836" s="1" nd="1"/>
        <i x="674" s="1" nd="1"/>
        <i x="72" s="1" nd="1"/>
        <i x="940" s="1" nd="1"/>
        <i x="653" s="1" nd="1"/>
        <i x="343" s="1" nd="1"/>
        <i x="577" s="1" nd="1"/>
        <i x="260" s="1" nd="1"/>
        <i x="522" s="1" nd="1"/>
        <i x="8" s="1" nd="1"/>
        <i x="239" s="1" nd="1"/>
        <i x="914" s="1" nd="1"/>
        <i x="303" s="1" nd="1"/>
        <i x="805" s="1" nd="1"/>
        <i x="118" s="1" nd="1"/>
        <i x="849" s="1" nd="1"/>
        <i x="740" s="1" nd="1"/>
        <i x="314" s="1" nd="1"/>
        <i x="503" s="1" nd="1"/>
        <i x="561" s="1" nd="1"/>
        <i x="974" s="1" nd="1"/>
        <i x="582" s="1" nd="1"/>
        <i x="197" s="1" nd="1"/>
        <i x="681" s="1" nd="1"/>
        <i x="474" s="1" nd="1"/>
        <i x="595" s="1" nd="1"/>
        <i x="95" s="1" nd="1"/>
        <i x="4" s="1" nd="1"/>
        <i x="246" s="1" nd="1"/>
        <i x="443" s="1" nd="1"/>
        <i x="754" s="1" nd="1"/>
        <i x="785" s="1" nd="1"/>
        <i x="399" s="1" nd="1"/>
        <i x="860" s="1" nd="1"/>
        <i x="631" s="1" nd="1"/>
        <i x="596" s="1" nd="1"/>
        <i x="762" s="1" nd="1"/>
        <i x="768" s="1" nd="1"/>
        <i x="905" s="1" nd="1"/>
        <i x="1" s="1" nd="1"/>
        <i x="376" s="1" nd="1"/>
        <i x="66" s="1" nd="1"/>
        <i x="495" s="1" nd="1"/>
        <i x="730" s="1" nd="1"/>
        <i x="182" s="1" nd="1"/>
        <i x="745" s="1" nd="1"/>
        <i x="126" s="1" nd="1"/>
        <i x="191" s="1" nd="1"/>
        <i x="779" s="1" nd="1"/>
        <i x="760" s="1" nd="1"/>
        <i x="215" s="1" nd="1"/>
        <i x="512" s="1" nd="1"/>
        <i x="430" s="1" nd="1"/>
        <i x="891" s="1" nd="1"/>
        <i x="137" s="1" nd="1"/>
        <i x="887" s="1" nd="1"/>
        <i x="320" s="1" nd="1"/>
        <i x="899" s="1" nd="1"/>
        <i x="521" s="1" nd="1"/>
        <i x="17" s="1" nd="1"/>
        <i x="383" s="1" nd="1"/>
        <i x="298" s="1" nd="1"/>
        <i x="299" s="1" nd="1"/>
        <i x="955" s="1" nd="1"/>
        <i x="566" s="1" nd="1"/>
        <i x="326" s="1" nd="1"/>
        <i x="774" s="1" nd="1"/>
        <i x="925" s="1" nd="1"/>
        <i x="571" s="1" nd="1"/>
        <i x="385" s="1" nd="1"/>
        <i x="827" s="1" nd="1"/>
        <i x="781" s="1" nd="1"/>
        <i x="457" s="1" nd="1"/>
        <i x="834" s="1" nd="1"/>
        <i x="241" s="1" nd="1"/>
        <i x="109" s="1" nd="1"/>
        <i x="777" s="1" nd="1"/>
        <i x="166" s="1" nd="1"/>
        <i x="790" s="1" nd="1"/>
        <i x="567" s="1" nd="1"/>
        <i x="282" s="1" nd="1"/>
        <i x="696" s="1" nd="1"/>
        <i x="112" s="1" nd="1"/>
        <i x="393" s="1" nd="1"/>
        <i x="870" s="1" nd="1"/>
        <i x="821" s="1" nd="1"/>
        <i x="24" s="1" nd="1"/>
        <i x="885" s="1" nd="1"/>
        <i x="937" s="1" nd="1"/>
        <i x="520" s="1" nd="1"/>
        <i x="217" s="1" nd="1"/>
        <i x="657" s="1" nd="1"/>
        <i x="172" s="1" nd="1"/>
        <i x="916" s="1" nd="1"/>
        <i x="308" s="1" nd="1"/>
        <i x="404" s="1" nd="1"/>
        <i x="37" s="1" nd="1"/>
        <i x="240" s="1" nd="1"/>
        <i x="922" s="1" nd="1"/>
        <i x="881" s="1" nd="1"/>
        <i x="381" s="1" nd="1"/>
        <i x="344" s="1" nd="1"/>
        <i x="349" s="1" nd="1"/>
        <i x="208" s="1" nd="1"/>
        <i x="517" s="1" nd="1"/>
        <i x="98" s="1" nd="1"/>
        <i x="358" s="1" nd="1"/>
        <i x="350" s="1" nd="1"/>
        <i x="559" s="1" nd="1"/>
        <i x="219" s="1" nd="1"/>
        <i x="957" s="1" nd="1"/>
        <i x="189" s="1" nd="1"/>
        <i x="237" s="1" nd="1"/>
        <i x="569" s="1" nd="1"/>
        <i x="211" s="1" nd="1"/>
        <i x="906" s="1" nd="1"/>
        <i x="628" s="1" nd="1"/>
        <i x="222" s="1" nd="1"/>
        <i x="481" s="1" nd="1"/>
        <i x="178" s="1" nd="1"/>
        <i x="327" s="1" nd="1"/>
        <i x="794" s="1" nd="1"/>
        <i x="32" s="1" nd="1"/>
        <i x="340" s="1" nd="1"/>
        <i x="795" s="1" nd="1"/>
        <i x="609" s="1" nd="1"/>
        <i x="64" s="1" nd="1"/>
        <i x="578" s="1" nd="1"/>
        <i x="637" s="1" nd="1"/>
        <i x="396" s="1" nd="1"/>
        <i x="255" s="1" nd="1"/>
        <i x="848" s="1" nd="1"/>
        <i x="174" s="1" nd="1"/>
        <i x="913" s="1" nd="1"/>
        <i x="607" s="1" nd="1"/>
        <i x="43" s="1" nd="1"/>
        <i x="613" s="1" nd="1"/>
        <i x="855" s="1" nd="1"/>
        <i x="686" s="1" nd="1"/>
        <i x="724" s="1" nd="1"/>
        <i x="536" s="1" nd="1"/>
        <i x="286" s="1" nd="1"/>
        <i x="296" s="1" nd="1"/>
        <i x="323" s="1" nd="1"/>
        <i x="74" s="1" nd="1"/>
        <i x="926" s="1" nd="1"/>
        <i x="654" s="1" nd="1"/>
        <i x="527" s="1" nd="1"/>
        <i x="52" s="1" nd="1"/>
        <i x="589" s="1" nd="1"/>
        <i x="592" s="1" nd="1"/>
        <i x="295" s="1" nd="1"/>
        <i x="300" s="1" nd="1"/>
        <i x="364" s="1" nd="1"/>
        <i x="363" s="1" nd="1"/>
        <i x="788" s="1" nd="1"/>
        <i x="203" s="1" nd="1"/>
        <i x="268" s="1" nd="1"/>
        <i x="695" s="1" nd="1"/>
        <i x="604" s="1" nd="1"/>
        <i x="152" s="1" nd="1"/>
        <i x="700" s="1" nd="1"/>
        <i x="153" s="1" nd="1"/>
        <i x="862" s="1" nd="1"/>
        <i x="140" s="1" nd="1"/>
        <i x="971" s="1" nd="1"/>
        <i x="948" s="1" nd="1"/>
        <i x="58" s="1" nd="1"/>
        <i x="550" s="1" nd="1"/>
        <i x="612" s="1" nd="1"/>
        <i x="294" s="1" nd="1"/>
        <i x="367" s="1" nd="1"/>
        <i x="758" s="1" nd="1"/>
        <i x="958" s="1" nd="1"/>
        <i x="590" s="1" nd="1"/>
        <i x="710" s="1" nd="1"/>
        <i x="248" s="1" nd="1"/>
        <i x="868" s="1" nd="1"/>
        <i x="449" s="1" nd="1"/>
        <i x="213" s="1" nd="1"/>
        <i x="270" s="1" nd="1"/>
        <i x="574" s="1" nd="1"/>
        <i x="444" s="1" nd="1"/>
        <i x="310" s="1" nd="1"/>
        <i x="908" s="1" nd="1"/>
        <i x="132" s="1" nd="1"/>
        <i x="460" s="1" nd="1"/>
        <i x="432" s="1" nd="1"/>
        <i x="115" s="1" nd="1"/>
        <i x="70" s="1" nd="1"/>
        <i x="40" s="1" nd="1"/>
        <i x="742" s="1" nd="1"/>
        <i x="897" s="1" nd="1"/>
        <i x="186" s="1" nd="1"/>
        <i x="356" s="1" nd="1"/>
        <i x="390" s="1" nd="1"/>
        <i x="466" s="1" nd="1"/>
        <i x="220" s="1" nd="1"/>
        <i x="312" s="1" nd="1"/>
        <i x="0" s="1" nd="1"/>
        <i x="461" s="1" nd="1"/>
        <i x="306" s="1" nd="1"/>
        <i x="128" s="1" nd="1"/>
        <i x="439" s="1" nd="1"/>
        <i x="941" s="1" nd="1"/>
        <i x="939" s="1" nd="1"/>
        <i x="804" s="1" nd="1"/>
        <i x="663" s="1" nd="1"/>
        <i x="375" s="1" nd="1"/>
        <i x="269" s="1" nd="1"/>
        <i x="459" s="1" nd="1"/>
        <i x="494" s="1" nd="1"/>
        <i x="318" s="1" nd="1"/>
        <i x="968" s="1" nd="1"/>
        <i x="445" s="1" nd="1"/>
        <i x="151" s="1" nd="1"/>
        <i x="329" s="1" nd="1"/>
        <i x="529" s="1" nd="1"/>
        <i x="791" s="1" nd="1"/>
        <i x="285" s="1" nd="1"/>
        <i x="105" s="1" nd="1"/>
        <i x="606" s="1" nd="1"/>
        <i x="284" s="1" nd="1"/>
        <i x="328" s="1" nd="1"/>
        <i x="61" s="1" nd="1"/>
        <i x="741" s="1" nd="1"/>
        <i x="311" s="1" nd="1"/>
        <i x="818" s="1" nd="1"/>
        <i x="324" s="1" nd="1"/>
        <i x="190" s="1" nd="1"/>
        <i x="236" s="1" nd="1"/>
        <i x="77" s="1" nd="1"/>
        <i x="835" s="1" nd="1"/>
        <i x="256" s="1" nd="1"/>
        <i x="667" s="1" nd="1"/>
        <i x="16" s="1" nd="1"/>
        <i x="950" s="1" nd="1"/>
        <i x="537" s="1" nd="1"/>
        <i x="400" s="1" nd="1"/>
        <i x="302" s="1" nd="1"/>
        <i x="163" s="1" nd="1"/>
        <i x="353" s="1" nd="1"/>
        <i x="946" s="1" nd="1"/>
        <i x="60" s="1" nd="1"/>
        <i x="904" s="1" nd="1"/>
        <i x="563" s="1" nd="1"/>
        <i x="110" s="1" nd="1"/>
        <i x="488" s="1" nd="1"/>
        <i x="462" s="1" nd="1"/>
        <i x="92" s="1" nd="1"/>
        <i x="759" s="1" nd="1"/>
        <i x="647" s="1" nd="1"/>
        <i x="810" s="1" nd="1"/>
        <i x="422" s="1" nd="1"/>
        <i x="605" s="1" nd="1"/>
        <i x="534" s="1" nd="1"/>
        <i x="144" s="1" nd="1"/>
        <i x="22" s="1" nd="1"/>
        <i x="38" s="1" nd="1"/>
        <i x="839" s="1" nd="1"/>
        <i x="560" s="1" nd="1"/>
        <i x="952" s="1" nd="1"/>
        <i x="229" s="1" nd="1"/>
        <i x="249" s="1" nd="1"/>
        <i x="106" s="1" nd="1"/>
        <i x="319" s="1" nd="1"/>
        <i x="970" s="1" nd="1"/>
        <i x="80" s="1" nd="1"/>
        <i x="29" s="1" nd="1"/>
        <i x="216" s="1" nd="1"/>
        <i x="919" s="1" nd="1"/>
        <i x="551" s="1" nd="1"/>
        <i x="423" s="1" nd="1"/>
        <i x="825" s="1" nd="1"/>
        <i x="618" s="1" nd="1"/>
        <i x="542" s="1" nd="1"/>
        <i x="809" s="1" nd="1"/>
        <i x="10" s="1" nd="1"/>
        <i x="428" s="1" nd="1"/>
        <i x="68" s="1" nd="1"/>
        <i x="961" s="1" nd="1"/>
        <i x="156" s="1" nd="1"/>
        <i x="547" s="1" nd="1"/>
        <i x="124" s="1" nd="1"/>
        <i x="325" s="1" nd="1"/>
        <i x="143" s="1" nd="1"/>
        <i x="691" s="1" nd="1"/>
        <i x="62" s="1" nd="1"/>
        <i x="491" s="1" nd="1"/>
        <i x="426" s="1" nd="1"/>
        <i x="798" s="1" nd="1"/>
        <i x="79" s="1" nd="1"/>
        <i x="803" s="1" nd="1"/>
        <i x="850" s="1" nd="1"/>
        <i x="465" s="1" nd="1"/>
        <i x="662" s="1" nd="1"/>
        <i x="510" s="1" nd="1"/>
        <i x="528" s="1" nd="1"/>
        <i x="813" s="1" nd="1"/>
        <i x="290" s="1" nd="1"/>
        <i x="119" s="1" nd="1"/>
        <i x="682" s="1" nd="1"/>
        <i x="173" s="1" nd="1"/>
        <i x="416" s="1" nd="1"/>
        <i x="583" s="1" nd="1"/>
        <i x="623" s="1" nd="1"/>
        <i x="924" s="1" nd="1"/>
        <i x="796" s="1" nd="1"/>
        <i x="160" s="1" nd="1"/>
        <i x="232" s="1" nd="1"/>
        <i x="379" s="1" nd="1"/>
        <i x="67" s="1" nd="1"/>
        <i x="735" s="1" nd="1"/>
        <i x="764" s="1" nd="1"/>
        <i x="263" s="1" nd="1"/>
        <i x="336" s="1" nd="1"/>
        <i x="539" s="1" nd="1"/>
        <i x="645" s="1" nd="1"/>
        <i x="96" s="1" nd="1"/>
        <i x="923" s="1" nd="1"/>
        <i x="737" s="1" nd="1"/>
        <i x="557" s="1" nd="1"/>
        <i x="218" s="1" nd="1"/>
        <i x="50" s="1" nd="1"/>
        <i x="597" s="1" nd="1"/>
        <i x="71" s="1" nd="1"/>
        <i x="707" s="1" nd="1"/>
        <i x="406" s="1" nd="1"/>
        <i x="473" s="1" nd="1"/>
        <i x="158" s="1" nd="1"/>
        <i x="2" s="1" nd="1"/>
        <i x="634" s="1" nd="1"/>
        <i x="487" s="1" nd="1"/>
        <i x="131" s="1" nd="1"/>
        <i x="339" s="1" nd="1"/>
        <i x="671" s="1" nd="1"/>
        <i x="692" s="1" nd="1"/>
        <i x="204" s="1" nd="1"/>
        <i x="509" s="1" nd="1"/>
        <i x="678" s="1" nd="1"/>
        <i x="665" s="1" nd="1"/>
        <i x="552" s="1" nd="1"/>
        <i x="501" s="1" nd="1"/>
        <i x="903" s="1" nd="1"/>
        <i x="769" s="1" nd="1"/>
        <i x="568" s="1" nd="1"/>
        <i x="739" s="1" nd="1"/>
        <i x="266" s="1" nd="1"/>
        <i x="511" s="1" nd="1"/>
        <i x="388" s="1" nd="1"/>
        <i x="88" s="1" nd="1"/>
        <i x="642" s="1" nd="1"/>
        <i x="346" s="1" nd="1"/>
        <i x="410" s="1" nd="1"/>
        <i x="130" s="1" nd="1"/>
        <i x="524" s="1" nd="1"/>
        <i x="936" s="1" nd="1"/>
        <i x="288" s="1" nd="1"/>
        <i x="531" s="1" nd="1"/>
        <i x="636" s="1" nd="1"/>
        <i x="407" s="1" nd="1"/>
        <i x="859" s="1" nd="1"/>
        <i x="446" s="1" nd="1"/>
        <i x="496" s="1" nd="1"/>
        <i x="291" s="1" nd="1"/>
        <i x="54" s="1" nd="1"/>
        <i x="757" s="1" nd="1"/>
        <i x="565" s="1" nd="1"/>
        <i x="103" s="1" nd="1"/>
        <i x="986" s="1" nd="1"/>
        <i x="334" s="1" nd="1"/>
        <i x="669" s="1" nd="1"/>
        <i x="18" s="1" nd="1"/>
        <i x="73" s="1" nd="1"/>
        <i x="982" s="1" nd="1"/>
        <i x="943" s="1" nd="1"/>
        <i x="289" s="1" nd="1"/>
        <i x="413" s="1" nd="1"/>
        <i x="244" s="1" nd="1"/>
        <i x="765" s="1" nd="1"/>
        <i x="945" s="1" nd="1"/>
        <i x="840" s="1" nd="1"/>
        <i x="374" s="1" nd="1"/>
        <i x="395" s="1" nd="1"/>
        <i x="793" s="1" nd="1"/>
        <i x="811" s="1" nd="1"/>
        <i x="355" s="1" nd="1"/>
        <i x="20" s="1" nd="1"/>
        <i x="447" s="1" nd="1"/>
        <i x="544" s="1" nd="1"/>
        <i x="729" s="1" nd="1"/>
        <i x="778" s="1" nd="1"/>
        <i x="279" s="1" nd="1"/>
        <i x="196" s="1" nd="1"/>
        <i x="108" s="1" nd="1"/>
        <i x="689" s="1" nd="1"/>
        <i x="127" s="1" nd="1"/>
        <i x="313" s="1" nd="1"/>
        <i x="875" s="1" nd="1"/>
        <i x="722" s="1" nd="1"/>
        <i x="271" s="1" nd="1"/>
        <i x="193" s="1" nd="1"/>
        <i x="437" s="1" nd="1"/>
        <i x="837" s="1" nd="1"/>
        <i x="873" s="1" nd="1"/>
        <i x="352" s="1" nd="1"/>
        <i x="280" s="1" nd="1"/>
        <i x="797" s="1" nd="1"/>
        <i x="960" s="1" nd="1"/>
        <i x="717" s="1" nd="1"/>
        <i x="452" s="1" nd="1"/>
        <i x="973" s="1" nd="1"/>
        <i x="184" s="1" nd="1"/>
        <i x="463" s="1" nd="1"/>
        <i x="225" s="1" nd="1"/>
        <i x="677" s="1" nd="1"/>
        <i x="901" s="1" nd="1"/>
        <i x="773" s="1" nd="1"/>
        <i x="932" s="1" nd="1"/>
        <i x="670" s="1" nd="1"/>
        <i x="5" s="1" nd="1"/>
        <i x="766" s="1" nd="1"/>
        <i x="553" s="1" nd="1"/>
        <i x="362" s="1" nd="1"/>
        <i x="893" s="1" nd="1"/>
        <i x="676" s="1" nd="1"/>
        <i x="942" s="1" nd="1"/>
        <i x="384" s="1" nd="1"/>
        <i x="19" s="1" nd="1"/>
        <i x="704" s="1" nd="1"/>
        <i x="498" s="1" nd="1"/>
        <i x="412" s="1" nd="1"/>
        <i x="540" s="1" nd="1"/>
        <i x="712" s="1" nd="1"/>
        <i x="101" s="1" nd="1"/>
        <i x="844" s="1" nd="1"/>
        <i x="659" s="1" nd="1"/>
        <i x="876" s="1" nd="1"/>
        <i x="666" s="1" nd="1"/>
        <i x="147" s="1" nd="1"/>
        <i x="841" s="1" nd="1"/>
        <i x="921"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Channel" xr10:uid="{7CD46759-4F42-4DCD-A0BA-8F92D080C021}" sourceName="Purchase_Channel">
  <pivotTables>
    <pivotTable tabId="6" name="PivotTable2"/>
    <pivotTable tabId="6" name="PivotTable1"/>
    <pivotTable tabId="6" name="PivotTable3"/>
    <pivotTable tabId="6" name="PivotTable4"/>
    <pivotTable tabId="6" name="PivotTable5"/>
  </pivotTables>
  <data>
    <tabular pivotCacheId="849200627">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_Status" xr10:uid="{F0AE7D05-39AF-4EB9-9434-7B4C52B86328}" cache="Slicer_Marital_Status" caption="Marital_Status" rowHeight="257175"/>
  <slicer name="Education_Level" xr10:uid="{040A3B55-4810-44FE-B749-92E1F2184C2E}" cache="Slicer_Education_Level" caption="Education_Level" rowHeight="257175"/>
  <slicer name="Occupation" xr10:uid="{3CA19B42-7A0C-4D6E-8E7F-D5C14CDF5953}" cache="Slicer_Occupation" caption="Occupation" rowHeight="257175"/>
  <slicer name="Purchase_Amount" xr10:uid="{288C8716-D2E9-4F05-8245-3276B607DBAA}" cache="Slicer_Purchase_Amount" caption="Purchase_Amount" rowHeight="257175"/>
  <slicer name="Purchase_Channel" xr10:uid="{FE06A0BD-EB59-4CF0-887A-2DE4D6261F6D}" cache="Slicer_Purchase_Channel" caption="Purchase_Channel"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_Channel 1" xr10:uid="{255F9A9C-0ED5-4183-B2FA-C176786DC039}" cache="Slicer_Purchase_Channel" caption="Purchase_Channel" columnCount="3" style="SlicerStyleDark2" rowHeight="54864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F53DE78-92F0-4231-8483-45FB2CAD1CC6}" name="Ecommerce_Consumer_Behavior_Analysis_Data" displayName="Ecommerce_Consumer_Behavior_Analysis_Data" ref="A1:AB1001" tableType="queryTable" totalsRowShown="0">
  <autoFilter ref="A1:AB1001" xr:uid="{6F53DE78-92F0-4231-8483-45FB2CAD1CC6}"/>
  <tableColumns count="28">
    <tableColumn id="1" xr3:uid="{E2DD2FD8-4EC9-4040-9A17-7C60DAFA9C23}" uniqueName="1" name="Customer_ID" queryTableFieldId="1" dataDxfId="70"/>
    <tableColumn id="2" xr3:uid="{67766C83-8740-4AAF-9A2B-96DD4CB2195C}" uniqueName="2" name="Age" queryTableFieldId="2"/>
    <tableColumn id="3" xr3:uid="{A175CDE6-D92B-4C27-A06D-A9A54E820C1D}" uniqueName="3" name="Gender" queryTableFieldId="3" dataDxfId="69"/>
    <tableColumn id="4" xr3:uid="{B2D0E6EE-15C5-4AA2-81A7-703FE310E9D3}" uniqueName="4" name="Income_Level" queryTableFieldId="4" dataDxfId="68"/>
    <tableColumn id="5" xr3:uid="{0DCA8813-72A8-4A65-ACEC-C1854CC5C2C5}" uniqueName="5" name="Marital_Status" queryTableFieldId="5" dataDxfId="67"/>
    <tableColumn id="6" xr3:uid="{02B0A03A-C7EB-4FC6-942A-F14D536081E8}" uniqueName="6" name="Education_Level" queryTableFieldId="6" dataDxfId="66"/>
    <tableColumn id="7" xr3:uid="{9ED6B95B-BF82-49B5-9B9E-012359FD9B0F}" uniqueName="7" name="Occupation" queryTableFieldId="7" dataDxfId="65"/>
    <tableColumn id="8" xr3:uid="{D0BB477B-D2BA-44E7-A558-E3680BA5D55B}" uniqueName="8" name="Location" queryTableFieldId="8" dataDxfId="64"/>
    <tableColumn id="9" xr3:uid="{49A59682-7B23-4043-8B96-B1D4DDDED3D0}" uniqueName="9" name="Purchase_Category" queryTableFieldId="9" dataDxfId="63"/>
    <tableColumn id="10" xr3:uid="{10DF6567-B9E4-441D-9186-D25C0330F699}" uniqueName="10" name="Purchase_Amount" queryTableFieldId="10"/>
    <tableColumn id="11" xr3:uid="{FE3C1189-20D8-47B8-861E-4BC9CDAD7DEB}" uniqueName="11" name="Frequency_of_Purchase" queryTableFieldId="11"/>
    <tableColumn id="12" xr3:uid="{F0D383CE-1C04-4714-BF2A-D2D2D7A63311}" uniqueName="12" name="Purchase_Channel" queryTableFieldId="12" dataDxfId="62"/>
    <tableColumn id="13" xr3:uid="{8140DA5B-FF10-438A-A1BF-BA7F8263F879}" uniqueName="13" name="Brand_Loyalty" queryTableFieldId="13"/>
    <tableColumn id="14" xr3:uid="{FB31EA9B-6876-4E37-B032-D33DEC5082F4}" uniqueName="14" name="Product_Rating" queryTableFieldId="14"/>
    <tableColumn id="15" xr3:uid="{DB88988F-FCEB-4107-BDEF-BBCB6A88C7CC}" uniqueName="15" name="Time_Spent_on_Product_Research(hours)" queryTableFieldId="15"/>
    <tableColumn id="16" xr3:uid="{BF7D740C-32FA-409D-9200-BEB7AD030DE8}" uniqueName="16" name="Social_Media_Influence" queryTableFieldId="16" dataDxfId="61"/>
    <tableColumn id="17" xr3:uid="{4F4240F7-607E-4EBD-BAB7-BCA8A3A0DB8B}" uniqueName="17" name="Discount_Sensitivity" queryTableFieldId="17" dataDxfId="60"/>
    <tableColumn id="18" xr3:uid="{D51B4A16-D04F-472E-95CA-A7507429EEEF}" uniqueName="18" name="Return_Rate" queryTableFieldId="18"/>
    <tableColumn id="19" xr3:uid="{1E6B287E-B91A-4154-979E-54E6F0451048}" uniqueName="19" name="Customer_Satisfaction" queryTableFieldId="19"/>
    <tableColumn id="20" xr3:uid="{BA552BA2-0652-453B-9E08-978B6A036C9D}" uniqueName="20" name="Engagement_with_Ads" queryTableFieldId="20" dataDxfId="59"/>
    <tableColumn id="21" xr3:uid="{6A229CDB-38AC-40CB-8B0E-59CD694EB796}" uniqueName="21" name="Device_Used_for_Shopping" queryTableFieldId="21" dataDxfId="58"/>
    <tableColumn id="22" xr3:uid="{4C2598F2-9D5B-4CA3-A498-0541C258AAAE}" uniqueName="22" name="Payment_Method" queryTableFieldId="22" dataDxfId="57"/>
    <tableColumn id="23" xr3:uid="{45758D3E-65E3-4950-8127-A1F7205B9C96}" uniqueName="23" name="Time_of_Purchase" queryTableFieldId="23" dataDxfId="56"/>
    <tableColumn id="24" xr3:uid="{BAA8826C-4A6A-4141-8728-D416A12CE14E}" uniqueName="24" name="Discount_Used" queryTableFieldId="24"/>
    <tableColumn id="25" xr3:uid="{D3BC7FFC-5CF7-4EA3-9C16-F1110C67776F}" uniqueName="25" name="Customer_Loyalty_Program_Member" queryTableFieldId="25"/>
    <tableColumn id="26" xr3:uid="{A9C8FE38-284F-4024-BFD1-E592A8C1E9D2}" uniqueName="26" name="Purchase_Intent" queryTableFieldId="26" dataDxfId="55"/>
    <tableColumn id="27" xr3:uid="{1E7FB5FA-041B-4517-9521-3BCA3B5E9F8A}" uniqueName="27" name="Shipping_Preference" queryTableFieldId="27" dataDxfId="54"/>
    <tableColumn id="28" xr3:uid="{74FFB0EF-9A95-4BBA-91FF-8D001753801B}" uniqueName="28" name="Time_to_Decision" queryTableFieldId="2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E8EFA3E-7DD4-4214-BB09-71484BEAB0C1}" name="Ecommerce_Consumer_Behavior_Analysis_Data3" displayName="Ecommerce_Consumer_Behavior_Analysis_Data3" ref="A1:AE1001" tableType="queryTable" totalsRowShown="0" headerRowDxfId="53" dataDxfId="52">
  <autoFilter ref="A1:AE1001" xr:uid="{AE8EFA3E-7DD4-4214-BB09-71484BEAB0C1}"/>
  <tableColumns count="31">
    <tableColumn id="1" xr3:uid="{AF573F51-63C5-4120-BE8E-9695DB98FCC1}" uniqueName="1" name="Customer_ID" queryTableFieldId="1" dataDxfId="51"/>
    <tableColumn id="2" xr3:uid="{57E818C3-996D-4545-844B-002894988FB2}" uniqueName="2" name="Age" queryTableFieldId="2" dataDxfId="50"/>
    <tableColumn id="3" xr3:uid="{5BF58B56-BB94-4559-9E29-28ED0BA1480A}" uniqueName="3" name="Gender" queryTableFieldId="3" dataDxfId="49"/>
    <tableColumn id="4" xr3:uid="{D306BB47-27EE-4CC6-95AC-6565102EF4D9}" uniqueName="4" name="Income_Level" queryTableFieldId="4" dataDxfId="48"/>
    <tableColumn id="5" xr3:uid="{C3126F07-30B6-4502-862B-E9EC4FABB937}" uniqueName="5" name="Marital_Status" queryTableFieldId="5" dataDxfId="47"/>
    <tableColumn id="6" xr3:uid="{B3DB8711-A0C9-463E-9A14-75A31F78E16F}" uniqueName="6" name="Education_Level" queryTableFieldId="6" dataDxfId="46"/>
    <tableColumn id="7" xr3:uid="{809BA388-2435-4B13-A2FA-A229A53E878E}" uniqueName="7" name="Occupation" queryTableFieldId="7" dataDxfId="45"/>
    <tableColumn id="8" xr3:uid="{4CED8AD9-A6C6-4D8C-A7A9-AAC3679BAB49}" uniqueName="8" name="Location" queryTableFieldId="8" dataDxfId="44"/>
    <tableColumn id="9" xr3:uid="{8EACD65C-01F8-40C0-94FE-7B43C57EE71B}" uniqueName="9" name="Purchase_Category" queryTableFieldId="9" dataDxfId="43"/>
    <tableColumn id="10" xr3:uid="{19064197-41CA-4A6A-AE97-25516FB3E9F6}" uniqueName="10" name="Purchase_Amount" queryTableFieldId="10" dataDxfId="42"/>
    <tableColumn id="11" xr3:uid="{BCF8D5C3-0BD0-4300-9E70-705CD9A62504}" uniqueName="11" name="Frequency_of_Purchase" queryTableFieldId="11" dataDxfId="41"/>
    <tableColumn id="12" xr3:uid="{255FA333-651D-4035-BE7E-71F562C78D56}" uniqueName="12" name="Purchase_Channel" queryTableFieldId="12" dataDxfId="40"/>
    <tableColumn id="13" xr3:uid="{8234EB16-B073-45F4-A1D6-4D91849DCE8C}" uniqueName="13" name="Brand_Loyalty" queryTableFieldId="13" dataDxfId="39"/>
    <tableColumn id="14" xr3:uid="{8AC42DB5-3A20-43FF-9262-B31DDFEF1D51}" uniqueName="14" name="Product_Rating" queryTableFieldId="14" dataDxfId="38"/>
    <tableColumn id="15" xr3:uid="{57367BD1-E1BC-4F9A-BCFD-7BAE0BDCE0D0}" uniqueName="15" name="Time_Spent_on_Product_Research(hours)" queryTableFieldId="15" dataDxfId="37"/>
    <tableColumn id="16" xr3:uid="{7FF0A473-2609-4032-998F-B1B3AF70A582}" uniqueName="16" name="Social_Media_Influence" queryTableFieldId="16" dataDxfId="36"/>
    <tableColumn id="17" xr3:uid="{77DB92CF-56E1-4DA2-B8B8-77BB37B6B7B8}" uniqueName="17" name="Discount_Sensitivity" queryTableFieldId="17" dataDxfId="35"/>
    <tableColumn id="18" xr3:uid="{A2EAAC62-4B35-40A4-B464-05347DE5F6E1}" uniqueName="18" name="Return_Rate" queryTableFieldId="18" dataDxfId="34"/>
    <tableColumn id="19" xr3:uid="{5AC3B3E3-4C31-4ECB-89B9-CAB6BACBC620}" uniqueName="19" name="Customer_Satisfaction" queryTableFieldId="19" dataDxfId="33"/>
    <tableColumn id="20" xr3:uid="{316A6B13-ED0A-412E-8C22-E41D94918E14}" uniqueName="20" name="Engagement_with_Ads" queryTableFieldId="20" dataDxfId="32"/>
    <tableColumn id="21" xr3:uid="{98A8EC01-80F3-4B5C-A8C6-89C109660BB3}" uniqueName="21" name="Device_Used_for_Shopping" queryTableFieldId="21" dataDxfId="31"/>
    <tableColumn id="22" xr3:uid="{097584DD-DB72-4992-B3BD-A8B4BF3568ED}" uniqueName="22" name="Payment_Method" queryTableFieldId="22" dataDxfId="30"/>
    <tableColumn id="23" xr3:uid="{F6D6C0DA-628A-40C3-9FB1-7F03A4FDBD4E}" uniqueName="23" name="Time_of_Purchase" queryTableFieldId="23" dataDxfId="29"/>
    <tableColumn id="24" xr3:uid="{198404DB-BF74-4F83-A00E-82B6824D84A7}" uniqueName="24" name="Discount_Used" queryTableFieldId="24" dataDxfId="28"/>
    <tableColumn id="25" xr3:uid="{7C378BB8-C155-4D45-A76C-F6E3AAB89D5C}" uniqueName="25" name="Customer_Loyalty_Program_Member" queryTableFieldId="25" dataDxfId="27"/>
    <tableColumn id="26" xr3:uid="{EBF0C283-7353-4B48-BA9A-3C27210CC29B}" uniqueName="26" name="Purchase_Intent" queryTableFieldId="26" dataDxfId="26"/>
    <tableColumn id="27" xr3:uid="{4AB1F268-24F0-4813-BDD6-13BF05D0ACE9}" uniqueName="27" name="Shipping_Preference" queryTableFieldId="27" dataDxfId="25"/>
    <tableColumn id="28" xr3:uid="{753076F4-50B1-4854-809E-9F9DEE36762B}" uniqueName="28" name="Time_to_Decision" queryTableFieldId="28" dataDxfId="24"/>
    <tableColumn id="29" xr3:uid="{08F39136-D5CD-4C3A-93E9-384EA6137686}" uniqueName="29" name="sumif" queryTableFieldId="29" dataDxfId="23">
      <calculatedColumnFormula>SUMIF(N:N,Ecommerce_Consumer_Behavior_Analysis_Data3[[#This Row],[Brand_Loyalty]],M:M)</calculatedColumnFormula>
    </tableColumn>
    <tableColumn id="30" xr3:uid="{22D88828-5CCB-4C03-8083-212ED5B2DF68}" uniqueName="30" name="sumifs" queryTableFieldId="30" dataDxfId="22">
      <calculatedColumnFormula array="1">SUMIFS(Y:Y,Ecommerce_Consumer_Behavior_Analysis_Data3[[#This Row],[Payment_Method]],V:V)</calculatedColumnFormula>
    </tableColumn>
    <tableColumn id="31" xr3:uid="{09DD22FF-DA22-47F0-B621-A6E32393028F}" uniqueName="31" name="index match" queryTableFieldId="31" dataDxfId="21">
      <calculatedColumnFormula>INDEX(J:J,MATCH(O3,O:O,0))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E4791-25BE-4F51-81A9-5D7F7B7E17CA}">
  <sheetPr codeName="Sheet1"/>
  <dimension ref="A1:AB1001"/>
  <sheetViews>
    <sheetView topLeftCell="A2" workbookViewId="0">
      <selection activeCell="A2" sqref="A1:AB1001"/>
    </sheetView>
  </sheetViews>
  <sheetFormatPr defaultRowHeight="15" x14ac:dyDescent="0.25"/>
  <cols>
    <col min="1" max="1" width="15.140625" customWidth="1"/>
    <col min="2" max="2" width="6.5703125" customWidth="1"/>
    <col min="3" max="3" width="12.28515625" customWidth="1"/>
    <col min="4" max="4" width="15.85546875" customWidth="1"/>
    <col min="5" max="5" width="16.140625" customWidth="1"/>
    <col min="6" max="6" width="18.140625" customWidth="1"/>
    <col min="7" max="7" width="13.5703125" customWidth="1"/>
    <col min="8" max="8" width="29.140625" customWidth="1"/>
    <col min="9" max="9" width="22.140625" customWidth="1"/>
    <col min="10" max="10" width="19.7109375" customWidth="1"/>
    <col min="11" max="11" width="25" customWidth="1"/>
    <col min="12" max="12" width="20.28515625" customWidth="1"/>
    <col min="13" max="13" width="15.85546875" customWidth="1"/>
    <col min="14" max="14" width="17" customWidth="1"/>
    <col min="15" max="15" width="41.7109375" customWidth="1"/>
    <col min="16" max="16" width="24.85546875" customWidth="1"/>
    <col min="17" max="17" width="22.140625" customWidth="1"/>
    <col min="18" max="18" width="14.42578125" customWidth="1"/>
    <col min="19" max="19" width="24.28515625" customWidth="1"/>
    <col min="20" max="20" width="23.7109375" customWidth="1"/>
    <col min="21" max="21" width="28.28515625" customWidth="1"/>
    <col min="22" max="22" width="19" customWidth="1"/>
    <col min="23" max="23" width="19.85546875" customWidth="1"/>
    <col min="24" max="24" width="17" customWidth="1"/>
    <col min="25" max="25" width="37" customWidth="1"/>
    <col min="26" max="26" width="18" customWidth="1"/>
    <col min="27" max="27" width="22.28515625" customWidth="1"/>
    <col min="28" max="28" width="19.5703125"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25">
      <c r="A2" t="s">
        <v>28</v>
      </c>
      <c r="B2">
        <v>22</v>
      </c>
      <c r="C2" t="s">
        <v>29</v>
      </c>
      <c r="D2" t="s">
        <v>30</v>
      </c>
      <c r="E2" t="s">
        <v>31</v>
      </c>
      <c r="F2" t="s">
        <v>32</v>
      </c>
      <c r="G2" t="s">
        <v>30</v>
      </c>
      <c r="H2" t="s">
        <v>33</v>
      </c>
      <c r="I2" t="s">
        <v>34</v>
      </c>
      <c r="J2">
        <v>333.8</v>
      </c>
      <c r="K2">
        <v>4</v>
      </c>
      <c r="L2" t="s">
        <v>35</v>
      </c>
      <c r="M2">
        <v>5</v>
      </c>
      <c r="N2">
        <v>5</v>
      </c>
      <c r="O2">
        <v>2</v>
      </c>
      <c r="P2" t="s">
        <v>36</v>
      </c>
      <c r="Q2" t="s">
        <v>37</v>
      </c>
      <c r="R2">
        <v>1</v>
      </c>
      <c r="S2">
        <v>7</v>
      </c>
      <c r="T2" t="s">
        <v>36</v>
      </c>
      <c r="U2" t="s">
        <v>38</v>
      </c>
      <c r="V2" t="s">
        <v>39</v>
      </c>
      <c r="W2" s="1">
        <v>45352</v>
      </c>
      <c r="X2" t="b">
        <v>1</v>
      </c>
      <c r="Y2" t="b">
        <v>0</v>
      </c>
      <c r="Z2" t="s">
        <v>40</v>
      </c>
      <c r="AA2" t="s">
        <v>41</v>
      </c>
      <c r="AB2">
        <v>2</v>
      </c>
    </row>
    <row r="3" spans="1:28" x14ac:dyDescent="0.25">
      <c r="A3" t="s">
        <v>42</v>
      </c>
      <c r="B3">
        <v>49</v>
      </c>
      <c r="C3" t="s">
        <v>43</v>
      </c>
      <c r="D3" t="s">
        <v>44</v>
      </c>
      <c r="E3" t="s">
        <v>31</v>
      </c>
      <c r="F3" t="s">
        <v>45</v>
      </c>
      <c r="G3" t="s">
        <v>44</v>
      </c>
      <c r="H3" t="s">
        <v>46</v>
      </c>
      <c r="I3" t="s">
        <v>47</v>
      </c>
      <c r="J3">
        <v>222.22</v>
      </c>
      <c r="K3">
        <v>11</v>
      </c>
      <c r="L3" t="s">
        <v>48</v>
      </c>
      <c r="M3">
        <v>3</v>
      </c>
      <c r="N3">
        <v>1</v>
      </c>
      <c r="O3">
        <v>2</v>
      </c>
      <c r="P3" t="s">
        <v>49</v>
      </c>
      <c r="Q3" t="s">
        <v>50</v>
      </c>
      <c r="R3">
        <v>1</v>
      </c>
      <c r="S3">
        <v>5</v>
      </c>
      <c r="T3" t="s">
        <v>44</v>
      </c>
      <c r="U3" t="s">
        <v>38</v>
      </c>
      <c r="V3" t="s">
        <v>51</v>
      </c>
      <c r="W3" s="1">
        <v>45398</v>
      </c>
      <c r="X3" t="b">
        <v>1</v>
      </c>
      <c r="Y3" t="b">
        <v>0</v>
      </c>
      <c r="Z3" t="s">
        <v>52</v>
      </c>
      <c r="AA3" t="s">
        <v>53</v>
      </c>
      <c r="AB3">
        <v>6</v>
      </c>
    </row>
    <row r="4" spans="1:28" x14ac:dyDescent="0.25">
      <c r="A4" t="s">
        <v>54</v>
      </c>
      <c r="B4">
        <v>24</v>
      </c>
      <c r="C4" t="s">
        <v>29</v>
      </c>
      <c r="D4" t="s">
        <v>30</v>
      </c>
      <c r="E4" t="s">
        <v>55</v>
      </c>
      <c r="F4" t="s">
        <v>56</v>
      </c>
      <c r="G4" t="s">
        <v>44</v>
      </c>
      <c r="H4" t="s">
        <v>57</v>
      </c>
      <c r="I4" t="s">
        <v>58</v>
      </c>
      <c r="J4">
        <v>426.22</v>
      </c>
      <c r="K4">
        <v>2</v>
      </c>
      <c r="L4" t="s">
        <v>35</v>
      </c>
      <c r="M4">
        <v>5</v>
      </c>
      <c r="N4">
        <v>5</v>
      </c>
      <c r="O4">
        <v>0.3</v>
      </c>
      <c r="P4" t="s">
        <v>59</v>
      </c>
      <c r="Q4" t="s">
        <v>50</v>
      </c>
      <c r="R4">
        <v>1</v>
      </c>
      <c r="S4">
        <v>7</v>
      </c>
      <c r="T4" t="s">
        <v>59</v>
      </c>
      <c r="U4" t="s">
        <v>60</v>
      </c>
      <c r="V4" t="s">
        <v>61</v>
      </c>
      <c r="W4" s="1">
        <v>45366</v>
      </c>
      <c r="X4" t="b">
        <v>1</v>
      </c>
      <c r="Y4" t="b">
        <v>1</v>
      </c>
      <c r="Z4" t="s">
        <v>62</v>
      </c>
      <c r="AA4" t="s">
        <v>41</v>
      </c>
      <c r="AB4">
        <v>3</v>
      </c>
    </row>
    <row r="5" spans="1:28" x14ac:dyDescent="0.25">
      <c r="A5" t="s">
        <v>63</v>
      </c>
      <c r="B5">
        <v>29</v>
      </c>
      <c r="C5" t="s">
        <v>29</v>
      </c>
      <c r="D5" t="s">
        <v>30</v>
      </c>
      <c r="E5" t="s">
        <v>55</v>
      </c>
      <c r="F5" t="s">
        <v>56</v>
      </c>
      <c r="G5" t="s">
        <v>30</v>
      </c>
      <c r="H5" t="s">
        <v>64</v>
      </c>
      <c r="I5" t="s">
        <v>65</v>
      </c>
      <c r="J5">
        <v>101.31</v>
      </c>
      <c r="K5">
        <v>6</v>
      </c>
      <c r="L5" t="s">
        <v>35</v>
      </c>
      <c r="M5">
        <v>3</v>
      </c>
      <c r="N5">
        <v>1</v>
      </c>
      <c r="O5">
        <v>1</v>
      </c>
      <c r="P5" t="s">
        <v>44</v>
      </c>
      <c r="Q5" t="s">
        <v>37</v>
      </c>
      <c r="R5">
        <v>0</v>
      </c>
      <c r="S5">
        <v>1</v>
      </c>
      <c r="T5" t="s">
        <v>36</v>
      </c>
      <c r="U5" t="s">
        <v>60</v>
      </c>
      <c r="V5" t="s">
        <v>66</v>
      </c>
      <c r="W5" s="1">
        <v>45569</v>
      </c>
      <c r="X5" t="b">
        <v>1</v>
      </c>
      <c r="Y5" t="b">
        <v>1</v>
      </c>
      <c r="Z5" t="s">
        <v>40</v>
      </c>
      <c r="AA5" t="s">
        <v>67</v>
      </c>
      <c r="AB5">
        <v>10</v>
      </c>
    </row>
    <row r="6" spans="1:28" x14ac:dyDescent="0.25">
      <c r="A6" t="s">
        <v>68</v>
      </c>
      <c r="B6">
        <v>33</v>
      </c>
      <c r="C6" t="s">
        <v>29</v>
      </c>
      <c r="D6" t="s">
        <v>30</v>
      </c>
      <c r="E6" t="s">
        <v>69</v>
      </c>
      <c r="F6" t="s">
        <v>45</v>
      </c>
      <c r="G6" t="s">
        <v>30</v>
      </c>
      <c r="H6" t="s">
        <v>70</v>
      </c>
      <c r="I6" t="s">
        <v>71</v>
      </c>
      <c r="J6">
        <v>211.7</v>
      </c>
      <c r="K6">
        <v>6</v>
      </c>
      <c r="L6" t="s">
        <v>35</v>
      </c>
      <c r="M6">
        <v>3</v>
      </c>
      <c r="N6">
        <v>4</v>
      </c>
      <c r="O6">
        <v>0</v>
      </c>
      <c r="P6" t="s">
        <v>49</v>
      </c>
      <c r="Q6" t="s">
        <v>50</v>
      </c>
      <c r="R6">
        <v>2</v>
      </c>
      <c r="S6">
        <v>10</v>
      </c>
      <c r="T6" t="s">
        <v>36</v>
      </c>
      <c r="U6" t="s">
        <v>60</v>
      </c>
      <c r="V6" t="s">
        <v>61</v>
      </c>
      <c r="W6" s="1">
        <v>45321</v>
      </c>
      <c r="X6" t="b">
        <v>0</v>
      </c>
      <c r="Y6" t="b">
        <v>0</v>
      </c>
      <c r="Z6" t="s">
        <v>52</v>
      </c>
      <c r="AA6" t="s">
        <v>41</v>
      </c>
      <c r="AB6">
        <v>4</v>
      </c>
    </row>
    <row r="7" spans="1:28" x14ac:dyDescent="0.25">
      <c r="A7" t="s">
        <v>72</v>
      </c>
      <c r="B7">
        <v>45</v>
      </c>
      <c r="C7" t="s">
        <v>43</v>
      </c>
      <c r="D7" t="s">
        <v>30</v>
      </c>
      <c r="E7" t="s">
        <v>31</v>
      </c>
      <c r="F7" t="s">
        <v>56</v>
      </c>
      <c r="G7" t="s">
        <v>44</v>
      </c>
      <c r="H7" t="s">
        <v>73</v>
      </c>
      <c r="I7" t="s">
        <v>58</v>
      </c>
      <c r="J7">
        <v>487.95</v>
      </c>
      <c r="K7">
        <v>8</v>
      </c>
      <c r="L7" t="s">
        <v>35</v>
      </c>
      <c r="M7">
        <v>3</v>
      </c>
      <c r="N7">
        <v>3</v>
      </c>
      <c r="O7">
        <v>0</v>
      </c>
      <c r="P7" t="s">
        <v>44</v>
      </c>
      <c r="Q7" t="s">
        <v>50</v>
      </c>
      <c r="R7">
        <v>2</v>
      </c>
      <c r="S7">
        <v>3</v>
      </c>
      <c r="T7" t="s">
        <v>36</v>
      </c>
      <c r="U7" t="s">
        <v>38</v>
      </c>
      <c r="V7" t="s">
        <v>61</v>
      </c>
      <c r="W7" s="1">
        <v>45370</v>
      </c>
      <c r="X7" t="b">
        <v>0</v>
      </c>
      <c r="Y7" t="b">
        <v>0</v>
      </c>
      <c r="Z7" t="s">
        <v>74</v>
      </c>
      <c r="AA7" t="s">
        <v>41</v>
      </c>
      <c r="AB7">
        <v>7</v>
      </c>
    </row>
    <row r="8" spans="1:28" x14ac:dyDescent="0.25">
      <c r="A8" t="s">
        <v>75</v>
      </c>
      <c r="B8">
        <v>21</v>
      </c>
      <c r="C8" t="s">
        <v>29</v>
      </c>
      <c r="D8" t="s">
        <v>30</v>
      </c>
      <c r="E8" t="s">
        <v>76</v>
      </c>
      <c r="F8" t="s">
        <v>45</v>
      </c>
      <c r="G8" t="s">
        <v>30</v>
      </c>
      <c r="H8" t="s">
        <v>77</v>
      </c>
      <c r="I8" t="s">
        <v>71</v>
      </c>
      <c r="J8">
        <v>486.4</v>
      </c>
      <c r="K8">
        <v>12</v>
      </c>
      <c r="L8" t="s">
        <v>78</v>
      </c>
      <c r="M8">
        <v>2</v>
      </c>
      <c r="N8">
        <v>5</v>
      </c>
      <c r="O8">
        <v>1</v>
      </c>
      <c r="P8" t="s">
        <v>44</v>
      </c>
      <c r="Q8" t="s">
        <v>37</v>
      </c>
      <c r="R8">
        <v>0</v>
      </c>
      <c r="S8">
        <v>9</v>
      </c>
      <c r="T8" t="s">
        <v>59</v>
      </c>
      <c r="U8" t="s">
        <v>79</v>
      </c>
      <c r="V8" t="s">
        <v>61</v>
      </c>
      <c r="W8" s="1">
        <v>45366</v>
      </c>
      <c r="X8" t="b">
        <v>1</v>
      </c>
      <c r="Y8" t="b">
        <v>0</v>
      </c>
      <c r="Z8" t="s">
        <v>40</v>
      </c>
      <c r="AA8" t="s">
        <v>67</v>
      </c>
      <c r="AB8">
        <v>13</v>
      </c>
    </row>
    <row r="9" spans="1:28" x14ac:dyDescent="0.25">
      <c r="A9" t="s">
        <v>80</v>
      </c>
      <c r="B9">
        <v>39</v>
      </c>
      <c r="C9" t="s">
        <v>43</v>
      </c>
      <c r="D9" t="s">
        <v>30</v>
      </c>
      <c r="E9" t="s">
        <v>55</v>
      </c>
      <c r="F9" t="s">
        <v>45</v>
      </c>
      <c r="G9" t="s">
        <v>30</v>
      </c>
      <c r="H9" t="s">
        <v>81</v>
      </c>
      <c r="I9" t="s">
        <v>82</v>
      </c>
      <c r="J9">
        <v>218.06</v>
      </c>
      <c r="K9">
        <v>6</v>
      </c>
      <c r="L9" t="s">
        <v>78</v>
      </c>
      <c r="M9">
        <v>5</v>
      </c>
      <c r="N9">
        <v>4</v>
      </c>
      <c r="O9">
        <v>1</v>
      </c>
      <c r="P9" t="s">
        <v>59</v>
      </c>
      <c r="Q9" t="s">
        <v>37</v>
      </c>
      <c r="R9">
        <v>2</v>
      </c>
      <c r="S9">
        <v>9</v>
      </c>
      <c r="T9" t="s">
        <v>36</v>
      </c>
      <c r="U9" t="s">
        <v>79</v>
      </c>
      <c r="V9" t="s">
        <v>39</v>
      </c>
      <c r="W9" s="1">
        <v>45368</v>
      </c>
      <c r="X9" t="b">
        <v>0</v>
      </c>
      <c r="Y9" t="b">
        <v>1</v>
      </c>
      <c r="Z9" t="s">
        <v>62</v>
      </c>
      <c r="AA9" t="s">
        <v>41</v>
      </c>
      <c r="AB9">
        <v>13</v>
      </c>
    </row>
    <row r="10" spans="1:28" x14ac:dyDescent="0.25">
      <c r="A10" t="s">
        <v>83</v>
      </c>
      <c r="B10">
        <v>24</v>
      </c>
      <c r="C10" t="s">
        <v>29</v>
      </c>
      <c r="D10" t="s">
        <v>44</v>
      </c>
      <c r="E10" t="s">
        <v>76</v>
      </c>
      <c r="F10" t="s">
        <v>56</v>
      </c>
      <c r="G10" t="s">
        <v>30</v>
      </c>
      <c r="H10" t="s">
        <v>84</v>
      </c>
      <c r="I10" t="s">
        <v>58</v>
      </c>
      <c r="J10">
        <v>201.96</v>
      </c>
      <c r="K10">
        <v>8</v>
      </c>
      <c r="L10" t="s">
        <v>48</v>
      </c>
      <c r="M10">
        <v>3</v>
      </c>
      <c r="N10">
        <v>5</v>
      </c>
      <c r="O10">
        <v>0</v>
      </c>
      <c r="P10" t="s">
        <v>59</v>
      </c>
      <c r="Q10" t="s">
        <v>85</v>
      </c>
      <c r="R10">
        <v>1</v>
      </c>
      <c r="S10">
        <v>2</v>
      </c>
      <c r="T10" t="s">
        <v>44</v>
      </c>
      <c r="U10" t="s">
        <v>79</v>
      </c>
      <c r="V10" t="s">
        <v>86</v>
      </c>
      <c r="W10" s="1">
        <v>45453</v>
      </c>
      <c r="X10" t="b">
        <v>0</v>
      </c>
      <c r="Y10" t="b">
        <v>0</v>
      </c>
      <c r="Z10" t="s">
        <v>40</v>
      </c>
      <c r="AA10" t="s">
        <v>53</v>
      </c>
      <c r="AB10">
        <v>7</v>
      </c>
    </row>
    <row r="11" spans="1:28" x14ac:dyDescent="0.25">
      <c r="A11" t="s">
        <v>87</v>
      </c>
      <c r="B11">
        <v>25</v>
      </c>
      <c r="C11" t="s">
        <v>88</v>
      </c>
      <c r="D11" t="s">
        <v>44</v>
      </c>
      <c r="E11" t="s">
        <v>31</v>
      </c>
      <c r="F11" t="s">
        <v>32</v>
      </c>
      <c r="G11" t="s">
        <v>44</v>
      </c>
      <c r="H11" t="s">
        <v>89</v>
      </c>
      <c r="I11" t="s">
        <v>90</v>
      </c>
      <c r="J11">
        <v>418.83</v>
      </c>
      <c r="K11">
        <v>7</v>
      </c>
      <c r="L11" t="s">
        <v>78</v>
      </c>
      <c r="M11">
        <v>2</v>
      </c>
      <c r="N11">
        <v>5</v>
      </c>
      <c r="O11">
        <v>1</v>
      </c>
      <c r="P11" t="s">
        <v>36</v>
      </c>
      <c r="Q11" t="s">
        <v>37</v>
      </c>
      <c r="R11">
        <v>1</v>
      </c>
      <c r="S11">
        <v>5</v>
      </c>
      <c r="T11" t="s">
        <v>49</v>
      </c>
      <c r="U11" t="s">
        <v>38</v>
      </c>
      <c r="V11" t="s">
        <v>51</v>
      </c>
      <c r="W11" s="1">
        <v>45572</v>
      </c>
      <c r="X11" t="b">
        <v>1</v>
      </c>
      <c r="Y11" t="b">
        <v>0</v>
      </c>
      <c r="Z11" t="s">
        <v>40</v>
      </c>
      <c r="AA11" t="s">
        <v>41</v>
      </c>
      <c r="AB11">
        <v>13</v>
      </c>
    </row>
    <row r="12" spans="1:28" x14ac:dyDescent="0.25">
      <c r="A12" t="s">
        <v>91</v>
      </c>
      <c r="B12">
        <v>33</v>
      </c>
      <c r="C12" t="s">
        <v>43</v>
      </c>
      <c r="D12" t="s">
        <v>30</v>
      </c>
      <c r="E12" t="s">
        <v>76</v>
      </c>
      <c r="F12" t="s">
        <v>32</v>
      </c>
      <c r="G12" t="s">
        <v>30</v>
      </c>
      <c r="H12" t="s">
        <v>92</v>
      </c>
      <c r="I12" t="s">
        <v>93</v>
      </c>
      <c r="J12">
        <v>389.7</v>
      </c>
      <c r="K12">
        <v>12</v>
      </c>
      <c r="L12" t="s">
        <v>48</v>
      </c>
      <c r="M12">
        <v>1</v>
      </c>
      <c r="N12">
        <v>4</v>
      </c>
      <c r="O12">
        <v>0.5</v>
      </c>
      <c r="P12" t="s">
        <v>59</v>
      </c>
      <c r="Q12" t="s">
        <v>50</v>
      </c>
      <c r="R12">
        <v>0</v>
      </c>
      <c r="S12">
        <v>4</v>
      </c>
      <c r="T12" t="s">
        <v>44</v>
      </c>
      <c r="U12" t="s">
        <v>79</v>
      </c>
      <c r="V12" t="s">
        <v>51</v>
      </c>
      <c r="W12" s="1">
        <v>45475</v>
      </c>
      <c r="X12" t="b">
        <v>1</v>
      </c>
      <c r="Y12" t="b">
        <v>0</v>
      </c>
      <c r="Z12" t="s">
        <v>74</v>
      </c>
      <c r="AA12" t="s">
        <v>67</v>
      </c>
      <c r="AB12">
        <v>12</v>
      </c>
    </row>
    <row r="13" spans="1:28" x14ac:dyDescent="0.25">
      <c r="A13" t="s">
        <v>94</v>
      </c>
      <c r="B13">
        <v>38</v>
      </c>
      <c r="C13" t="s">
        <v>29</v>
      </c>
      <c r="D13" t="s">
        <v>44</v>
      </c>
      <c r="E13" t="s">
        <v>69</v>
      </c>
      <c r="F13" t="s">
        <v>32</v>
      </c>
      <c r="G13" t="s">
        <v>30</v>
      </c>
      <c r="H13" t="s">
        <v>95</v>
      </c>
      <c r="I13" t="s">
        <v>90</v>
      </c>
      <c r="J13">
        <v>238.93</v>
      </c>
      <c r="K13">
        <v>5</v>
      </c>
      <c r="L13" t="s">
        <v>78</v>
      </c>
      <c r="M13">
        <v>4</v>
      </c>
      <c r="N13">
        <v>3</v>
      </c>
      <c r="O13">
        <v>1</v>
      </c>
      <c r="P13" t="s">
        <v>49</v>
      </c>
      <c r="Q13" t="s">
        <v>85</v>
      </c>
      <c r="R13">
        <v>0</v>
      </c>
      <c r="S13">
        <v>10</v>
      </c>
      <c r="T13" t="s">
        <v>44</v>
      </c>
      <c r="U13" t="s">
        <v>38</v>
      </c>
      <c r="V13" t="s">
        <v>86</v>
      </c>
      <c r="W13" s="1">
        <v>45653</v>
      </c>
      <c r="X13" t="b">
        <v>1</v>
      </c>
      <c r="Y13" t="b">
        <v>0</v>
      </c>
      <c r="Z13" t="s">
        <v>74</v>
      </c>
      <c r="AA13" t="s">
        <v>41</v>
      </c>
      <c r="AB13">
        <v>1</v>
      </c>
    </row>
    <row r="14" spans="1:28" x14ac:dyDescent="0.25">
      <c r="A14" t="s">
        <v>96</v>
      </c>
      <c r="B14">
        <v>34</v>
      </c>
      <c r="C14" t="s">
        <v>43</v>
      </c>
      <c r="D14" t="s">
        <v>30</v>
      </c>
      <c r="E14" t="s">
        <v>55</v>
      </c>
      <c r="F14" t="s">
        <v>32</v>
      </c>
      <c r="G14" t="s">
        <v>44</v>
      </c>
      <c r="H14" t="s">
        <v>97</v>
      </c>
      <c r="I14" t="s">
        <v>98</v>
      </c>
      <c r="J14">
        <v>61.22</v>
      </c>
      <c r="K14">
        <v>7</v>
      </c>
      <c r="L14" t="s">
        <v>48</v>
      </c>
      <c r="M14">
        <v>5</v>
      </c>
      <c r="N14">
        <v>2</v>
      </c>
      <c r="O14">
        <v>2</v>
      </c>
      <c r="P14" t="s">
        <v>59</v>
      </c>
      <c r="Q14" t="s">
        <v>85</v>
      </c>
      <c r="R14">
        <v>1</v>
      </c>
      <c r="S14">
        <v>7</v>
      </c>
      <c r="T14" t="s">
        <v>44</v>
      </c>
      <c r="U14" t="s">
        <v>79</v>
      </c>
      <c r="V14" t="s">
        <v>61</v>
      </c>
      <c r="W14" s="1">
        <v>45509</v>
      </c>
      <c r="X14" t="b">
        <v>1</v>
      </c>
      <c r="Y14" t="b">
        <v>1</v>
      </c>
      <c r="Z14" t="s">
        <v>40</v>
      </c>
      <c r="AA14" t="s">
        <v>41</v>
      </c>
      <c r="AB14">
        <v>5</v>
      </c>
    </row>
    <row r="15" spans="1:28" x14ac:dyDescent="0.25">
      <c r="A15" t="s">
        <v>99</v>
      </c>
      <c r="B15">
        <v>32</v>
      </c>
      <c r="C15" t="s">
        <v>43</v>
      </c>
      <c r="D15" t="s">
        <v>44</v>
      </c>
      <c r="E15" t="s">
        <v>31</v>
      </c>
      <c r="F15" t="s">
        <v>45</v>
      </c>
      <c r="G15" t="s">
        <v>30</v>
      </c>
      <c r="H15" t="s">
        <v>100</v>
      </c>
      <c r="I15" t="s">
        <v>101</v>
      </c>
      <c r="J15">
        <v>79.81</v>
      </c>
      <c r="K15">
        <v>4</v>
      </c>
      <c r="L15" t="s">
        <v>35</v>
      </c>
      <c r="M15">
        <v>5</v>
      </c>
      <c r="N15">
        <v>5</v>
      </c>
      <c r="O15">
        <v>0</v>
      </c>
      <c r="P15" t="s">
        <v>44</v>
      </c>
      <c r="Q15" t="s">
        <v>50</v>
      </c>
      <c r="R15">
        <v>0</v>
      </c>
      <c r="S15">
        <v>9</v>
      </c>
      <c r="T15" t="s">
        <v>44</v>
      </c>
      <c r="U15" t="s">
        <v>60</v>
      </c>
      <c r="V15" t="s">
        <v>61</v>
      </c>
      <c r="W15" s="1">
        <v>45489</v>
      </c>
      <c r="X15" t="b">
        <v>0</v>
      </c>
      <c r="Y15" t="b">
        <v>1</v>
      </c>
      <c r="Z15" t="s">
        <v>52</v>
      </c>
      <c r="AA15" t="s">
        <v>53</v>
      </c>
      <c r="AB15">
        <v>14</v>
      </c>
    </row>
    <row r="16" spans="1:28" x14ac:dyDescent="0.25">
      <c r="A16" t="s">
        <v>102</v>
      </c>
      <c r="B16">
        <v>30</v>
      </c>
      <c r="C16" t="s">
        <v>29</v>
      </c>
      <c r="D16" t="s">
        <v>44</v>
      </c>
      <c r="E16" t="s">
        <v>69</v>
      </c>
      <c r="F16" t="s">
        <v>45</v>
      </c>
      <c r="G16" t="s">
        <v>44</v>
      </c>
      <c r="H16" t="s">
        <v>103</v>
      </c>
      <c r="I16" t="s">
        <v>104</v>
      </c>
      <c r="J16">
        <v>58.51</v>
      </c>
      <c r="K16">
        <v>2</v>
      </c>
      <c r="L16" t="s">
        <v>78</v>
      </c>
      <c r="M16">
        <v>4</v>
      </c>
      <c r="N16">
        <v>4</v>
      </c>
      <c r="O16">
        <v>0.5</v>
      </c>
      <c r="P16" t="s">
        <v>36</v>
      </c>
      <c r="Q16" t="s">
        <v>50</v>
      </c>
      <c r="R16">
        <v>0</v>
      </c>
      <c r="S16">
        <v>4</v>
      </c>
      <c r="T16" t="s">
        <v>49</v>
      </c>
      <c r="U16" t="s">
        <v>79</v>
      </c>
      <c r="V16" t="s">
        <v>51</v>
      </c>
      <c r="W16" s="1">
        <v>45640</v>
      </c>
      <c r="X16" t="b">
        <v>1</v>
      </c>
      <c r="Y16" t="b">
        <v>1</v>
      </c>
      <c r="Z16" t="s">
        <v>74</v>
      </c>
      <c r="AA16" t="s">
        <v>41</v>
      </c>
      <c r="AB16">
        <v>14</v>
      </c>
    </row>
    <row r="17" spans="1:28" x14ac:dyDescent="0.25">
      <c r="A17" t="s">
        <v>105</v>
      </c>
      <c r="B17">
        <v>40</v>
      </c>
      <c r="C17" t="s">
        <v>43</v>
      </c>
      <c r="D17" t="s">
        <v>44</v>
      </c>
      <c r="E17" t="s">
        <v>76</v>
      </c>
      <c r="F17" t="s">
        <v>56</v>
      </c>
      <c r="G17" t="s">
        <v>44</v>
      </c>
      <c r="H17" t="s">
        <v>106</v>
      </c>
      <c r="I17" t="s">
        <v>107</v>
      </c>
      <c r="J17">
        <v>109.29</v>
      </c>
      <c r="K17">
        <v>3</v>
      </c>
      <c r="L17" t="s">
        <v>78</v>
      </c>
      <c r="M17">
        <v>3</v>
      </c>
      <c r="N17">
        <v>4</v>
      </c>
      <c r="O17">
        <v>0</v>
      </c>
      <c r="P17" t="s">
        <v>49</v>
      </c>
      <c r="Q17" t="s">
        <v>37</v>
      </c>
      <c r="R17">
        <v>2</v>
      </c>
      <c r="S17">
        <v>2</v>
      </c>
      <c r="T17" t="s">
        <v>44</v>
      </c>
      <c r="U17" t="s">
        <v>79</v>
      </c>
      <c r="V17" t="s">
        <v>61</v>
      </c>
      <c r="W17" s="1">
        <v>45515</v>
      </c>
      <c r="X17" t="b">
        <v>0</v>
      </c>
      <c r="Y17" t="b">
        <v>1</v>
      </c>
      <c r="Z17" t="s">
        <v>52</v>
      </c>
      <c r="AA17" t="s">
        <v>67</v>
      </c>
      <c r="AB17">
        <v>11</v>
      </c>
    </row>
    <row r="18" spans="1:28" x14ac:dyDescent="0.25">
      <c r="A18" t="s">
        <v>108</v>
      </c>
      <c r="B18">
        <v>37</v>
      </c>
      <c r="C18" t="s">
        <v>43</v>
      </c>
      <c r="D18" t="s">
        <v>44</v>
      </c>
      <c r="E18" t="s">
        <v>55</v>
      </c>
      <c r="F18" t="s">
        <v>32</v>
      </c>
      <c r="G18" t="s">
        <v>44</v>
      </c>
      <c r="H18" t="s">
        <v>109</v>
      </c>
      <c r="I18" t="s">
        <v>71</v>
      </c>
      <c r="J18">
        <v>356.45</v>
      </c>
      <c r="K18">
        <v>6</v>
      </c>
      <c r="L18" t="s">
        <v>35</v>
      </c>
      <c r="M18">
        <v>5</v>
      </c>
      <c r="N18">
        <v>5</v>
      </c>
      <c r="O18">
        <v>2</v>
      </c>
      <c r="P18" t="s">
        <v>59</v>
      </c>
      <c r="Q18" t="s">
        <v>85</v>
      </c>
      <c r="R18">
        <v>0</v>
      </c>
      <c r="S18">
        <v>7</v>
      </c>
      <c r="T18" t="s">
        <v>49</v>
      </c>
      <c r="U18" t="s">
        <v>60</v>
      </c>
      <c r="V18" t="s">
        <v>39</v>
      </c>
      <c r="W18" s="1">
        <v>45583</v>
      </c>
      <c r="X18" t="b">
        <v>0</v>
      </c>
      <c r="Y18" t="b">
        <v>1</v>
      </c>
      <c r="Z18" t="s">
        <v>74</v>
      </c>
      <c r="AA18" t="s">
        <v>53</v>
      </c>
      <c r="AB18">
        <v>8</v>
      </c>
    </row>
    <row r="19" spans="1:28" x14ac:dyDescent="0.25">
      <c r="A19" t="s">
        <v>110</v>
      </c>
      <c r="B19">
        <v>38</v>
      </c>
      <c r="C19" t="s">
        <v>29</v>
      </c>
      <c r="D19" t="s">
        <v>30</v>
      </c>
      <c r="E19" t="s">
        <v>76</v>
      </c>
      <c r="F19" t="s">
        <v>32</v>
      </c>
      <c r="G19" t="s">
        <v>44</v>
      </c>
      <c r="H19" t="s">
        <v>111</v>
      </c>
      <c r="I19" t="s">
        <v>93</v>
      </c>
      <c r="J19">
        <v>236.99</v>
      </c>
      <c r="K19">
        <v>10</v>
      </c>
      <c r="L19" t="s">
        <v>35</v>
      </c>
      <c r="M19">
        <v>2</v>
      </c>
      <c r="N19">
        <v>4</v>
      </c>
      <c r="O19">
        <v>0</v>
      </c>
      <c r="P19" t="s">
        <v>44</v>
      </c>
      <c r="Q19" t="s">
        <v>85</v>
      </c>
      <c r="R19">
        <v>0</v>
      </c>
      <c r="S19">
        <v>8</v>
      </c>
      <c r="T19" t="s">
        <v>36</v>
      </c>
      <c r="U19" t="s">
        <v>38</v>
      </c>
      <c r="V19" t="s">
        <v>51</v>
      </c>
      <c r="W19" s="1">
        <v>45635</v>
      </c>
      <c r="X19" t="b">
        <v>1</v>
      </c>
      <c r="Y19" t="b">
        <v>1</v>
      </c>
      <c r="Z19" t="s">
        <v>62</v>
      </c>
      <c r="AA19" t="s">
        <v>41</v>
      </c>
      <c r="AB19">
        <v>13</v>
      </c>
    </row>
    <row r="20" spans="1:28" x14ac:dyDescent="0.25">
      <c r="A20" t="s">
        <v>112</v>
      </c>
      <c r="B20">
        <v>36</v>
      </c>
      <c r="C20" t="s">
        <v>43</v>
      </c>
      <c r="D20" t="s">
        <v>30</v>
      </c>
      <c r="E20" t="s">
        <v>69</v>
      </c>
      <c r="F20" t="s">
        <v>32</v>
      </c>
      <c r="G20" t="s">
        <v>44</v>
      </c>
      <c r="H20" t="s">
        <v>113</v>
      </c>
      <c r="I20" t="s">
        <v>114</v>
      </c>
      <c r="J20">
        <v>454.39</v>
      </c>
      <c r="K20">
        <v>10</v>
      </c>
      <c r="L20" t="s">
        <v>48</v>
      </c>
      <c r="M20">
        <v>2</v>
      </c>
      <c r="N20">
        <v>4</v>
      </c>
      <c r="O20">
        <v>2</v>
      </c>
      <c r="P20" t="s">
        <v>49</v>
      </c>
      <c r="Q20" t="s">
        <v>50</v>
      </c>
      <c r="R20">
        <v>0</v>
      </c>
      <c r="S20">
        <v>3</v>
      </c>
      <c r="T20" t="s">
        <v>36</v>
      </c>
      <c r="U20" t="s">
        <v>79</v>
      </c>
      <c r="V20" t="s">
        <v>66</v>
      </c>
      <c r="W20" s="1">
        <v>45496</v>
      </c>
      <c r="X20" t="b">
        <v>0</v>
      </c>
      <c r="Y20" t="b">
        <v>1</v>
      </c>
      <c r="Z20" t="s">
        <v>62</v>
      </c>
      <c r="AA20" t="s">
        <v>53</v>
      </c>
      <c r="AB20">
        <v>3</v>
      </c>
    </row>
    <row r="21" spans="1:28" x14ac:dyDescent="0.25">
      <c r="A21" t="s">
        <v>115</v>
      </c>
      <c r="B21">
        <v>29</v>
      </c>
      <c r="C21" t="s">
        <v>29</v>
      </c>
      <c r="D21" t="s">
        <v>44</v>
      </c>
      <c r="E21" t="s">
        <v>69</v>
      </c>
      <c r="F21" t="s">
        <v>32</v>
      </c>
      <c r="G21" t="s">
        <v>30</v>
      </c>
      <c r="H21" t="s">
        <v>116</v>
      </c>
      <c r="I21" t="s">
        <v>117</v>
      </c>
      <c r="J21">
        <v>490.75</v>
      </c>
      <c r="K21">
        <v>10</v>
      </c>
      <c r="L21" t="s">
        <v>48</v>
      </c>
      <c r="M21">
        <v>2</v>
      </c>
      <c r="N21">
        <v>4</v>
      </c>
      <c r="O21">
        <v>1</v>
      </c>
      <c r="P21" t="s">
        <v>36</v>
      </c>
      <c r="Q21" t="s">
        <v>85</v>
      </c>
      <c r="R21">
        <v>1</v>
      </c>
      <c r="S21">
        <v>4</v>
      </c>
      <c r="T21" t="s">
        <v>59</v>
      </c>
      <c r="U21" t="s">
        <v>60</v>
      </c>
      <c r="V21" t="s">
        <v>61</v>
      </c>
      <c r="W21" s="1">
        <v>45481</v>
      </c>
      <c r="X21" t="b">
        <v>0</v>
      </c>
      <c r="Y21" t="b">
        <v>0</v>
      </c>
      <c r="Z21" t="s">
        <v>52</v>
      </c>
      <c r="AA21" t="s">
        <v>53</v>
      </c>
      <c r="AB21">
        <v>13</v>
      </c>
    </row>
    <row r="22" spans="1:28" x14ac:dyDescent="0.25">
      <c r="A22" t="s">
        <v>118</v>
      </c>
      <c r="B22">
        <v>21</v>
      </c>
      <c r="C22" t="s">
        <v>29</v>
      </c>
      <c r="D22" t="s">
        <v>30</v>
      </c>
      <c r="E22" t="s">
        <v>69</v>
      </c>
      <c r="F22" t="s">
        <v>45</v>
      </c>
      <c r="G22" t="s">
        <v>30</v>
      </c>
      <c r="H22" t="s">
        <v>119</v>
      </c>
      <c r="I22" t="s">
        <v>120</v>
      </c>
      <c r="J22">
        <v>463.07</v>
      </c>
      <c r="K22">
        <v>7</v>
      </c>
      <c r="L22" t="s">
        <v>35</v>
      </c>
      <c r="M22">
        <v>4</v>
      </c>
      <c r="N22">
        <v>2</v>
      </c>
      <c r="O22">
        <v>0</v>
      </c>
      <c r="P22" t="s">
        <v>36</v>
      </c>
      <c r="Q22" t="s">
        <v>85</v>
      </c>
      <c r="R22">
        <v>1</v>
      </c>
      <c r="S22">
        <v>2</v>
      </c>
      <c r="T22" t="s">
        <v>49</v>
      </c>
      <c r="U22" t="s">
        <v>60</v>
      </c>
      <c r="V22" t="s">
        <v>51</v>
      </c>
      <c r="W22" s="1">
        <v>45496</v>
      </c>
      <c r="X22" t="b">
        <v>1</v>
      </c>
      <c r="Y22" t="b">
        <v>0</v>
      </c>
      <c r="Z22" t="s">
        <v>52</v>
      </c>
      <c r="AA22" t="s">
        <v>41</v>
      </c>
      <c r="AB22">
        <v>11</v>
      </c>
    </row>
    <row r="23" spans="1:28" x14ac:dyDescent="0.25">
      <c r="A23" t="s">
        <v>121</v>
      </c>
      <c r="B23">
        <v>36</v>
      </c>
      <c r="C23" t="s">
        <v>29</v>
      </c>
      <c r="D23" t="s">
        <v>44</v>
      </c>
      <c r="E23" t="s">
        <v>31</v>
      </c>
      <c r="F23" t="s">
        <v>56</v>
      </c>
      <c r="G23" t="s">
        <v>44</v>
      </c>
      <c r="H23" t="s">
        <v>122</v>
      </c>
      <c r="I23" t="s">
        <v>123</v>
      </c>
      <c r="J23">
        <v>56.74</v>
      </c>
      <c r="K23">
        <v>5</v>
      </c>
      <c r="L23" t="s">
        <v>78</v>
      </c>
      <c r="M23">
        <v>5</v>
      </c>
      <c r="N23">
        <v>1</v>
      </c>
      <c r="O23">
        <v>0</v>
      </c>
      <c r="P23" t="s">
        <v>49</v>
      </c>
      <c r="Q23" t="s">
        <v>85</v>
      </c>
      <c r="R23">
        <v>0</v>
      </c>
      <c r="S23">
        <v>6</v>
      </c>
      <c r="T23" t="s">
        <v>36</v>
      </c>
      <c r="U23" t="s">
        <v>60</v>
      </c>
      <c r="V23" t="s">
        <v>66</v>
      </c>
      <c r="W23" s="1">
        <v>45504</v>
      </c>
      <c r="X23" t="b">
        <v>1</v>
      </c>
      <c r="Y23" t="b">
        <v>0</v>
      </c>
      <c r="Z23" t="s">
        <v>62</v>
      </c>
      <c r="AA23" t="s">
        <v>67</v>
      </c>
      <c r="AB23">
        <v>7</v>
      </c>
    </row>
    <row r="24" spans="1:28" x14ac:dyDescent="0.25">
      <c r="A24" t="s">
        <v>124</v>
      </c>
      <c r="B24">
        <v>38</v>
      </c>
      <c r="C24" t="s">
        <v>43</v>
      </c>
      <c r="D24" t="s">
        <v>44</v>
      </c>
      <c r="E24" t="s">
        <v>76</v>
      </c>
      <c r="F24" t="s">
        <v>32</v>
      </c>
      <c r="G24" t="s">
        <v>30</v>
      </c>
      <c r="H24" t="s">
        <v>125</v>
      </c>
      <c r="I24" t="s">
        <v>126</v>
      </c>
      <c r="J24">
        <v>371.32</v>
      </c>
      <c r="K24">
        <v>7</v>
      </c>
      <c r="L24" t="s">
        <v>48</v>
      </c>
      <c r="M24">
        <v>4</v>
      </c>
      <c r="N24">
        <v>4</v>
      </c>
      <c r="O24">
        <v>0.7</v>
      </c>
      <c r="P24" t="s">
        <v>49</v>
      </c>
      <c r="Q24" t="s">
        <v>50</v>
      </c>
      <c r="R24">
        <v>2</v>
      </c>
      <c r="S24">
        <v>1</v>
      </c>
      <c r="T24" t="s">
        <v>36</v>
      </c>
      <c r="U24" t="s">
        <v>38</v>
      </c>
      <c r="V24" t="s">
        <v>61</v>
      </c>
      <c r="W24" s="1">
        <v>45347</v>
      </c>
      <c r="X24" t="b">
        <v>1</v>
      </c>
      <c r="Y24" t="b">
        <v>1</v>
      </c>
      <c r="Z24" t="s">
        <v>62</v>
      </c>
      <c r="AA24" t="s">
        <v>53</v>
      </c>
      <c r="AB24">
        <v>6</v>
      </c>
    </row>
    <row r="25" spans="1:28" x14ac:dyDescent="0.25">
      <c r="A25" t="s">
        <v>127</v>
      </c>
      <c r="B25">
        <v>37</v>
      </c>
      <c r="C25" t="s">
        <v>29</v>
      </c>
      <c r="D25" t="s">
        <v>30</v>
      </c>
      <c r="E25" t="s">
        <v>55</v>
      </c>
      <c r="F25" t="s">
        <v>32</v>
      </c>
      <c r="G25" t="s">
        <v>30</v>
      </c>
      <c r="H25" t="s">
        <v>128</v>
      </c>
      <c r="I25" t="s">
        <v>120</v>
      </c>
      <c r="J25">
        <v>461</v>
      </c>
      <c r="K25">
        <v>7</v>
      </c>
      <c r="L25" t="s">
        <v>78</v>
      </c>
      <c r="M25">
        <v>2</v>
      </c>
      <c r="N25">
        <v>4</v>
      </c>
      <c r="O25">
        <v>1</v>
      </c>
      <c r="P25" t="s">
        <v>44</v>
      </c>
      <c r="Q25" t="s">
        <v>50</v>
      </c>
      <c r="R25">
        <v>0</v>
      </c>
      <c r="S25">
        <v>8</v>
      </c>
      <c r="T25" t="s">
        <v>59</v>
      </c>
      <c r="U25" t="s">
        <v>38</v>
      </c>
      <c r="V25" t="s">
        <v>86</v>
      </c>
      <c r="W25" s="1">
        <v>45483</v>
      </c>
      <c r="X25" t="b">
        <v>0</v>
      </c>
      <c r="Y25" t="b">
        <v>1</v>
      </c>
      <c r="Z25" t="s">
        <v>52</v>
      </c>
      <c r="AA25" t="s">
        <v>53</v>
      </c>
      <c r="AB25">
        <v>9</v>
      </c>
    </row>
    <row r="26" spans="1:28" x14ac:dyDescent="0.25">
      <c r="A26" t="s">
        <v>129</v>
      </c>
      <c r="B26">
        <v>33</v>
      </c>
      <c r="C26" t="s">
        <v>29</v>
      </c>
      <c r="D26" t="s">
        <v>44</v>
      </c>
      <c r="E26" t="s">
        <v>31</v>
      </c>
      <c r="F26" t="s">
        <v>32</v>
      </c>
      <c r="G26" t="s">
        <v>44</v>
      </c>
      <c r="H26" t="s">
        <v>130</v>
      </c>
      <c r="I26" t="s">
        <v>47</v>
      </c>
      <c r="J26">
        <v>253.37</v>
      </c>
      <c r="K26">
        <v>6</v>
      </c>
      <c r="L26" t="s">
        <v>48</v>
      </c>
      <c r="M26">
        <v>4</v>
      </c>
      <c r="N26">
        <v>1</v>
      </c>
      <c r="O26">
        <v>1</v>
      </c>
      <c r="P26" t="s">
        <v>36</v>
      </c>
      <c r="Q26" t="s">
        <v>85</v>
      </c>
      <c r="R26">
        <v>2</v>
      </c>
      <c r="S26">
        <v>10</v>
      </c>
      <c r="T26" t="s">
        <v>44</v>
      </c>
      <c r="U26" t="s">
        <v>38</v>
      </c>
      <c r="V26" t="s">
        <v>66</v>
      </c>
      <c r="W26" s="1">
        <v>45651</v>
      </c>
      <c r="X26" t="b">
        <v>1</v>
      </c>
      <c r="Y26" t="b">
        <v>0</v>
      </c>
      <c r="Z26" t="s">
        <v>62</v>
      </c>
      <c r="AA26" t="s">
        <v>53</v>
      </c>
      <c r="AB26">
        <v>8</v>
      </c>
    </row>
    <row r="27" spans="1:28" x14ac:dyDescent="0.25">
      <c r="A27" t="s">
        <v>131</v>
      </c>
      <c r="B27">
        <v>37</v>
      </c>
      <c r="C27" t="s">
        <v>43</v>
      </c>
      <c r="D27" t="s">
        <v>44</v>
      </c>
      <c r="E27" t="s">
        <v>69</v>
      </c>
      <c r="F27" t="s">
        <v>45</v>
      </c>
      <c r="G27" t="s">
        <v>44</v>
      </c>
      <c r="H27" t="s">
        <v>132</v>
      </c>
      <c r="I27" t="s">
        <v>114</v>
      </c>
      <c r="J27">
        <v>136.53</v>
      </c>
      <c r="K27">
        <v>3</v>
      </c>
      <c r="L27" t="s">
        <v>35</v>
      </c>
      <c r="M27">
        <v>2</v>
      </c>
      <c r="N27">
        <v>4</v>
      </c>
      <c r="O27">
        <v>2</v>
      </c>
      <c r="P27" t="s">
        <v>44</v>
      </c>
      <c r="Q27" t="s">
        <v>50</v>
      </c>
      <c r="R27">
        <v>1</v>
      </c>
      <c r="S27">
        <v>3</v>
      </c>
      <c r="T27" t="s">
        <v>44</v>
      </c>
      <c r="U27" t="s">
        <v>60</v>
      </c>
      <c r="V27" t="s">
        <v>51</v>
      </c>
      <c r="W27" s="1">
        <v>45443</v>
      </c>
      <c r="X27" t="b">
        <v>1</v>
      </c>
      <c r="Y27" t="b">
        <v>1</v>
      </c>
      <c r="Z27" t="s">
        <v>74</v>
      </c>
      <c r="AA27" t="s">
        <v>53</v>
      </c>
      <c r="AB27">
        <v>10</v>
      </c>
    </row>
    <row r="28" spans="1:28" x14ac:dyDescent="0.25">
      <c r="A28" t="s">
        <v>133</v>
      </c>
      <c r="B28">
        <v>31</v>
      </c>
      <c r="C28" t="s">
        <v>29</v>
      </c>
      <c r="D28" t="s">
        <v>30</v>
      </c>
      <c r="E28" t="s">
        <v>55</v>
      </c>
      <c r="F28" t="s">
        <v>56</v>
      </c>
      <c r="G28" t="s">
        <v>30</v>
      </c>
      <c r="H28" t="s">
        <v>134</v>
      </c>
      <c r="I28" t="s">
        <v>135</v>
      </c>
      <c r="J28">
        <v>489.05</v>
      </c>
      <c r="K28">
        <v>10</v>
      </c>
      <c r="L28" t="s">
        <v>78</v>
      </c>
      <c r="M28">
        <v>5</v>
      </c>
      <c r="N28">
        <v>3</v>
      </c>
      <c r="O28">
        <v>0</v>
      </c>
      <c r="P28" t="s">
        <v>44</v>
      </c>
      <c r="Q28" t="s">
        <v>37</v>
      </c>
      <c r="R28">
        <v>2</v>
      </c>
      <c r="S28">
        <v>2</v>
      </c>
      <c r="T28" t="s">
        <v>44</v>
      </c>
      <c r="U28" t="s">
        <v>79</v>
      </c>
      <c r="V28" t="s">
        <v>51</v>
      </c>
      <c r="W28" s="1">
        <v>45539</v>
      </c>
      <c r="X28" t="b">
        <v>1</v>
      </c>
      <c r="Y28" t="b">
        <v>1</v>
      </c>
      <c r="Z28" t="s">
        <v>74</v>
      </c>
      <c r="AA28" t="s">
        <v>53</v>
      </c>
      <c r="AB28">
        <v>7</v>
      </c>
    </row>
    <row r="29" spans="1:28" x14ac:dyDescent="0.25">
      <c r="A29" t="s">
        <v>136</v>
      </c>
      <c r="B29">
        <v>50</v>
      </c>
      <c r="C29" t="s">
        <v>43</v>
      </c>
      <c r="D29" t="s">
        <v>44</v>
      </c>
      <c r="E29" t="s">
        <v>55</v>
      </c>
      <c r="F29" t="s">
        <v>56</v>
      </c>
      <c r="G29" t="s">
        <v>44</v>
      </c>
      <c r="H29" t="s">
        <v>137</v>
      </c>
      <c r="I29" t="s">
        <v>117</v>
      </c>
      <c r="J29">
        <v>81.91</v>
      </c>
      <c r="K29">
        <v>10</v>
      </c>
      <c r="L29" t="s">
        <v>48</v>
      </c>
      <c r="M29">
        <v>3</v>
      </c>
      <c r="N29">
        <v>4</v>
      </c>
      <c r="O29">
        <v>1</v>
      </c>
      <c r="P29" t="s">
        <v>49</v>
      </c>
      <c r="Q29" t="s">
        <v>85</v>
      </c>
      <c r="R29">
        <v>0</v>
      </c>
      <c r="S29">
        <v>4</v>
      </c>
      <c r="T29" t="s">
        <v>36</v>
      </c>
      <c r="U29" t="s">
        <v>79</v>
      </c>
      <c r="V29" t="s">
        <v>61</v>
      </c>
      <c r="W29" s="1">
        <v>45497</v>
      </c>
      <c r="X29" t="b">
        <v>0</v>
      </c>
      <c r="Y29" t="b">
        <v>1</v>
      </c>
      <c r="Z29" t="s">
        <v>40</v>
      </c>
      <c r="AA29" t="s">
        <v>67</v>
      </c>
      <c r="AB29">
        <v>2</v>
      </c>
    </row>
    <row r="30" spans="1:28" x14ac:dyDescent="0.25">
      <c r="A30" t="s">
        <v>138</v>
      </c>
      <c r="B30">
        <v>50</v>
      </c>
      <c r="C30" t="s">
        <v>43</v>
      </c>
      <c r="D30" t="s">
        <v>30</v>
      </c>
      <c r="E30" t="s">
        <v>31</v>
      </c>
      <c r="F30" t="s">
        <v>32</v>
      </c>
      <c r="G30" t="s">
        <v>30</v>
      </c>
      <c r="H30" t="s">
        <v>139</v>
      </c>
      <c r="I30" t="s">
        <v>135</v>
      </c>
      <c r="J30">
        <v>135.80000000000001</v>
      </c>
      <c r="K30">
        <v>2</v>
      </c>
      <c r="L30" t="s">
        <v>48</v>
      </c>
      <c r="M30">
        <v>2</v>
      </c>
      <c r="N30">
        <v>5</v>
      </c>
      <c r="O30">
        <v>1</v>
      </c>
      <c r="P30" t="s">
        <v>59</v>
      </c>
      <c r="Q30" t="s">
        <v>37</v>
      </c>
      <c r="R30">
        <v>1</v>
      </c>
      <c r="S30">
        <v>2</v>
      </c>
      <c r="T30" t="s">
        <v>44</v>
      </c>
      <c r="U30" t="s">
        <v>79</v>
      </c>
      <c r="V30" t="s">
        <v>61</v>
      </c>
      <c r="W30" s="1">
        <v>45612</v>
      </c>
      <c r="X30" t="b">
        <v>0</v>
      </c>
      <c r="Y30" t="b">
        <v>1</v>
      </c>
      <c r="Z30" t="s">
        <v>74</v>
      </c>
      <c r="AA30" t="s">
        <v>41</v>
      </c>
      <c r="AB30">
        <v>9</v>
      </c>
    </row>
    <row r="31" spans="1:28" x14ac:dyDescent="0.25">
      <c r="A31" t="s">
        <v>140</v>
      </c>
      <c r="B31">
        <v>45</v>
      </c>
      <c r="C31" t="s">
        <v>29</v>
      </c>
      <c r="D31" t="s">
        <v>30</v>
      </c>
      <c r="E31" t="s">
        <v>69</v>
      </c>
      <c r="F31" t="s">
        <v>45</v>
      </c>
      <c r="G31" t="s">
        <v>30</v>
      </c>
      <c r="H31" t="s">
        <v>141</v>
      </c>
      <c r="I31" t="s">
        <v>142</v>
      </c>
      <c r="J31">
        <v>382.24</v>
      </c>
      <c r="K31">
        <v>12</v>
      </c>
      <c r="L31" t="s">
        <v>48</v>
      </c>
      <c r="M31">
        <v>1</v>
      </c>
      <c r="N31">
        <v>5</v>
      </c>
      <c r="O31">
        <v>1</v>
      </c>
      <c r="P31" t="s">
        <v>44</v>
      </c>
      <c r="Q31" t="s">
        <v>85</v>
      </c>
      <c r="R31">
        <v>1</v>
      </c>
      <c r="S31">
        <v>4</v>
      </c>
      <c r="T31" t="s">
        <v>44</v>
      </c>
      <c r="U31" t="s">
        <v>38</v>
      </c>
      <c r="V31" t="s">
        <v>51</v>
      </c>
      <c r="W31" s="1">
        <v>45479</v>
      </c>
      <c r="X31" t="b">
        <v>1</v>
      </c>
      <c r="Y31" t="b">
        <v>1</v>
      </c>
      <c r="Z31" t="s">
        <v>74</v>
      </c>
      <c r="AA31" t="s">
        <v>53</v>
      </c>
      <c r="AB31">
        <v>3</v>
      </c>
    </row>
    <row r="32" spans="1:28" x14ac:dyDescent="0.25">
      <c r="A32" t="s">
        <v>143</v>
      </c>
      <c r="B32">
        <v>33</v>
      </c>
      <c r="C32" t="s">
        <v>29</v>
      </c>
      <c r="D32" t="s">
        <v>44</v>
      </c>
      <c r="E32" t="s">
        <v>31</v>
      </c>
      <c r="F32" t="s">
        <v>32</v>
      </c>
      <c r="G32" t="s">
        <v>30</v>
      </c>
      <c r="H32" t="s">
        <v>144</v>
      </c>
      <c r="I32" t="s">
        <v>34</v>
      </c>
      <c r="J32">
        <v>354.7</v>
      </c>
      <c r="K32">
        <v>5</v>
      </c>
      <c r="L32" t="s">
        <v>78</v>
      </c>
      <c r="M32">
        <v>4</v>
      </c>
      <c r="N32">
        <v>2</v>
      </c>
      <c r="O32">
        <v>0</v>
      </c>
      <c r="P32" t="s">
        <v>36</v>
      </c>
      <c r="Q32" t="s">
        <v>85</v>
      </c>
      <c r="R32">
        <v>2</v>
      </c>
      <c r="S32">
        <v>7</v>
      </c>
      <c r="T32" t="s">
        <v>36</v>
      </c>
      <c r="U32" t="s">
        <v>60</v>
      </c>
      <c r="V32" t="s">
        <v>66</v>
      </c>
      <c r="W32" s="1">
        <v>45332</v>
      </c>
      <c r="X32" t="b">
        <v>1</v>
      </c>
      <c r="Y32" t="b">
        <v>0</v>
      </c>
      <c r="Z32" t="s">
        <v>74</v>
      </c>
      <c r="AA32" t="s">
        <v>67</v>
      </c>
      <c r="AB32">
        <v>12</v>
      </c>
    </row>
    <row r="33" spans="1:28" x14ac:dyDescent="0.25">
      <c r="A33" t="s">
        <v>145</v>
      </c>
      <c r="B33">
        <v>24</v>
      </c>
      <c r="C33" t="s">
        <v>43</v>
      </c>
      <c r="D33" t="s">
        <v>44</v>
      </c>
      <c r="E33" t="s">
        <v>76</v>
      </c>
      <c r="F33" t="s">
        <v>32</v>
      </c>
      <c r="G33" t="s">
        <v>44</v>
      </c>
      <c r="H33" t="s">
        <v>146</v>
      </c>
      <c r="I33" t="s">
        <v>93</v>
      </c>
      <c r="J33">
        <v>433.82</v>
      </c>
      <c r="K33">
        <v>6</v>
      </c>
      <c r="L33" t="s">
        <v>78</v>
      </c>
      <c r="M33">
        <v>3</v>
      </c>
      <c r="N33">
        <v>2</v>
      </c>
      <c r="O33">
        <v>1</v>
      </c>
      <c r="P33" t="s">
        <v>49</v>
      </c>
      <c r="Q33" t="s">
        <v>37</v>
      </c>
      <c r="R33">
        <v>0</v>
      </c>
      <c r="S33">
        <v>8</v>
      </c>
      <c r="T33" t="s">
        <v>49</v>
      </c>
      <c r="U33" t="s">
        <v>79</v>
      </c>
      <c r="V33" t="s">
        <v>66</v>
      </c>
      <c r="W33" s="1">
        <v>45472</v>
      </c>
      <c r="X33" t="b">
        <v>0</v>
      </c>
      <c r="Y33" t="b">
        <v>1</v>
      </c>
      <c r="Z33" t="s">
        <v>74</v>
      </c>
      <c r="AA33" t="s">
        <v>67</v>
      </c>
      <c r="AB33">
        <v>10</v>
      </c>
    </row>
    <row r="34" spans="1:28" x14ac:dyDescent="0.25">
      <c r="A34" t="s">
        <v>147</v>
      </c>
      <c r="B34">
        <v>39</v>
      </c>
      <c r="C34" t="s">
        <v>148</v>
      </c>
      <c r="D34" t="s">
        <v>44</v>
      </c>
      <c r="E34" t="s">
        <v>31</v>
      </c>
      <c r="F34" t="s">
        <v>32</v>
      </c>
      <c r="G34" t="s">
        <v>30</v>
      </c>
      <c r="H34" t="s">
        <v>149</v>
      </c>
      <c r="I34" t="s">
        <v>93</v>
      </c>
      <c r="J34">
        <v>282.13</v>
      </c>
      <c r="K34">
        <v>5</v>
      </c>
      <c r="L34" t="s">
        <v>35</v>
      </c>
      <c r="M34">
        <v>4</v>
      </c>
      <c r="N34">
        <v>5</v>
      </c>
      <c r="O34">
        <v>1</v>
      </c>
      <c r="P34" t="s">
        <v>36</v>
      </c>
      <c r="Q34" t="s">
        <v>37</v>
      </c>
      <c r="R34">
        <v>1</v>
      </c>
      <c r="S34">
        <v>2</v>
      </c>
      <c r="T34" t="s">
        <v>36</v>
      </c>
      <c r="U34" t="s">
        <v>38</v>
      </c>
      <c r="V34" t="s">
        <v>66</v>
      </c>
      <c r="W34" s="1">
        <v>45317</v>
      </c>
      <c r="X34" t="b">
        <v>1</v>
      </c>
      <c r="Y34" t="b">
        <v>0</v>
      </c>
      <c r="Z34" t="s">
        <v>40</v>
      </c>
      <c r="AA34" t="s">
        <v>53</v>
      </c>
      <c r="AB34">
        <v>9</v>
      </c>
    </row>
    <row r="35" spans="1:28" x14ac:dyDescent="0.25">
      <c r="A35" t="s">
        <v>150</v>
      </c>
      <c r="B35">
        <v>48</v>
      </c>
      <c r="C35" t="s">
        <v>43</v>
      </c>
      <c r="D35" t="s">
        <v>44</v>
      </c>
      <c r="E35" t="s">
        <v>69</v>
      </c>
      <c r="F35" t="s">
        <v>45</v>
      </c>
      <c r="G35" t="s">
        <v>30</v>
      </c>
      <c r="H35" t="s">
        <v>151</v>
      </c>
      <c r="I35" t="s">
        <v>93</v>
      </c>
      <c r="J35">
        <v>454.38</v>
      </c>
      <c r="K35">
        <v>10</v>
      </c>
      <c r="L35" t="s">
        <v>78</v>
      </c>
      <c r="M35">
        <v>3</v>
      </c>
      <c r="N35">
        <v>4</v>
      </c>
      <c r="O35">
        <v>0</v>
      </c>
      <c r="P35" t="s">
        <v>36</v>
      </c>
      <c r="Q35" t="s">
        <v>37</v>
      </c>
      <c r="R35">
        <v>0</v>
      </c>
      <c r="S35">
        <v>10</v>
      </c>
      <c r="T35" t="s">
        <v>49</v>
      </c>
      <c r="U35" t="s">
        <v>60</v>
      </c>
      <c r="V35" t="s">
        <v>51</v>
      </c>
      <c r="W35" s="1">
        <v>45458</v>
      </c>
      <c r="X35" t="b">
        <v>1</v>
      </c>
      <c r="Y35" t="b">
        <v>0</v>
      </c>
      <c r="Z35" t="s">
        <v>62</v>
      </c>
      <c r="AA35" t="s">
        <v>41</v>
      </c>
      <c r="AB35">
        <v>7</v>
      </c>
    </row>
    <row r="36" spans="1:28" x14ac:dyDescent="0.25">
      <c r="A36" t="s">
        <v>152</v>
      </c>
      <c r="B36">
        <v>25</v>
      </c>
      <c r="C36" t="s">
        <v>43</v>
      </c>
      <c r="D36" t="s">
        <v>30</v>
      </c>
      <c r="E36" t="s">
        <v>31</v>
      </c>
      <c r="F36" t="s">
        <v>45</v>
      </c>
      <c r="G36" t="s">
        <v>44</v>
      </c>
      <c r="H36" t="s">
        <v>153</v>
      </c>
      <c r="I36" t="s">
        <v>93</v>
      </c>
      <c r="J36">
        <v>138.88</v>
      </c>
      <c r="K36">
        <v>7</v>
      </c>
      <c r="L36" t="s">
        <v>48</v>
      </c>
      <c r="M36">
        <v>2</v>
      </c>
      <c r="N36">
        <v>4</v>
      </c>
      <c r="O36">
        <v>1</v>
      </c>
      <c r="P36" t="s">
        <v>36</v>
      </c>
      <c r="Q36" t="s">
        <v>50</v>
      </c>
      <c r="R36">
        <v>1</v>
      </c>
      <c r="S36">
        <v>3</v>
      </c>
      <c r="T36" t="s">
        <v>36</v>
      </c>
      <c r="U36" t="s">
        <v>38</v>
      </c>
      <c r="V36" t="s">
        <v>86</v>
      </c>
      <c r="W36" s="1">
        <v>45451</v>
      </c>
      <c r="X36" t="b">
        <v>1</v>
      </c>
      <c r="Y36" t="b">
        <v>0</v>
      </c>
      <c r="Z36" t="s">
        <v>74</v>
      </c>
      <c r="AA36" t="s">
        <v>41</v>
      </c>
      <c r="AB36">
        <v>4</v>
      </c>
    </row>
    <row r="37" spans="1:28" x14ac:dyDescent="0.25">
      <c r="A37" t="s">
        <v>154</v>
      </c>
      <c r="B37">
        <v>30</v>
      </c>
      <c r="C37" t="s">
        <v>29</v>
      </c>
      <c r="D37" t="s">
        <v>44</v>
      </c>
      <c r="E37" t="s">
        <v>55</v>
      </c>
      <c r="F37" t="s">
        <v>32</v>
      </c>
      <c r="G37" t="s">
        <v>44</v>
      </c>
      <c r="H37" t="s">
        <v>155</v>
      </c>
      <c r="I37" t="s">
        <v>82</v>
      </c>
      <c r="J37">
        <v>52.34</v>
      </c>
      <c r="K37">
        <v>6</v>
      </c>
      <c r="L37" t="s">
        <v>48</v>
      </c>
      <c r="M37">
        <v>3</v>
      </c>
      <c r="N37">
        <v>4</v>
      </c>
      <c r="O37">
        <v>1</v>
      </c>
      <c r="P37" t="s">
        <v>59</v>
      </c>
      <c r="Q37" t="s">
        <v>37</v>
      </c>
      <c r="R37">
        <v>1</v>
      </c>
      <c r="S37">
        <v>5</v>
      </c>
      <c r="T37" t="s">
        <v>49</v>
      </c>
      <c r="U37" t="s">
        <v>38</v>
      </c>
      <c r="V37" t="s">
        <v>51</v>
      </c>
      <c r="W37" s="1">
        <v>45433</v>
      </c>
      <c r="X37" t="b">
        <v>1</v>
      </c>
      <c r="Y37" t="b">
        <v>1</v>
      </c>
      <c r="Z37" t="s">
        <v>74</v>
      </c>
      <c r="AA37" t="s">
        <v>67</v>
      </c>
      <c r="AB37">
        <v>13</v>
      </c>
    </row>
    <row r="38" spans="1:28" x14ac:dyDescent="0.25">
      <c r="A38" t="s">
        <v>156</v>
      </c>
      <c r="B38">
        <v>34</v>
      </c>
      <c r="C38" t="s">
        <v>43</v>
      </c>
      <c r="D38" t="s">
        <v>30</v>
      </c>
      <c r="E38" t="s">
        <v>55</v>
      </c>
      <c r="F38" t="s">
        <v>32</v>
      </c>
      <c r="G38" t="s">
        <v>44</v>
      </c>
      <c r="H38" t="s">
        <v>157</v>
      </c>
      <c r="I38" t="s">
        <v>158</v>
      </c>
      <c r="J38">
        <v>338.2</v>
      </c>
      <c r="K38">
        <v>7</v>
      </c>
      <c r="L38" t="s">
        <v>78</v>
      </c>
      <c r="M38">
        <v>3</v>
      </c>
      <c r="N38">
        <v>5</v>
      </c>
      <c r="O38">
        <v>0</v>
      </c>
      <c r="P38" t="s">
        <v>36</v>
      </c>
      <c r="Q38" t="s">
        <v>50</v>
      </c>
      <c r="R38">
        <v>1</v>
      </c>
      <c r="S38">
        <v>9</v>
      </c>
      <c r="T38" t="s">
        <v>49</v>
      </c>
      <c r="U38" t="s">
        <v>38</v>
      </c>
      <c r="V38" t="s">
        <v>66</v>
      </c>
      <c r="W38" s="1">
        <v>45536</v>
      </c>
      <c r="X38" t="b">
        <v>1</v>
      </c>
      <c r="Y38" t="b">
        <v>0</v>
      </c>
      <c r="Z38" t="s">
        <v>52</v>
      </c>
      <c r="AA38" t="s">
        <v>53</v>
      </c>
      <c r="AB38">
        <v>7</v>
      </c>
    </row>
    <row r="39" spans="1:28" x14ac:dyDescent="0.25">
      <c r="A39" t="s">
        <v>159</v>
      </c>
      <c r="B39">
        <v>21</v>
      </c>
      <c r="C39" t="s">
        <v>29</v>
      </c>
      <c r="D39" t="s">
        <v>30</v>
      </c>
      <c r="E39" t="s">
        <v>69</v>
      </c>
      <c r="F39" t="s">
        <v>45</v>
      </c>
      <c r="G39" t="s">
        <v>30</v>
      </c>
      <c r="H39" t="s">
        <v>160</v>
      </c>
      <c r="I39" t="s">
        <v>126</v>
      </c>
      <c r="J39">
        <v>263.14999999999998</v>
      </c>
      <c r="K39">
        <v>3</v>
      </c>
      <c r="L39" t="s">
        <v>48</v>
      </c>
      <c r="M39">
        <v>1</v>
      </c>
      <c r="N39">
        <v>5</v>
      </c>
      <c r="O39">
        <v>1</v>
      </c>
      <c r="P39" t="s">
        <v>44</v>
      </c>
      <c r="Q39" t="s">
        <v>37</v>
      </c>
      <c r="R39">
        <v>1</v>
      </c>
      <c r="S39">
        <v>10</v>
      </c>
      <c r="T39" t="s">
        <v>44</v>
      </c>
      <c r="U39" t="s">
        <v>38</v>
      </c>
      <c r="V39" t="s">
        <v>66</v>
      </c>
      <c r="W39" s="1">
        <v>45355</v>
      </c>
      <c r="X39" t="b">
        <v>1</v>
      </c>
      <c r="Y39" t="b">
        <v>0</v>
      </c>
      <c r="Z39" t="s">
        <v>62</v>
      </c>
      <c r="AA39" t="s">
        <v>67</v>
      </c>
      <c r="AB39">
        <v>10</v>
      </c>
    </row>
    <row r="40" spans="1:28" x14ac:dyDescent="0.25">
      <c r="A40" t="s">
        <v>161</v>
      </c>
      <c r="B40">
        <v>36</v>
      </c>
      <c r="C40" t="s">
        <v>29</v>
      </c>
      <c r="D40" t="s">
        <v>30</v>
      </c>
      <c r="E40" t="s">
        <v>31</v>
      </c>
      <c r="F40" t="s">
        <v>56</v>
      </c>
      <c r="G40" t="s">
        <v>30</v>
      </c>
      <c r="H40" t="s">
        <v>162</v>
      </c>
      <c r="I40" t="s">
        <v>120</v>
      </c>
      <c r="J40">
        <v>371.58</v>
      </c>
      <c r="K40">
        <v>2</v>
      </c>
      <c r="L40" t="s">
        <v>35</v>
      </c>
      <c r="M40">
        <v>2</v>
      </c>
      <c r="N40">
        <v>1</v>
      </c>
      <c r="O40">
        <v>2</v>
      </c>
      <c r="P40" t="s">
        <v>44</v>
      </c>
      <c r="Q40" t="s">
        <v>50</v>
      </c>
      <c r="R40">
        <v>0</v>
      </c>
      <c r="S40">
        <v>10</v>
      </c>
      <c r="T40" t="s">
        <v>36</v>
      </c>
      <c r="U40" t="s">
        <v>60</v>
      </c>
      <c r="V40" t="s">
        <v>86</v>
      </c>
      <c r="W40" s="1">
        <v>45548</v>
      </c>
      <c r="X40" t="b">
        <v>1</v>
      </c>
      <c r="Y40" t="b">
        <v>1</v>
      </c>
      <c r="Z40" t="s">
        <v>52</v>
      </c>
      <c r="AA40" t="s">
        <v>41</v>
      </c>
      <c r="AB40">
        <v>11</v>
      </c>
    </row>
    <row r="41" spans="1:28" x14ac:dyDescent="0.25">
      <c r="A41" t="s">
        <v>163</v>
      </c>
      <c r="B41">
        <v>30</v>
      </c>
      <c r="C41" t="s">
        <v>43</v>
      </c>
      <c r="D41" t="s">
        <v>30</v>
      </c>
      <c r="E41" t="s">
        <v>69</v>
      </c>
      <c r="F41" t="s">
        <v>32</v>
      </c>
      <c r="G41" t="s">
        <v>30</v>
      </c>
      <c r="H41" t="s">
        <v>164</v>
      </c>
      <c r="I41" t="s">
        <v>104</v>
      </c>
      <c r="J41">
        <v>353.4</v>
      </c>
      <c r="K41">
        <v>2</v>
      </c>
      <c r="L41" t="s">
        <v>78</v>
      </c>
      <c r="M41">
        <v>2</v>
      </c>
      <c r="N41">
        <v>3</v>
      </c>
      <c r="O41">
        <v>2</v>
      </c>
      <c r="P41" t="s">
        <v>49</v>
      </c>
      <c r="Q41" t="s">
        <v>85</v>
      </c>
      <c r="R41">
        <v>0</v>
      </c>
      <c r="S41">
        <v>1</v>
      </c>
      <c r="T41" t="s">
        <v>59</v>
      </c>
      <c r="U41" t="s">
        <v>38</v>
      </c>
      <c r="V41" t="s">
        <v>39</v>
      </c>
      <c r="W41" s="1">
        <v>45632</v>
      </c>
      <c r="X41" t="b">
        <v>0</v>
      </c>
      <c r="Y41" t="b">
        <v>1</v>
      </c>
      <c r="Z41" t="s">
        <v>62</v>
      </c>
      <c r="AA41" t="s">
        <v>41</v>
      </c>
      <c r="AB41">
        <v>3</v>
      </c>
    </row>
    <row r="42" spans="1:28" x14ac:dyDescent="0.25">
      <c r="A42" t="s">
        <v>165</v>
      </c>
      <c r="B42">
        <v>46</v>
      </c>
      <c r="C42" t="s">
        <v>29</v>
      </c>
      <c r="D42" t="s">
        <v>30</v>
      </c>
      <c r="E42" t="s">
        <v>76</v>
      </c>
      <c r="F42" t="s">
        <v>45</v>
      </c>
      <c r="G42" t="s">
        <v>44</v>
      </c>
      <c r="H42" t="s">
        <v>166</v>
      </c>
      <c r="I42" t="s">
        <v>120</v>
      </c>
      <c r="J42">
        <v>329.41</v>
      </c>
      <c r="K42">
        <v>5</v>
      </c>
      <c r="L42" t="s">
        <v>48</v>
      </c>
      <c r="M42">
        <v>5</v>
      </c>
      <c r="N42">
        <v>3</v>
      </c>
      <c r="O42">
        <v>0</v>
      </c>
      <c r="P42" t="s">
        <v>49</v>
      </c>
      <c r="Q42" t="s">
        <v>37</v>
      </c>
      <c r="R42">
        <v>1</v>
      </c>
      <c r="S42">
        <v>1</v>
      </c>
      <c r="T42" t="s">
        <v>44</v>
      </c>
      <c r="U42" t="s">
        <v>79</v>
      </c>
      <c r="V42" t="s">
        <v>86</v>
      </c>
      <c r="W42" s="1">
        <v>45586</v>
      </c>
      <c r="X42" t="b">
        <v>1</v>
      </c>
      <c r="Y42" t="b">
        <v>1</v>
      </c>
      <c r="Z42" t="s">
        <v>40</v>
      </c>
      <c r="AA42" t="s">
        <v>41</v>
      </c>
      <c r="AB42">
        <v>2</v>
      </c>
    </row>
    <row r="43" spans="1:28" x14ac:dyDescent="0.25">
      <c r="A43" t="s">
        <v>167</v>
      </c>
      <c r="B43">
        <v>46</v>
      </c>
      <c r="C43" t="s">
        <v>29</v>
      </c>
      <c r="D43" t="s">
        <v>30</v>
      </c>
      <c r="E43" t="s">
        <v>31</v>
      </c>
      <c r="F43" t="s">
        <v>56</v>
      </c>
      <c r="G43" t="s">
        <v>30</v>
      </c>
      <c r="H43" t="s">
        <v>168</v>
      </c>
      <c r="I43" t="s">
        <v>47</v>
      </c>
      <c r="J43">
        <v>54.46</v>
      </c>
      <c r="K43">
        <v>5</v>
      </c>
      <c r="L43" t="s">
        <v>78</v>
      </c>
      <c r="M43">
        <v>4</v>
      </c>
      <c r="N43">
        <v>5</v>
      </c>
      <c r="O43">
        <v>1</v>
      </c>
      <c r="P43" t="s">
        <v>44</v>
      </c>
      <c r="Q43" t="s">
        <v>50</v>
      </c>
      <c r="R43">
        <v>1</v>
      </c>
      <c r="S43">
        <v>1</v>
      </c>
      <c r="T43" t="s">
        <v>59</v>
      </c>
      <c r="U43" t="s">
        <v>38</v>
      </c>
      <c r="V43" t="s">
        <v>66</v>
      </c>
      <c r="W43" s="1">
        <v>45613</v>
      </c>
      <c r="X43" t="b">
        <v>0</v>
      </c>
      <c r="Y43" t="b">
        <v>0</v>
      </c>
      <c r="Z43" t="s">
        <v>62</v>
      </c>
      <c r="AA43" t="s">
        <v>53</v>
      </c>
      <c r="AB43">
        <v>1</v>
      </c>
    </row>
    <row r="44" spans="1:28" x14ac:dyDescent="0.25">
      <c r="A44" t="s">
        <v>169</v>
      </c>
      <c r="B44">
        <v>43</v>
      </c>
      <c r="C44" t="s">
        <v>43</v>
      </c>
      <c r="D44" t="s">
        <v>44</v>
      </c>
      <c r="E44" t="s">
        <v>69</v>
      </c>
      <c r="F44" t="s">
        <v>56</v>
      </c>
      <c r="G44" t="s">
        <v>30</v>
      </c>
      <c r="H44" t="s">
        <v>170</v>
      </c>
      <c r="I44" t="s">
        <v>82</v>
      </c>
      <c r="J44">
        <v>257.12</v>
      </c>
      <c r="K44">
        <v>8</v>
      </c>
      <c r="L44" t="s">
        <v>78</v>
      </c>
      <c r="M44">
        <v>2</v>
      </c>
      <c r="N44">
        <v>1</v>
      </c>
      <c r="O44">
        <v>0</v>
      </c>
      <c r="P44" t="s">
        <v>44</v>
      </c>
      <c r="Q44" t="s">
        <v>50</v>
      </c>
      <c r="R44">
        <v>2</v>
      </c>
      <c r="S44">
        <v>1</v>
      </c>
      <c r="T44" t="s">
        <v>44</v>
      </c>
      <c r="U44" t="s">
        <v>60</v>
      </c>
      <c r="V44" t="s">
        <v>66</v>
      </c>
      <c r="W44" s="1">
        <v>45497</v>
      </c>
      <c r="X44" t="b">
        <v>1</v>
      </c>
      <c r="Y44" t="b">
        <v>0</v>
      </c>
      <c r="Z44" t="s">
        <v>62</v>
      </c>
      <c r="AA44" t="s">
        <v>41</v>
      </c>
      <c r="AB44">
        <v>11</v>
      </c>
    </row>
    <row r="45" spans="1:28" x14ac:dyDescent="0.25">
      <c r="A45" t="s">
        <v>171</v>
      </c>
      <c r="B45">
        <v>43</v>
      </c>
      <c r="C45" t="s">
        <v>43</v>
      </c>
      <c r="D45" t="s">
        <v>44</v>
      </c>
      <c r="E45" t="s">
        <v>76</v>
      </c>
      <c r="F45" t="s">
        <v>32</v>
      </c>
      <c r="G45" t="s">
        <v>30</v>
      </c>
      <c r="H45" t="s">
        <v>172</v>
      </c>
      <c r="I45" t="s">
        <v>135</v>
      </c>
      <c r="J45">
        <v>293.04000000000002</v>
      </c>
      <c r="K45">
        <v>11</v>
      </c>
      <c r="L45" t="s">
        <v>48</v>
      </c>
      <c r="M45">
        <v>4</v>
      </c>
      <c r="N45">
        <v>2</v>
      </c>
      <c r="O45">
        <v>1</v>
      </c>
      <c r="P45" t="s">
        <v>36</v>
      </c>
      <c r="Q45" t="s">
        <v>85</v>
      </c>
      <c r="R45">
        <v>1</v>
      </c>
      <c r="S45">
        <v>3</v>
      </c>
      <c r="T45" t="s">
        <v>59</v>
      </c>
      <c r="U45" t="s">
        <v>79</v>
      </c>
      <c r="V45" t="s">
        <v>51</v>
      </c>
      <c r="W45" s="1">
        <v>45354</v>
      </c>
      <c r="X45" t="b">
        <v>1</v>
      </c>
      <c r="Y45" t="b">
        <v>0</v>
      </c>
      <c r="Z45" t="s">
        <v>74</v>
      </c>
      <c r="AA45" t="s">
        <v>53</v>
      </c>
      <c r="AB45">
        <v>6</v>
      </c>
    </row>
    <row r="46" spans="1:28" x14ac:dyDescent="0.25">
      <c r="A46" t="s">
        <v>173</v>
      </c>
      <c r="B46">
        <v>34</v>
      </c>
      <c r="C46" t="s">
        <v>43</v>
      </c>
      <c r="D46" t="s">
        <v>44</v>
      </c>
      <c r="E46" t="s">
        <v>55</v>
      </c>
      <c r="F46" t="s">
        <v>56</v>
      </c>
      <c r="G46" t="s">
        <v>44</v>
      </c>
      <c r="H46" t="s">
        <v>174</v>
      </c>
      <c r="I46" t="s">
        <v>82</v>
      </c>
      <c r="J46">
        <v>110.4</v>
      </c>
      <c r="K46">
        <v>12</v>
      </c>
      <c r="L46" t="s">
        <v>35</v>
      </c>
      <c r="M46">
        <v>5</v>
      </c>
      <c r="N46">
        <v>1</v>
      </c>
      <c r="O46">
        <v>2</v>
      </c>
      <c r="P46" t="s">
        <v>36</v>
      </c>
      <c r="Q46" t="s">
        <v>37</v>
      </c>
      <c r="R46">
        <v>1</v>
      </c>
      <c r="S46">
        <v>3</v>
      </c>
      <c r="T46" t="s">
        <v>49</v>
      </c>
      <c r="U46" t="s">
        <v>38</v>
      </c>
      <c r="V46" t="s">
        <v>61</v>
      </c>
      <c r="W46" s="1">
        <v>45609</v>
      </c>
      <c r="X46" t="b">
        <v>0</v>
      </c>
      <c r="Y46" t="b">
        <v>0</v>
      </c>
      <c r="Z46" t="s">
        <v>40</v>
      </c>
      <c r="AA46" t="s">
        <v>53</v>
      </c>
      <c r="AB46">
        <v>12</v>
      </c>
    </row>
    <row r="47" spans="1:28" x14ac:dyDescent="0.25">
      <c r="A47" t="s">
        <v>175</v>
      </c>
      <c r="B47">
        <v>42</v>
      </c>
      <c r="C47" t="s">
        <v>29</v>
      </c>
      <c r="D47" t="s">
        <v>30</v>
      </c>
      <c r="E47" t="s">
        <v>31</v>
      </c>
      <c r="F47" t="s">
        <v>56</v>
      </c>
      <c r="G47" t="s">
        <v>44</v>
      </c>
      <c r="H47" t="s">
        <v>176</v>
      </c>
      <c r="I47" t="s">
        <v>93</v>
      </c>
      <c r="J47">
        <v>76.27</v>
      </c>
      <c r="K47">
        <v>4</v>
      </c>
      <c r="L47" t="s">
        <v>48</v>
      </c>
      <c r="M47">
        <v>2</v>
      </c>
      <c r="N47">
        <v>3</v>
      </c>
      <c r="O47">
        <v>0</v>
      </c>
      <c r="P47" t="s">
        <v>36</v>
      </c>
      <c r="Q47" t="s">
        <v>50</v>
      </c>
      <c r="R47">
        <v>0</v>
      </c>
      <c r="S47">
        <v>8</v>
      </c>
      <c r="T47" t="s">
        <v>49</v>
      </c>
      <c r="U47" t="s">
        <v>60</v>
      </c>
      <c r="V47" t="s">
        <v>39</v>
      </c>
      <c r="W47" s="1">
        <v>45650</v>
      </c>
      <c r="X47" t="b">
        <v>1</v>
      </c>
      <c r="Y47" t="b">
        <v>0</v>
      </c>
      <c r="Z47" t="s">
        <v>52</v>
      </c>
      <c r="AA47" t="s">
        <v>53</v>
      </c>
      <c r="AB47">
        <v>10</v>
      </c>
    </row>
    <row r="48" spans="1:28" x14ac:dyDescent="0.25">
      <c r="A48" t="s">
        <v>177</v>
      </c>
      <c r="B48">
        <v>40</v>
      </c>
      <c r="C48" t="s">
        <v>29</v>
      </c>
      <c r="D48" t="s">
        <v>44</v>
      </c>
      <c r="E48" t="s">
        <v>69</v>
      </c>
      <c r="F48" t="s">
        <v>32</v>
      </c>
      <c r="G48" t="s">
        <v>30</v>
      </c>
      <c r="H48" t="s">
        <v>178</v>
      </c>
      <c r="I48" t="s">
        <v>126</v>
      </c>
      <c r="J48">
        <v>392.08</v>
      </c>
      <c r="K48">
        <v>6</v>
      </c>
      <c r="L48" t="s">
        <v>78</v>
      </c>
      <c r="M48">
        <v>2</v>
      </c>
      <c r="N48">
        <v>5</v>
      </c>
      <c r="O48">
        <v>1</v>
      </c>
      <c r="P48" t="s">
        <v>36</v>
      </c>
      <c r="Q48" t="s">
        <v>85</v>
      </c>
      <c r="R48">
        <v>2</v>
      </c>
      <c r="S48">
        <v>7</v>
      </c>
      <c r="T48" t="s">
        <v>44</v>
      </c>
      <c r="U48" t="s">
        <v>38</v>
      </c>
      <c r="V48" t="s">
        <v>66</v>
      </c>
      <c r="W48" s="1">
        <v>45508</v>
      </c>
      <c r="X48" t="b">
        <v>1</v>
      </c>
      <c r="Y48" t="b">
        <v>1</v>
      </c>
      <c r="Z48" t="s">
        <v>40</v>
      </c>
      <c r="AA48" t="s">
        <v>67</v>
      </c>
      <c r="AB48">
        <v>6</v>
      </c>
    </row>
    <row r="49" spans="1:28" x14ac:dyDescent="0.25">
      <c r="A49" t="s">
        <v>179</v>
      </c>
      <c r="B49">
        <v>25</v>
      </c>
      <c r="C49" t="s">
        <v>29</v>
      </c>
      <c r="D49" t="s">
        <v>44</v>
      </c>
      <c r="E49" t="s">
        <v>31</v>
      </c>
      <c r="F49" t="s">
        <v>32</v>
      </c>
      <c r="G49" t="s">
        <v>44</v>
      </c>
      <c r="H49" t="s">
        <v>180</v>
      </c>
      <c r="I49" t="s">
        <v>126</v>
      </c>
      <c r="J49">
        <v>51.22</v>
      </c>
      <c r="K49">
        <v>6</v>
      </c>
      <c r="L49" t="s">
        <v>78</v>
      </c>
      <c r="M49">
        <v>2</v>
      </c>
      <c r="N49">
        <v>1</v>
      </c>
      <c r="O49">
        <v>0</v>
      </c>
      <c r="P49" t="s">
        <v>36</v>
      </c>
      <c r="Q49" t="s">
        <v>85</v>
      </c>
      <c r="R49">
        <v>1</v>
      </c>
      <c r="S49">
        <v>5</v>
      </c>
      <c r="T49" t="s">
        <v>49</v>
      </c>
      <c r="U49" t="s">
        <v>38</v>
      </c>
      <c r="V49" t="s">
        <v>86</v>
      </c>
      <c r="W49" s="1">
        <v>45529</v>
      </c>
      <c r="X49" t="b">
        <v>1</v>
      </c>
      <c r="Y49" t="b">
        <v>1</v>
      </c>
      <c r="Z49" t="s">
        <v>74</v>
      </c>
      <c r="AA49" t="s">
        <v>53</v>
      </c>
      <c r="AB49">
        <v>5</v>
      </c>
    </row>
    <row r="50" spans="1:28" x14ac:dyDescent="0.25">
      <c r="A50" t="s">
        <v>181</v>
      </c>
      <c r="B50">
        <v>38</v>
      </c>
      <c r="C50" t="s">
        <v>43</v>
      </c>
      <c r="D50" t="s">
        <v>30</v>
      </c>
      <c r="E50" t="s">
        <v>76</v>
      </c>
      <c r="F50" t="s">
        <v>32</v>
      </c>
      <c r="G50" t="s">
        <v>44</v>
      </c>
      <c r="H50" t="s">
        <v>182</v>
      </c>
      <c r="I50" t="s">
        <v>183</v>
      </c>
      <c r="J50">
        <v>227.57</v>
      </c>
      <c r="K50">
        <v>2</v>
      </c>
      <c r="L50" t="s">
        <v>78</v>
      </c>
      <c r="M50">
        <v>1</v>
      </c>
      <c r="N50">
        <v>2</v>
      </c>
      <c r="O50">
        <v>0</v>
      </c>
      <c r="P50" t="s">
        <v>44</v>
      </c>
      <c r="Q50" t="s">
        <v>37</v>
      </c>
      <c r="R50">
        <v>1</v>
      </c>
      <c r="S50">
        <v>6</v>
      </c>
      <c r="T50" t="s">
        <v>36</v>
      </c>
      <c r="U50" t="s">
        <v>38</v>
      </c>
      <c r="V50" t="s">
        <v>51</v>
      </c>
      <c r="W50" s="1">
        <v>45521</v>
      </c>
      <c r="X50" t="b">
        <v>0</v>
      </c>
      <c r="Y50" t="b">
        <v>1</v>
      </c>
      <c r="Z50" t="s">
        <v>52</v>
      </c>
      <c r="AA50" t="s">
        <v>41</v>
      </c>
      <c r="AB50">
        <v>14</v>
      </c>
    </row>
    <row r="51" spans="1:28" x14ac:dyDescent="0.25">
      <c r="A51" t="s">
        <v>184</v>
      </c>
      <c r="B51">
        <v>46</v>
      </c>
      <c r="C51" t="s">
        <v>29</v>
      </c>
      <c r="D51" t="s">
        <v>30</v>
      </c>
      <c r="E51" t="s">
        <v>69</v>
      </c>
      <c r="F51" t="s">
        <v>32</v>
      </c>
      <c r="G51" t="s">
        <v>30</v>
      </c>
      <c r="H51" t="s">
        <v>185</v>
      </c>
      <c r="I51" t="s">
        <v>158</v>
      </c>
      <c r="J51">
        <v>378.87</v>
      </c>
      <c r="K51">
        <v>7</v>
      </c>
      <c r="L51" t="s">
        <v>78</v>
      </c>
      <c r="M51">
        <v>1</v>
      </c>
      <c r="N51">
        <v>2</v>
      </c>
      <c r="O51">
        <v>0</v>
      </c>
      <c r="P51" t="s">
        <v>36</v>
      </c>
      <c r="Q51" t="s">
        <v>85</v>
      </c>
      <c r="R51">
        <v>1</v>
      </c>
      <c r="S51">
        <v>2</v>
      </c>
      <c r="T51" t="s">
        <v>59</v>
      </c>
      <c r="U51" t="s">
        <v>38</v>
      </c>
      <c r="V51" t="s">
        <v>51</v>
      </c>
      <c r="W51" s="1">
        <v>45383</v>
      </c>
      <c r="X51" t="b">
        <v>1</v>
      </c>
      <c r="Y51" t="b">
        <v>0</v>
      </c>
      <c r="Z51" t="s">
        <v>74</v>
      </c>
      <c r="AA51" t="s">
        <v>41</v>
      </c>
      <c r="AB51">
        <v>5</v>
      </c>
    </row>
    <row r="52" spans="1:28" x14ac:dyDescent="0.25">
      <c r="A52" t="s">
        <v>186</v>
      </c>
      <c r="B52">
        <v>24</v>
      </c>
      <c r="C52" t="s">
        <v>29</v>
      </c>
      <c r="D52" t="s">
        <v>30</v>
      </c>
      <c r="E52" t="s">
        <v>69</v>
      </c>
      <c r="F52" t="s">
        <v>45</v>
      </c>
      <c r="G52" t="s">
        <v>44</v>
      </c>
      <c r="H52" t="s">
        <v>187</v>
      </c>
      <c r="I52" t="s">
        <v>188</v>
      </c>
      <c r="J52">
        <v>423.92</v>
      </c>
      <c r="K52">
        <v>8</v>
      </c>
      <c r="L52" t="s">
        <v>35</v>
      </c>
      <c r="M52">
        <v>3</v>
      </c>
      <c r="N52">
        <v>1</v>
      </c>
      <c r="O52">
        <v>2</v>
      </c>
      <c r="P52" t="s">
        <v>59</v>
      </c>
      <c r="Q52" t="s">
        <v>37</v>
      </c>
      <c r="R52">
        <v>0</v>
      </c>
      <c r="S52">
        <v>9</v>
      </c>
      <c r="T52" t="s">
        <v>44</v>
      </c>
      <c r="U52" t="s">
        <v>38</v>
      </c>
      <c r="V52" t="s">
        <v>39</v>
      </c>
      <c r="W52" s="1">
        <v>45528</v>
      </c>
      <c r="X52" t="b">
        <v>0</v>
      </c>
      <c r="Y52" t="b">
        <v>1</v>
      </c>
      <c r="Z52" t="s">
        <v>40</v>
      </c>
      <c r="AA52" t="s">
        <v>53</v>
      </c>
      <c r="AB52">
        <v>8</v>
      </c>
    </row>
    <row r="53" spans="1:28" x14ac:dyDescent="0.25">
      <c r="A53" t="s">
        <v>189</v>
      </c>
      <c r="B53">
        <v>43</v>
      </c>
      <c r="C53" t="s">
        <v>190</v>
      </c>
      <c r="D53" t="s">
        <v>44</v>
      </c>
      <c r="E53" t="s">
        <v>69</v>
      </c>
      <c r="F53" t="s">
        <v>56</v>
      </c>
      <c r="G53" t="s">
        <v>30</v>
      </c>
      <c r="H53" t="s">
        <v>191</v>
      </c>
      <c r="I53" t="s">
        <v>135</v>
      </c>
      <c r="J53">
        <v>111.24</v>
      </c>
      <c r="K53">
        <v>9</v>
      </c>
      <c r="L53" t="s">
        <v>35</v>
      </c>
      <c r="M53">
        <v>5</v>
      </c>
      <c r="N53">
        <v>2</v>
      </c>
      <c r="O53">
        <v>0</v>
      </c>
      <c r="P53" t="s">
        <v>49</v>
      </c>
      <c r="Q53" t="s">
        <v>37</v>
      </c>
      <c r="R53">
        <v>0</v>
      </c>
      <c r="S53">
        <v>2</v>
      </c>
      <c r="T53" t="s">
        <v>44</v>
      </c>
      <c r="U53" t="s">
        <v>60</v>
      </c>
      <c r="V53" t="s">
        <v>39</v>
      </c>
      <c r="W53" s="1">
        <v>45510</v>
      </c>
      <c r="X53" t="b">
        <v>1</v>
      </c>
      <c r="Y53" t="b">
        <v>0</v>
      </c>
      <c r="Z53" t="s">
        <v>40</v>
      </c>
      <c r="AA53" t="s">
        <v>41</v>
      </c>
      <c r="AB53">
        <v>12</v>
      </c>
    </row>
    <row r="54" spans="1:28" x14ac:dyDescent="0.25">
      <c r="A54" t="s">
        <v>192</v>
      </c>
      <c r="B54">
        <v>37</v>
      </c>
      <c r="C54" t="s">
        <v>29</v>
      </c>
      <c r="D54" t="s">
        <v>30</v>
      </c>
      <c r="E54" t="s">
        <v>55</v>
      </c>
      <c r="F54" t="s">
        <v>32</v>
      </c>
      <c r="G54" t="s">
        <v>30</v>
      </c>
      <c r="H54" t="s">
        <v>193</v>
      </c>
      <c r="I54" t="s">
        <v>194</v>
      </c>
      <c r="J54">
        <v>299.31</v>
      </c>
      <c r="K54">
        <v>7</v>
      </c>
      <c r="L54" t="s">
        <v>35</v>
      </c>
      <c r="M54">
        <v>2</v>
      </c>
      <c r="N54">
        <v>4</v>
      </c>
      <c r="O54">
        <v>1</v>
      </c>
      <c r="P54" t="s">
        <v>49</v>
      </c>
      <c r="Q54" t="s">
        <v>85</v>
      </c>
      <c r="R54">
        <v>2</v>
      </c>
      <c r="S54">
        <v>3</v>
      </c>
      <c r="T54" t="s">
        <v>36</v>
      </c>
      <c r="U54" t="s">
        <v>79</v>
      </c>
      <c r="V54" t="s">
        <v>61</v>
      </c>
      <c r="W54" s="1">
        <v>45323</v>
      </c>
      <c r="X54" t="b">
        <v>1</v>
      </c>
      <c r="Y54" t="b">
        <v>0</v>
      </c>
      <c r="Z54" t="s">
        <v>40</v>
      </c>
      <c r="AA54" t="s">
        <v>67</v>
      </c>
      <c r="AB54">
        <v>3</v>
      </c>
    </row>
    <row r="55" spans="1:28" x14ac:dyDescent="0.25">
      <c r="A55" t="s">
        <v>195</v>
      </c>
      <c r="B55">
        <v>42</v>
      </c>
      <c r="C55" t="s">
        <v>43</v>
      </c>
      <c r="D55" t="s">
        <v>30</v>
      </c>
      <c r="E55" t="s">
        <v>69</v>
      </c>
      <c r="F55" t="s">
        <v>56</v>
      </c>
      <c r="G55" t="s">
        <v>30</v>
      </c>
      <c r="H55" t="s">
        <v>196</v>
      </c>
      <c r="I55" t="s">
        <v>101</v>
      </c>
      <c r="J55">
        <v>169.28</v>
      </c>
      <c r="K55">
        <v>7</v>
      </c>
      <c r="L55" t="s">
        <v>35</v>
      </c>
      <c r="M55">
        <v>4</v>
      </c>
      <c r="N55">
        <v>4</v>
      </c>
      <c r="O55">
        <v>1</v>
      </c>
      <c r="P55" t="s">
        <v>36</v>
      </c>
      <c r="Q55" t="s">
        <v>37</v>
      </c>
      <c r="R55">
        <v>2</v>
      </c>
      <c r="S55">
        <v>1</v>
      </c>
      <c r="T55" t="s">
        <v>59</v>
      </c>
      <c r="U55" t="s">
        <v>38</v>
      </c>
      <c r="V55" t="s">
        <v>86</v>
      </c>
      <c r="W55" s="1">
        <v>45460</v>
      </c>
      <c r="X55" t="b">
        <v>1</v>
      </c>
      <c r="Y55" t="b">
        <v>1</v>
      </c>
      <c r="Z55" t="s">
        <v>62</v>
      </c>
      <c r="AA55" t="s">
        <v>41</v>
      </c>
      <c r="AB55">
        <v>6</v>
      </c>
    </row>
    <row r="56" spans="1:28" x14ac:dyDescent="0.25">
      <c r="A56" t="s">
        <v>197</v>
      </c>
      <c r="B56">
        <v>29</v>
      </c>
      <c r="C56" t="s">
        <v>43</v>
      </c>
      <c r="D56" t="s">
        <v>30</v>
      </c>
      <c r="E56" t="s">
        <v>69</v>
      </c>
      <c r="F56" t="s">
        <v>45</v>
      </c>
      <c r="G56" t="s">
        <v>44</v>
      </c>
      <c r="H56" t="s">
        <v>198</v>
      </c>
      <c r="I56" t="s">
        <v>58</v>
      </c>
      <c r="J56">
        <v>449.13</v>
      </c>
      <c r="K56">
        <v>9</v>
      </c>
      <c r="L56" t="s">
        <v>48</v>
      </c>
      <c r="M56">
        <v>2</v>
      </c>
      <c r="N56">
        <v>1</v>
      </c>
      <c r="O56">
        <v>0.5</v>
      </c>
      <c r="P56" t="s">
        <v>49</v>
      </c>
      <c r="Q56" t="s">
        <v>50</v>
      </c>
      <c r="R56">
        <v>2</v>
      </c>
      <c r="S56">
        <v>2</v>
      </c>
      <c r="T56" t="s">
        <v>59</v>
      </c>
      <c r="U56" t="s">
        <v>38</v>
      </c>
      <c r="V56" t="s">
        <v>39</v>
      </c>
      <c r="W56" s="1">
        <v>45455</v>
      </c>
      <c r="X56" t="b">
        <v>0</v>
      </c>
      <c r="Y56" t="b">
        <v>0</v>
      </c>
      <c r="Z56" t="s">
        <v>74</v>
      </c>
      <c r="AA56" t="s">
        <v>41</v>
      </c>
      <c r="AB56">
        <v>14</v>
      </c>
    </row>
    <row r="57" spans="1:28" x14ac:dyDescent="0.25">
      <c r="A57" t="s">
        <v>199</v>
      </c>
      <c r="B57">
        <v>35</v>
      </c>
      <c r="C57" t="s">
        <v>29</v>
      </c>
      <c r="D57" t="s">
        <v>44</v>
      </c>
      <c r="E57" t="s">
        <v>31</v>
      </c>
      <c r="F57" t="s">
        <v>56</v>
      </c>
      <c r="G57" t="s">
        <v>44</v>
      </c>
      <c r="H57" t="s">
        <v>200</v>
      </c>
      <c r="I57" t="s">
        <v>101</v>
      </c>
      <c r="J57">
        <v>427.48</v>
      </c>
      <c r="K57">
        <v>6</v>
      </c>
      <c r="L57" t="s">
        <v>78</v>
      </c>
      <c r="M57">
        <v>4</v>
      </c>
      <c r="N57">
        <v>2</v>
      </c>
      <c r="O57">
        <v>0</v>
      </c>
      <c r="P57" t="s">
        <v>49</v>
      </c>
      <c r="Q57" t="s">
        <v>50</v>
      </c>
      <c r="R57">
        <v>1</v>
      </c>
      <c r="S57">
        <v>1</v>
      </c>
      <c r="T57" t="s">
        <v>59</v>
      </c>
      <c r="U57" t="s">
        <v>60</v>
      </c>
      <c r="V57" t="s">
        <v>61</v>
      </c>
      <c r="W57" s="1">
        <v>45642</v>
      </c>
      <c r="X57" t="b">
        <v>1</v>
      </c>
      <c r="Y57" t="b">
        <v>0</v>
      </c>
      <c r="Z57" t="s">
        <v>62</v>
      </c>
      <c r="AA57" t="s">
        <v>53</v>
      </c>
      <c r="AB57">
        <v>11</v>
      </c>
    </row>
    <row r="58" spans="1:28" x14ac:dyDescent="0.25">
      <c r="A58" t="s">
        <v>201</v>
      </c>
      <c r="B58">
        <v>27</v>
      </c>
      <c r="C58" t="s">
        <v>29</v>
      </c>
      <c r="D58" t="s">
        <v>30</v>
      </c>
      <c r="E58" t="s">
        <v>55</v>
      </c>
      <c r="F58" t="s">
        <v>45</v>
      </c>
      <c r="G58" t="s">
        <v>44</v>
      </c>
      <c r="H58" t="s">
        <v>202</v>
      </c>
      <c r="I58" t="s">
        <v>90</v>
      </c>
      <c r="J58">
        <v>171.61</v>
      </c>
      <c r="K58">
        <v>3</v>
      </c>
      <c r="L58" t="s">
        <v>78</v>
      </c>
      <c r="M58">
        <v>3</v>
      </c>
      <c r="N58">
        <v>1</v>
      </c>
      <c r="O58">
        <v>2</v>
      </c>
      <c r="P58" t="s">
        <v>59</v>
      </c>
      <c r="Q58" t="s">
        <v>85</v>
      </c>
      <c r="R58">
        <v>1</v>
      </c>
      <c r="S58">
        <v>6</v>
      </c>
      <c r="T58" t="s">
        <v>44</v>
      </c>
      <c r="U58" t="s">
        <v>79</v>
      </c>
      <c r="V58" t="s">
        <v>39</v>
      </c>
      <c r="W58" s="1">
        <v>45596</v>
      </c>
      <c r="X58" t="b">
        <v>1</v>
      </c>
      <c r="Y58" t="b">
        <v>0</v>
      </c>
      <c r="Z58" t="s">
        <v>74</v>
      </c>
      <c r="AA58" t="s">
        <v>67</v>
      </c>
      <c r="AB58">
        <v>8</v>
      </c>
    </row>
    <row r="59" spans="1:28" x14ac:dyDescent="0.25">
      <c r="A59" t="s">
        <v>203</v>
      </c>
      <c r="B59">
        <v>40</v>
      </c>
      <c r="C59" t="s">
        <v>29</v>
      </c>
      <c r="D59" t="s">
        <v>44</v>
      </c>
      <c r="E59" t="s">
        <v>31</v>
      </c>
      <c r="F59" t="s">
        <v>32</v>
      </c>
      <c r="G59" t="s">
        <v>44</v>
      </c>
      <c r="H59" t="s">
        <v>204</v>
      </c>
      <c r="I59" t="s">
        <v>82</v>
      </c>
      <c r="J59">
        <v>240.28</v>
      </c>
      <c r="K59">
        <v>3</v>
      </c>
      <c r="L59" t="s">
        <v>78</v>
      </c>
      <c r="M59">
        <v>3</v>
      </c>
      <c r="N59">
        <v>5</v>
      </c>
      <c r="O59">
        <v>2</v>
      </c>
      <c r="P59" t="s">
        <v>44</v>
      </c>
      <c r="Q59" t="s">
        <v>50</v>
      </c>
      <c r="R59">
        <v>2</v>
      </c>
      <c r="S59">
        <v>7</v>
      </c>
      <c r="T59" t="s">
        <v>49</v>
      </c>
      <c r="U59" t="s">
        <v>38</v>
      </c>
      <c r="V59" t="s">
        <v>86</v>
      </c>
      <c r="W59" s="1">
        <v>45633</v>
      </c>
      <c r="X59" t="b">
        <v>1</v>
      </c>
      <c r="Y59" t="b">
        <v>1</v>
      </c>
      <c r="Z59" t="s">
        <v>62</v>
      </c>
      <c r="AA59" t="s">
        <v>53</v>
      </c>
      <c r="AB59">
        <v>4</v>
      </c>
    </row>
    <row r="60" spans="1:28" x14ac:dyDescent="0.25">
      <c r="A60" t="s">
        <v>205</v>
      </c>
      <c r="B60">
        <v>34</v>
      </c>
      <c r="C60" t="s">
        <v>29</v>
      </c>
      <c r="D60" t="s">
        <v>44</v>
      </c>
      <c r="E60" t="s">
        <v>55</v>
      </c>
      <c r="F60" t="s">
        <v>45</v>
      </c>
      <c r="G60" t="s">
        <v>44</v>
      </c>
      <c r="H60" t="s">
        <v>206</v>
      </c>
      <c r="I60" t="s">
        <v>71</v>
      </c>
      <c r="J60">
        <v>310.17</v>
      </c>
      <c r="K60">
        <v>6</v>
      </c>
      <c r="L60" t="s">
        <v>48</v>
      </c>
      <c r="M60">
        <v>2</v>
      </c>
      <c r="N60">
        <v>3</v>
      </c>
      <c r="O60">
        <v>2</v>
      </c>
      <c r="P60" t="s">
        <v>49</v>
      </c>
      <c r="Q60" t="s">
        <v>85</v>
      </c>
      <c r="R60">
        <v>0</v>
      </c>
      <c r="S60">
        <v>10</v>
      </c>
      <c r="T60" t="s">
        <v>36</v>
      </c>
      <c r="U60" t="s">
        <v>60</v>
      </c>
      <c r="V60" t="s">
        <v>61</v>
      </c>
      <c r="W60" s="1">
        <v>45346</v>
      </c>
      <c r="X60" t="b">
        <v>0</v>
      </c>
      <c r="Y60" t="b">
        <v>0</v>
      </c>
      <c r="Z60" t="s">
        <v>52</v>
      </c>
      <c r="AA60" t="s">
        <v>41</v>
      </c>
      <c r="AB60">
        <v>13</v>
      </c>
    </row>
    <row r="61" spans="1:28" x14ac:dyDescent="0.25">
      <c r="A61" t="s">
        <v>207</v>
      </c>
      <c r="B61">
        <v>25</v>
      </c>
      <c r="C61" t="s">
        <v>29</v>
      </c>
      <c r="D61" t="s">
        <v>30</v>
      </c>
      <c r="E61" t="s">
        <v>31</v>
      </c>
      <c r="F61" t="s">
        <v>32</v>
      </c>
      <c r="G61" t="s">
        <v>30</v>
      </c>
      <c r="H61" t="s">
        <v>208</v>
      </c>
      <c r="I61" t="s">
        <v>107</v>
      </c>
      <c r="J61">
        <v>166</v>
      </c>
      <c r="K61">
        <v>10</v>
      </c>
      <c r="L61" t="s">
        <v>78</v>
      </c>
      <c r="M61">
        <v>5</v>
      </c>
      <c r="N61">
        <v>3</v>
      </c>
      <c r="O61">
        <v>0</v>
      </c>
      <c r="P61" t="s">
        <v>44</v>
      </c>
      <c r="Q61" t="s">
        <v>50</v>
      </c>
      <c r="R61">
        <v>2</v>
      </c>
      <c r="S61">
        <v>10</v>
      </c>
      <c r="T61" t="s">
        <v>49</v>
      </c>
      <c r="U61" t="s">
        <v>60</v>
      </c>
      <c r="V61" t="s">
        <v>51</v>
      </c>
      <c r="W61" s="1">
        <v>45454</v>
      </c>
      <c r="X61" t="b">
        <v>0</v>
      </c>
      <c r="Y61" t="b">
        <v>0</v>
      </c>
      <c r="Z61" t="s">
        <v>62</v>
      </c>
      <c r="AA61" t="s">
        <v>67</v>
      </c>
      <c r="AB61">
        <v>5</v>
      </c>
    </row>
    <row r="62" spans="1:28" x14ac:dyDescent="0.25">
      <c r="A62" t="s">
        <v>209</v>
      </c>
      <c r="B62">
        <v>38</v>
      </c>
      <c r="C62" t="s">
        <v>43</v>
      </c>
      <c r="D62" t="s">
        <v>44</v>
      </c>
      <c r="E62" t="s">
        <v>76</v>
      </c>
      <c r="F62" t="s">
        <v>32</v>
      </c>
      <c r="G62" t="s">
        <v>44</v>
      </c>
      <c r="H62" t="s">
        <v>210</v>
      </c>
      <c r="I62" t="s">
        <v>123</v>
      </c>
      <c r="J62">
        <v>362.01</v>
      </c>
      <c r="K62">
        <v>2</v>
      </c>
      <c r="L62" t="s">
        <v>48</v>
      </c>
      <c r="M62">
        <v>2</v>
      </c>
      <c r="N62">
        <v>4</v>
      </c>
      <c r="O62">
        <v>1</v>
      </c>
      <c r="P62" t="s">
        <v>36</v>
      </c>
      <c r="Q62" t="s">
        <v>37</v>
      </c>
      <c r="R62">
        <v>2</v>
      </c>
      <c r="S62">
        <v>1</v>
      </c>
      <c r="T62" t="s">
        <v>49</v>
      </c>
      <c r="U62" t="s">
        <v>38</v>
      </c>
      <c r="V62" t="s">
        <v>61</v>
      </c>
      <c r="W62" s="1">
        <v>45620</v>
      </c>
      <c r="X62" t="b">
        <v>0</v>
      </c>
      <c r="Y62" t="b">
        <v>0</v>
      </c>
      <c r="Z62" t="s">
        <v>62</v>
      </c>
      <c r="AA62" t="s">
        <v>67</v>
      </c>
      <c r="AB62">
        <v>1</v>
      </c>
    </row>
    <row r="63" spans="1:28" x14ac:dyDescent="0.25">
      <c r="A63" t="s">
        <v>211</v>
      </c>
      <c r="B63">
        <v>33</v>
      </c>
      <c r="C63" t="s">
        <v>212</v>
      </c>
      <c r="D63" t="s">
        <v>44</v>
      </c>
      <c r="E63" t="s">
        <v>31</v>
      </c>
      <c r="F63" t="s">
        <v>32</v>
      </c>
      <c r="G63" t="s">
        <v>30</v>
      </c>
      <c r="H63" t="s">
        <v>213</v>
      </c>
      <c r="I63" t="s">
        <v>194</v>
      </c>
      <c r="J63">
        <v>348.5</v>
      </c>
      <c r="K63">
        <v>3</v>
      </c>
      <c r="L63" t="s">
        <v>35</v>
      </c>
      <c r="M63">
        <v>2</v>
      </c>
      <c r="N63">
        <v>3</v>
      </c>
      <c r="O63">
        <v>2</v>
      </c>
      <c r="P63" t="s">
        <v>36</v>
      </c>
      <c r="Q63" t="s">
        <v>50</v>
      </c>
      <c r="R63">
        <v>0</v>
      </c>
      <c r="S63">
        <v>6</v>
      </c>
      <c r="T63" t="s">
        <v>49</v>
      </c>
      <c r="U63" t="s">
        <v>60</v>
      </c>
      <c r="V63" t="s">
        <v>61</v>
      </c>
      <c r="W63" s="1">
        <v>45482</v>
      </c>
      <c r="X63" t="b">
        <v>0</v>
      </c>
      <c r="Y63" t="b">
        <v>0</v>
      </c>
      <c r="Z63" t="s">
        <v>74</v>
      </c>
      <c r="AA63" t="s">
        <v>41</v>
      </c>
      <c r="AB63">
        <v>8</v>
      </c>
    </row>
    <row r="64" spans="1:28" x14ac:dyDescent="0.25">
      <c r="A64" t="s">
        <v>214</v>
      </c>
      <c r="B64">
        <v>32</v>
      </c>
      <c r="C64" t="s">
        <v>29</v>
      </c>
      <c r="D64" t="s">
        <v>30</v>
      </c>
      <c r="E64" t="s">
        <v>31</v>
      </c>
      <c r="F64" t="s">
        <v>32</v>
      </c>
      <c r="G64" t="s">
        <v>44</v>
      </c>
      <c r="H64" t="s">
        <v>215</v>
      </c>
      <c r="I64" t="s">
        <v>101</v>
      </c>
      <c r="J64">
        <v>395.97</v>
      </c>
      <c r="K64">
        <v>9</v>
      </c>
      <c r="L64" t="s">
        <v>48</v>
      </c>
      <c r="M64">
        <v>1</v>
      </c>
      <c r="N64">
        <v>4</v>
      </c>
      <c r="O64">
        <v>0</v>
      </c>
      <c r="P64" t="s">
        <v>49</v>
      </c>
      <c r="Q64" t="s">
        <v>85</v>
      </c>
      <c r="R64">
        <v>1</v>
      </c>
      <c r="S64">
        <v>6</v>
      </c>
      <c r="T64" t="s">
        <v>59</v>
      </c>
      <c r="U64" t="s">
        <v>38</v>
      </c>
      <c r="V64" t="s">
        <v>61</v>
      </c>
      <c r="W64" s="1">
        <v>45522</v>
      </c>
      <c r="X64" t="b">
        <v>1</v>
      </c>
      <c r="Y64" t="b">
        <v>1</v>
      </c>
      <c r="Z64" t="s">
        <v>52</v>
      </c>
      <c r="AA64" t="s">
        <v>53</v>
      </c>
      <c r="AB64">
        <v>1</v>
      </c>
    </row>
    <row r="65" spans="1:28" x14ac:dyDescent="0.25">
      <c r="A65" t="s">
        <v>216</v>
      </c>
      <c r="B65">
        <v>50</v>
      </c>
      <c r="C65" t="s">
        <v>29</v>
      </c>
      <c r="D65" t="s">
        <v>30</v>
      </c>
      <c r="E65" t="s">
        <v>69</v>
      </c>
      <c r="F65" t="s">
        <v>45</v>
      </c>
      <c r="G65" t="s">
        <v>30</v>
      </c>
      <c r="H65" t="s">
        <v>217</v>
      </c>
      <c r="I65" t="s">
        <v>90</v>
      </c>
      <c r="J65">
        <v>474.99</v>
      </c>
      <c r="K65">
        <v>9</v>
      </c>
      <c r="L65" t="s">
        <v>78</v>
      </c>
      <c r="M65">
        <v>2</v>
      </c>
      <c r="N65">
        <v>4</v>
      </c>
      <c r="O65">
        <v>1</v>
      </c>
      <c r="P65" t="s">
        <v>36</v>
      </c>
      <c r="Q65" t="s">
        <v>37</v>
      </c>
      <c r="R65">
        <v>0</v>
      </c>
      <c r="S65">
        <v>8</v>
      </c>
      <c r="T65" t="s">
        <v>44</v>
      </c>
      <c r="U65" t="s">
        <v>79</v>
      </c>
      <c r="V65" t="s">
        <v>39</v>
      </c>
      <c r="W65" s="1">
        <v>45483</v>
      </c>
      <c r="X65" t="b">
        <v>1</v>
      </c>
      <c r="Y65" t="b">
        <v>0</v>
      </c>
      <c r="Z65" t="s">
        <v>74</v>
      </c>
      <c r="AA65" t="s">
        <v>53</v>
      </c>
      <c r="AB65">
        <v>5</v>
      </c>
    </row>
    <row r="66" spans="1:28" x14ac:dyDescent="0.25">
      <c r="A66" t="s">
        <v>218</v>
      </c>
      <c r="B66">
        <v>35</v>
      </c>
      <c r="C66" t="s">
        <v>29</v>
      </c>
      <c r="D66" t="s">
        <v>30</v>
      </c>
      <c r="E66" t="s">
        <v>69</v>
      </c>
      <c r="F66" t="s">
        <v>45</v>
      </c>
      <c r="G66" t="s">
        <v>30</v>
      </c>
      <c r="H66" t="s">
        <v>219</v>
      </c>
      <c r="I66" t="s">
        <v>98</v>
      </c>
      <c r="J66">
        <v>286.43</v>
      </c>
      <c r="K66">
        <v>4</v>
      </c>
      <c r="L66" t="s">
        <v>35</v>
      </c>
      <c r="M66">
        <v>1</v>
      </c>
      <c r="N66">
        <v>3</v>
      </c>
      <c r="O66">
        <v>0</v>
      </c>
      <c r="P66" t="s">
        <v>44</v>
      </c>
      <c r="Q66" t="s">
        <v>85</v>
      </c>
      <c r="R66">
        <v>2</v>
      </c>
      <c r="S66">
        <v>3</v>
      </c>
      <c r="T66" t="s">
        <v>36</v>
      </c>
      <c r="U66" t="s">
        <v>79</v>
      </c>
      <c r="V66" t="s">
        <v>86</v>
      </c>
      <c r="W66" s="1">
        <v>45485</v>
      </c>
      <c r="X66" t="b">
        <v>1</v>
      </c>
      <c r="Y66" t="b">
        <v>0</v>
      </c>
      <c r="Z66" t="s">
        <v>52</v>
      </c>
      <c r="AA66" t="s">
        <v>67</v>
      </c>
      <c r="AB66">
        <v>14</v>
      </c>
    </row>
    <row r="67" spans="1:28" x14ac:dyDescent="0.25">
      <c r="A67" t="s">
        <v>220</v>
      </c>
      <c r="B67">
        <v>19</v>
      </c>
      <c r="C67" t="s">
        <v>148</v>
      </c>
      <c r="D67" t="s">
        <v>44</v>
      </c>
      <c r="E67" t="s">
        <v>69</v>
      </c>
      <c r="F67" t="s">
        <v>45</v>
      </c>
      <c r="G67" t="s">
        <v>44</v>
      </c>
      <c r="H67" t="s">
        <v>221</v>
      </c>
      <c r="I67" t="s">
        <v>104</v>
      </c>
      <c r="J67">
        <v>333.32</v>
      </c>
      <c r="K67">
        <v>8</v>
      </c>
      <c r="L67" t="s">
        <v>78</v>
      </c>
      <c r="M67">
        <v>1</v>
      </c>
      <c r="N67">
        <v>5</v>
      </c>
      <c r="O67">
        <v>0</v>
      </c>
      <c r="P67" t="s">
        <v>59</v>
      </c>
      <c r="Q67" t="s">
        <v>85</v>
      </c>
      <c r="R67">
        <v>0</v>
      </c>
      <c r="S67">
        <v>3</v>
      </c>
      <c r="T67" t="s">
        <v>44</v>
      </c>
      <c r="U67" t="s">
        <v>60</v>
      </c>
      <c r="V67" t="s">
        <v>39</v>
      </c>
      <c r="W67" s="1">
        <v>45570</v>
      </c>
      <c r="X67" t="b">
        <v>1</v>
      </c>
      <c r="Y67" t="b">
        <v>0</v>
      </c>
      <c r="Z67" t="s">
        <v>74</v>
      </c>
      <c r="AA67" t="s">
        <v>41</v>
      </c>
      <c r="AB67">
        <v>3</v>
      </c>
    </row>
    <row r="68" spans="1:28" x14ac:dyDescent="0.25">
      <c r="A68" t="s">
        <v>222</v>
      </c>
      <c r="B68">
        <v>46</v>
      </c>
      <c r="C68" t="s">
        <v>88</v>
      </c>
      <c r="D68" t="s">
        <v>44</v>
      </c>
      <c r="E68" t="s">
        <v>55</v>
      </c>
      <c r="F68" t="s">
        <v>56</v>
      </c>
      <c r="G68" t="s">
        <v>44</v>
      </c>
      <c r="H68" t="s">
        <v>223</v>
      </c>
      <c r="I68" t="s">
        <v>117</v>
      </c>
      <c r="J68">
        <v>223.47</v>
      </c>
      <c r="K68">
        <v>9</v>
      </c>
      <c r="L68" t="s">
        <v>35</v>
      </c>
      <c r="M68">
        <v>2</v>
      </c>
      <c r="N68">
        <v>1</v>
      </c>
      <c r="O68">
        <v>1</v>
      </c>
      <c r="P68" t="s">
        <v>44</v>
      </c>
      <c r="Q68" t="s">
        <v>37</v>
      </c>
      <c r="R68">
        <v>0</v>
      </c>
      <c r="S68">
        <v>2</v>
      </c>
      <c r="T68" t="s">
        <v>36</v>
      </c>
      <c r="U68" t="s">
        <v>38</v>
      </c>
      <c r="V68" t="s">
        <v>61</v>
      </c>
      <c r="W68" s="1">
        <v>45555</v>
      </c>
      <c r="X68" t="b">
        <v>1</v>
      </c>
      <c r="Y68" t="b">
        <v>1</v>
      </c>
      <c r="Z68" t="s">
        <v>40</v>
      </c>
      <c r="AA68" t="s">
        <v>53</v>
      </c>
      <c r="AB68">
        <v>8</v>
      </c>
    </row>
    <row r="69" spans="1:28" x14ac:dyDescent="0.25">
      <c r="A69" t="s">
        <v>224</v>
      </c>
      <c r="B69">
        <v>23</v>
      </c>
      <c r="C69" t="s">
        <v>43</v>
      </c>
      <c r="D69" t="s">
        <v>30</v>
      </c>
      <c r="E69" t="s">
        <v>76</v>
      </c>
      <c r="F69" t="s">
        <v>56</v>
      </c>
      <c r="G69" t="s">
        <v>30</v>
      </c>
      <c r="H69" t="s">
        <v>225</v>
      </c>
      <c r="I69" t="s">
        <v>90</v>
      </c>
      <c r="J69">
        <v>414.83</v>
      </c>
      <c r="K69">
        <v>2</v>
      </c>
      <c r="L69" t="s">
        <v>35</v>
      </c>
      <c r="M69">
        <v>2</v>
      </c>
      <c r="N69">
        <v>4</v>
      </c>
      <c r="O69">
        <v>0.5</v>
      </c>
      <c r="P69" t="s">
        <v>44</v>
      </c>
      <c r="Q69" t="s">
        <v>37</v>
      </c>
      <c r="R69">
        <v>2</v>
      </c>
      <c r="S69">
        <v>4</v>
      </c>
      <c r="T69" t="s">
        <v>44</v>
      </c>
      <c r="U69" t="s">
        <v>79</v>
      </c>
      <c r="V69" t="s">
        <v>39</v>
      </c>
      <c r="W69" s="1">
        <v>45489</v>
      </c>
      <c r="X69" t="b">
        <v>0</v>
      </c>
      <c r="Y69" t="b">
        <v>0</v>
      </c>
      <c r="Z69" t="s">
        <v>74</v>
      </c>
      <c r="AA69" t="s">
        <v>67</v>
      </c>
      <c r="AB69">
        <v>8</v>
      </c>
    </row>
    <row r="70" spans="1:28" x14ac:dyDescent="0.25">
      <c r="A70" t="s">
        <v>226</v>
      </c>
      <c r="B70">
        <v>34</v>
      </c>
      <c r="C70" t="s">
        <v>29</v>
      </c>
      <c r="D70" t="s">
        <v>44</v>
      </c>
      <c r="E70" t="s">
        <v>69</v>
      </c>
      <c r="F70" t="s">
        <v>56</v>
      </c>
      <c r="G70" t="s">
        <v>44</v>
      </c>
      <c r="H70" t="s">
        <v>227</v>
      </c>
      <c r="I70" t="s">
        <v>82</v>
      </c>
      <c r="J70">
        <v>391.38</v>
      </c>
      <c r="K70">
        <v>5</v>
      </c>
      <c r="L70" t="s">
        <v>48</v>
      </c>
      <c r="M70">
        <v>5</v>
      </c>
      <c r="N70">
        <v>2</v>
      </c>
      <c r="O70">
        <v>2</v>
      </c>
      <c r="P70" t="s">
        <v>59</v>
      </c>
      <c r="Q70" t="s">
        <v>50</v>
      </c>
      <c r="R70">
        <v>0</v>
      </c>
      <c r="S70">
        <v>7</v>
      </c>
      <c r="T70" t="s">
        <v>59</v>
      </c>
      <c r="U70" t="s">
        <v>38</v>
      </c>
      <c r="V70" t="s">
        <v>66</v>
      </c>
      <c r="W70" s="1">
        <v>45384</v>
      </c>
      <c r="X70" t="b">
        <v>0</v>
      </c>
      <c r="Y70" t="b">
        <v>0</v>
      </c>
      <c r="Z70" t="s">
        <v>40</v>
      </c>
      <c r="AA70" t="s">
        <v>41</v>
      </c>
      <c r="AB70">
        <v>8</v>
      </c>
    </row>
    <row r="71" spans="1:28" x14ac:dyDescent="0.25">
      <c r="A71" t="s">
        <v>228</v>
      </c>
      <c r="B71">
        <v>48</v>
      </c>
      <c r="C71" t="s">
        <v>43</v>
      </c>
      <c r="D71" t="s">
        <v>30</v>
      </c>
      <c r="E71" t="s">
        <v>76</v>
      </c>
      <c r="F71" t="s">
        <v>32</v>
      </c>
      <c r="G71" t="s">
        <v>44</v>
      </c>
      <c r="H71" t="s">
        <v>229</v>
      </c>
      <c r="I71" t="s">
        <v>71</v>
      </c>
      <c r="J71">
        <v>368.4</v>
      </c>
      <c r="K71">
        <v>11</v>
      </c>
      <c r="L71" t="s">
        <v>78</v>
      </c>
      <c r="M71">
        <v>2</v>
      </c>
      <c r="N71">
        <v>5</v>
      </c>
      <c r="O71">
        <v>1</v>
      </c>
      <c r="P71" t="s">
        <v>44</v>
      </c>
      <c r="Q71" t="s">
        <v>50</v>
      </c>
      <c r="R71">
        <v>0</v>
      </c>
      <c r="S71">
        <v>3</v>
      </c>
      <c r="T71" t="s">
        <v>44</v>
      </c>
      <c r="U71" t="s">
        <v>79</v>
      </c>
      <c r="V71" t="s">
        <v>39</v>
      </c>
      <c r="W71" s="1">
        <v>45464</v>
      </c>
      <c r="X71" t="b">
        <v>0</v>
      </c>
      <c r="Y71" t="b">
        <v>0</v>
      </c>
      <c r="Z71" t="s">
        <v>40</v>
      </c>
      <c r="AA71" t="s">
        <v>41</v>
      </c>
      <c r="AB71">
        <v>13</v>
      </c>
    </row>
    <row r="72" spans="1:28" x14ac:dyDescent="0.25">
      <c r="A72" t="s">
        <v>230</v>
      </c>
      <c r="B72">
        <v>27</v>
      </c>
      <c r="C72" t="s">
        <v>88</v>
      </c>
      <c r="D72" t="s">
        <v>30</v>
      </c>
      <c r="E72" t="s">
        <v>69</v>
      </c>
      <c r="F72" t="s">
        <v>45</v>
      </c>
      <c r="G72" t="s">
        <v>30</v>
      </c>
      <c r="H72" t="s">
        <v>231</v>
      </c>
      <c r="I72" t="s">
        <v>71</v>
      </c>
      <c r="J72">
        <v>328.36</v>
      </c>
      <c r="K72">
        <v>11</v>
      </c>
      <c r="L72" t="s">
        <v>48</v>
      </c>
      <c r="M72">
        <v>1</v>
      </c>
      <c r="N72">
        <v>4</v>
      </c>
      <c r="O72">
        <v>2</v>
      </c>
      <c r="P72" t="s">
        <v>44</v>
      </c>
      <c r="Q72" t="s">
        <v>85</v>
      </c>
      <c r="R72">
        <v>0</v>
      </c>
      <c r="S72">
        <v>4</v>
      </c>
      <c r="T72" t="s">
        <v>36</v>
      </c>
      <c r="U72" t="s">
        <v>38</v>
      </c>
      <c r="V72" t="s">
        <v>86</v>
      </c>
      <c r="W72" s="1">
        <v>45362</v>
      </c>
      <c r="X72" t="b">
        <v>0</v>
      </c>
      <c r="Y72" t="b">
        <v>1</v>
      </c>
      <c r="Z72" t="s">
        <v>52</v>
      </c>
      <c r="AA72" t="s">
        <v>67</v>
      </c>
      <c r="AB72">
        <v>4</v>
      </c>
    </row>
    <row r="73" spans="1:28" x14ac:dyDescent="0.25">
      <c r="A73" t="s">
        <v>232</v>
      </c>
      <c r="B73">
        <v>37</v>
      </c>
      <c r="C73" t="s">
        <v>29</v>
      </c>
      <c r="D73" t="s">
        <v>30</v>
      </c>
      <c r="E73" t="s">
        <v>76</v>
      </c>
      <c r="F73" t="s">
        <v>32</v>
      </c>
      <c r="G73" t="s">
        <v>30</v>
      </c>
      <c r="H73" t="s">
        <v>233</v>
      </c>
      <c r="I73" t="s">
        <v>65</v>
      </c>
      <c r="J73">
        <v>424.39</v>
      </c>
      <c r="K73">
        <v>9</v>
      </c>
      <c r="L73" t="s">
        <v>35</v>
      </c>
      <c r="M73">
        <v>3</v>
      </c>
      <c r="N73">
        <v>1</v>
      </c>
      <c r="O73">
        <v>1</v>
      </c>
      <c r="P73" t="s">
        <v>44</v>
      </c>
      <c r="Q73" t="s">
        <v>37</v>
      </c>
      <c r="R73">
        <v>0</v>
      </c>
      <c r="S73">
        <v>7</v>
      </c>
      <c r="T73" t="s">
        <v>59</v>
      </c>
      <c r="U73" t="s">
        <v>60</v>
      </c>
      <c r="V73" t="s">
        <v>39</v>
      </c>
      <c r="W73" s="1">
        <v>45348</v>
      </c>
      <c r="X73" t="b">
        <v>1</v>
      </c>
      <c r="Y73" t="b">
        <v>0</v>
      </c>
      <c r="Z73" t="s">
        <v>52</v>
      </c>
      <c r="AA73" t="s">
        <v>41</v>
      </c>
      <c r="AB73">
        <v>13</v>
      </c>
    </row>
    <row r="74" spans="1:28" x14ac:dyDescent="0.25">
      <c r="A74" t="s">
        <v>234</v>
      </c>
      <c r="B74">
        <v>47</v>
      </c>
      <c r="C74" t="s">
        <v>43</v>
      </c>
      <c r="D74" t="s">
        <v>44</v>
      </c>
      <c r="E74" t="s">
        <v>31</v>
      </c>
      <c r="F74" t="s">
        <v>45</v>
      </c>
      <c r="G74" t="s">
        <v>44</v>
      </c>
      <c r="H74" t="s">
        <v>235</v>
      </c>
      <c r="I74" t="s">
        <v>142</v>
      </c>
      <c r="J74">
        <v>197.12</v>
      </c>
      <c r="K74">
        <v>10</v>
      </c>
      <c r="L74" t="s">
        <v>48</v>
      </c>
      <c r="M74">
        <v>4</v>
      </c>
      <c r="N74">
        <v>4</v>
      </c>
      <c r="O74">
        <v>0</v>
      </c>
      <c r="P74" t="s">
        <v>59</v>
      </c>
      <c r="Q74" t="s">
        <v>37</v>
      </c>
      <c r="R74">
        <v>1</v>
      </c>
      <c r="S74">
        <v>1</v>
      </c>
      <c r="T74" t="s">
        <v>49</v>
      </c>
      <c r="U74" t="s">
        <v>38</v>
      </c>
      <c r="V74" t="s">
        <v>66</v>
      </c>
      <c r="W74" s="1">
        <v>45457</v>
      </c>
      <c r="X74" t="b">
        <v>1</v>
      </c>
      <c r="Y74" t="b">
        <v>1</v>
      </c>
      <c r="Z74" t="s">
        <v>52</v>
      </c>
      <c r="AA74" t="s">
        <v>53</v>
      </c>
      <c r="AB74">
        <v>10</v>
      </c>
    </row>
    <row r="75" spans="1:28" x14ac:dyDescent="0.25">
      <c r="A75" t="s">
        <v>236</v>
      </c>
      <c r="B75">
        <v>45</v>
      </c>
      <c r="C75" t="s">
        <v>43</v>
      </c>
      <c r="D75" t="s">
        <v>44</v>
      </c>
      <c r="E75" t="s">
        <v>55</v>
      </c>
      <c r="F75" t="s">
        <v>32</v>
      </c>
      <c r="G75" t="s">
        <v>44</v>
      </c>
      <c r="H75" t="s">
        <v>237</v>
      </c>
      <c r="I75" t="s">
        <v>82</v>
      </c>
      <c r="J75">
        <v>454.57</v>
      </c>
      <c r="K75">
        <v>9</v>
      </c>
      <c r="L75" t="s">
        <v>35</v>
      </c>
      <c r="M75">
        <v>2</v>
      </c>
      <c r="N75">
        <v>5</v>
      </c>
      <c r="O75">
        <v>1</v>
      </c>
      <c r="P75" t="s">
        <v>59</v>
      </c>
      <c r="Q75" t="s">
        <v>37</v>
      </c>
      <c r="R75">
        <v>0</v>
      </c>
      <c r="S75">
        <v>1</v>
      </c>
      <c r="T75" t="s">
        <v>49</v>
      </c>
      <c r="U75" t="s">
        <v>60</v>
      </c>
      <c r="V75" t="s">
        <v>61</v>
      </c>
      <c r="W75" s="1">
        <v>45375</v>
      </c>
      <c r="X75" t="b">
        <v>1</v>
      </c>
      <c r="Y75" t="b">
        <v>1</v>
      </c>
      <c r="Z75" t="s">
        <v>52</v>
      </c>
      <c r="AA75" t="s">
        <v>67</v>
      </c>
      <c r="AB75">
        <v>1</v>
      </c>
    </row>
    <row r="76" spans="1:28" x14ac:dyDescent="0.25">
      <c r="A76" t="s">
        <v>238</v>
      </c>
      <c r="B76">
        <v>37</v>
      </c>
      <c r="C76" t="s">
        <v>43</v>
      </c>
      <c r="D76" t="s">
        <v>30</v>
      </c>
      <c r="E76" t="s">
        <v>76</v>
      </c>
      <c r="F76" t="s">
        <v>45</v>
      </c>
      <c r="G76" t="s">
        <v>44</v>
      </c>
      <c r="H76" t="s">
        <v>239</v>
      </c>
      <c r="I76" t="s">
        <v>117</v>
      </c>
      <c r="J76">
        <v>298.38</v>
      </c>
      <c r="K76">
        <v>4</v>
      </c>
      <c r="L76" t="s">
        <v>35</v>
      </c>
      <c r="M76">
        <v>3</v>
      </c>
      <c r="N76">
        <v>4</v>
      </c>
      <c r="O76">
        <v>2</v>
      </c>
      <c r="P76" t="s">
        <v>44</v>
      </c>
      <c r="Q76" t="s">
        <v>85</v>
      </c>
      <c r="R76">
        <v>0</v>
      </c>
      <c r="S76">
        <v>2</v>
      </c>
      <c r="T76" t="s">
        <v>59</v>
      </c>
      <c r="U76" t="s">
        <v>38</v>
      </c>
      <c r="V76" t="s">
        <v>86</v>
      </c>
      <c r="W76" s="1">
        <v>45409</v>
      </c>
      <c r="X76" t="b">
        <v>0</v>
      </c>
      <c r="Y76" t="b">
        <v>1</v>
      </c>
      <c r="Z76" t="s">
        <v>40</v>
      </c>
      <c r="AA76" t="s">
        <v>53</v>
      </c>
      <c r="AB76">
        <v>3</v>
      </c>
    </row>
    <row r="77" spans="1:28" x14ac:dyDescent="0.25">
      <c r="A77" t="s">
        <v>240</v>
      </c>
      <c r="B77">
        <v>36</v>
      </c>
      <c r="C77" t="s">
        <v>43</v>
      </c>
      <c r="D77" t="s">
        <v>44</v>
      </c>
      <c r="E77" t="s">
        <v>76</v>
      </c>
      <c r="F77" t="s">
        <v>45</v>
      </c>
      <c r="G77" t="s">
        <v>44</v>
      </c>
      <c r="H77" t="s">
        <v>241</v>
      </c>
      <c r="I77" t="s">
        <v>183</v>
      </c>
      <c r="J77">
        <v>111.7</v>
      </c>
      <c r="K77">
        <v>6</v>
      </c>
      <c r="L77" t="s">
        <v>78</v>
      </c>
      <c r="M77">
        <v>4</v>
      </c>
      <c r="N77">
        <v>5</v>
      </c>
      <c r="O77">
        <v>0</v>
      </c>
      <c r="P77" t="s">
        <v>49</v>
      </c>
      <c r="Q77" t="s">
        <v>37</v>
      </c>
      <c r="R77">
        <v>2</v>
      </c>
      <c r="S77">
        <v>5</v>
      </c>
      <c r="T77" t="s">
        <v>44</v>
      </c>
      <c r="U77" t="s">
        <v>38</v>
      </c>
      <c r="V77" t="s">
        <v>39</v>
      </c>
      <c r="W77" s="1">
        <v>45603</v>
      </c>
      <c r="X77" t="b">
        <v>0</v>
      </c>
      <c r="Y77" t="b">
        <v>0</v>
      </c>
      <c r="Z77" t="s">
        <v>74</v>
      </c>
      <c r="AA77" t="s">
        <v>53</v>
      </c>
      <c r="AB77">
        <v>7</v>
      </c>
    </row>
    <row r="78" spans="1:28" x14ac:dyDescent="0.25">
      <c r="A78" t="s">
        <v>242</v>
      </c>
      <c r="B78">
        <v>34</v>
      </c>
      <c r="C78" t="s">
        <v>43</v>
      </c>
      <c r="D78" t="s">
        <v>30</v>
      </c>
      <c r="E78" t="s">
        <v>31</v>
      </c>
      <c r="F78" t="s">
        <v>32</v>
      </c>
      <c r="G78" t="s">
        <v>30</v>
      </c>
      <c r="H78" t="s">
        <v>243</v>
      </c>
      <c r="I78" t="s">
        <v>183</v>
      </c>
      <c r="J78">
        <v>373.69</v>
      </c>
      <c r="K78">
        <v>10</v>
      </c>
      <c r="L78" t="s">
        <v>78</v>
      </c>
      <c r="M78">
        <v>3</v>
      </c>
      <c r="N78">
        <v>2</v>
      </c>
      <c r="O78">
        <v>2</v>
      </c>
      <c r="P78" t="s">
        <v>49</v>
      </c>
      <c r="Q78" t="s">
        <v>50</v>
      </c>
      <c r="R78">
        <v>1</v>
      </c>
      <c r="S78">
        <v>8</v>
      </c>
      <c r="T78" t="s">
        <v>36</v>
      </c>
      <c r="U78" t="s">
        <v>38</v>
      </c>
      <c r="V78" t="s">
        <v>39</v>
      </c>
      <c r="W78" s="1">
        <v>45630</v>
      </c>
      <c r="X78" t="b">
        <v>0</v>
      </c>
      <c r="Y78" t="b">
        <v>1</v>
      </c>
      <c r="Z78" t="s">
        <v>62</v>
      </c>
      <c r="AA78" t="s">
        <v>67</v>
      </c>
      <c r="AB78">
        <v>14</v>
      </c>
    </row>
    <row r="79" spans="1:28" x14ac:dyDescent="0.25">
      <c r="A79" t="s">
        <v>244</v>
      </c>
      <c r="B79">
        <v>37</v>
      </c>
      <c r="C79" t="s">
        <v>43</v>
      </c>
      <c r="D79" t="s">
        <v>44</v>
      </c>
      <c r="E79" t="s">
        <v>69</v>
      </c>
      <c r="F79" t="s">
        <v>56</v>
      </c>
      <c r="G79" t="s">
        <v>30</v>
      </c>
      <c r="H79" t="s">
        <v>245</v>
      </c>
      <c r="I79" t="s">
        <v>246</v>
      </c>
      <c r="J79">
        <v>354.87</v>
      </c>
      <c r="K79">
        <v>5</v>
      </c>
      <c r="L79" t="s">
        <v>48</v>
      </c>
      <c r="M79">
        <v>1</v>
      </c>
      <c r="N79">
        <v>1</v>
      </c>
      <c r="O79">
        <v>0</v>
      </c>
      <c r="P79" t="s">
        <v>36</v>
      </c>
      <c r="Q79" t="s">
        <v>50</v>
      </c>
      <c r="R79">
        <v>2</v>
      </c>
      <c r="S79">
        <v>4</v>
      </c>
      <c r="T79" t="s">
        <v>36</v>
      </c>
      <c r="U79" t="s">
        <v>79</v>
      </c>
      <c r="V79" t="s">
        <v>86</v>
      </c>
      <c r="W79" s="1">
        <v>45400</v>
      </c>
      <c r="X79" t="b">
        <v>0</v>
      </c>
      <c r="Y79" t="b">
        <v>1</v>
      </c>
      <c r="Z79" t="s">
        <v>74</v>
      </c>
      <c r="AA79" t="s">
        <v>67</v>
      </c>
      <c r="AB79">
        <v>12</v>
      </c>
    </row>
    <row r="80" spans="1:28" x14ac:dyDescent="0.25">
      <c r="A80" t="s">
        <v>247</v>
      </c>
      <c r="B80">
        <v>18</v>
      </c>
      <c r="C80" t="s">
        <v>29</v>
      </c>
      <c r="D80" t="s">
        <v>30</v>
      </c>
      <c r="E80" t="s">
        <v>69</v>
      </c>
      <c r="F80" t="s">
        <v>32</v>
      </c>
      <c r="G80" t="s">
        <v>44</v>
      </c>
      <c r="H80" t="s">
        <v>248</v>
      </c>
      <c r="I80" t="s">
        <v>93</v>
      </c>
      <c r="J80">
        <v>214.48</v>
      </c>
      <c r="K80">
        <v>2</v>
      </c>
      <c r="L80" t="s">
        <v>78</v>
      </c>
      <c r="M80">
        <v>4</v>
      </c>
      <c r="N80">
        <v>2</v>
      </c>
      <c r="O80">
        <v>2</v>
      </c>
      <c r="P80" t="s">
        <v>36</v>
      </c>
      <c r="Q80" t="s">
        <v>85</v>
      </c>
      <c r="R80">
        <v>1</v>
      </c>
      <c r="S80">
        <v>3</v>
      </c>
      <c r="T80" t="s">
        <v>36</v>
      </c>
      <c r="U80" t="s">
        <v>38</v>
      </c>
      <c r="V80" t="s">
        <v>86</v>
      </c>
      <c r="W80" s="1">
        <v>45403</v>
      </c>
      <c r="X80" t="b">
        <v>1</v>
      </c>
      <c r="Y80" t="b">
        <v>1</v>
      </c>
      <c r="Z80" t="s">
        <v>52</v>
      </c>
      <c r="AA80" t="s">
        <v>67</v>
      </c>
      <c r="AB80">
        <v>2</v>
      </c>
    </row>
    <row r="81" spans="1:28" x14ac:dyDescent="0.25">
      <c r="A81" t="s">
        <v>249</v>
      </c>
      <c r="B81">
        <v>20</v>
      </c>
      <c r="C81" t="s">
        <v>43</v>
      </c>
      <c r="D81" t="s">
        <v>44</v>
      </c>
      <c r="E81" t="s">
        <v>76</v>
      </c>
      <c r="F81" t="s">
        <v>32</v>
      </c>
      <c r="G81" t="s">
        <v>30</v>
      </c>
      <c r="H81" t="s">
        <v>250</v>
      </c>
      <c r="I81" t="s">
        <v>120</v>
      </c>
      <c r="J81">
        <v>399.58</v>
      </c>
      <c r="K81">
        <v>6</v>
      </c>
      <c r="L81" t="s">
        <v>48</v>
      </c>
      <c r="M81">
        <v>3</v>
      </c>
      <c r="N81">
        <v>4</v>
      </c>
      <c r="O81">
        <v>0</v>
      </c>
      <c r="P81" t="s">
        <v>36</v>
      </c>
      <c r="Q81" t="s">
        <v>85</v>
      </c>
      <c r="R81">
        <v>1</v>
      </c>
      <c r="S81">
        <v>8</v>
      </c>
      <c r="T81" t="s">
        <v>59</v>
      </c>
      <c r="U81" t="s">
        <v>38</v>
      </c>
      <c r="V81" t="s">
        <v>66</v>
      </c>
      <c r="W81" s="1">
        <v>45560</v>
      </c>
      <c r="X81" t="b">
        <v>1</v>
      </c>
      <c r="Y81" t="b">
        <v>0</v>
      </c>
      <c r="Z81" t="s">
        <v>40</v>
      </c>
      <c r="AA81" t="s">
        <v>53</v>
      </c>
      <c r="AB81">
        <v>7</v>
      </c>
    </row>
    <row r="82" spans="1:28" x14ac:dyDescent="0.25">
      <c r="A82" t="s">
        <v>251</v>
      </c>
      <c r="B82">
        <v>27</v>
      </c>
      <c r="C82" t="s">
        <v>29</v>
      </c>
      <c r="D82" t="s">
        <v>44</v>
      </c>
      <c r="E82" t="s">
        <v>69</v>
      </c>
      <c r="F82" t="s">
        <v>45</v>
      </c>
      <c r="G82" t="s">
        <v>30</v>
      </c>
      <c r="H82" t="s">
        <v>252</v>
      </c>
      <c r="I82" t="s">
        <v>98</v>
      </c>
      <c r="J82">
        <v>380.99</v>
      </c>
      <c r="K82">
        <v>7</v>
      </c>
      <c r="L82" t="s">
        <v>35</v>
      </c>
      <c r="M82">
        <v>1</v>
      </c>
      <c r="N82">
        <v>2</v>
      </c>
      <c r="O82">
        <v>1</v>
      </c>
      <c r="P82" t="s">
        <v>59</v>
      </c>
      <c r="Q82" t="s">
        <v>37</v>
      </c>
      <c r="R82">
        <v>0</v>
      </c>
      <c r="S82">
        <v>1</v>
      </c>
      <c r="T82" t="s">
        <v>49</v>
      </c>
      <c r="U82" t="s">
        <v>79</v>
      </c>
      <c r="V82" t="s">
        <v>86</v>
      </c>
      <c r="W82" s="1">
        <v>45635</v>
      </c>
      <c r="X82" t="b">
        <v>1</v>
      </c>
      <c r="Y82" t="b">
        <v>1</v>
      </c>
      <c r="Z82" t="s">
        <v>40</v>
      </c>
      <c r="AA82" t="s">
        <v>41</v>
      </c>
      <c r="AB82">
        <v>8</v>
      </c>
    </row>
    <row r="83" spans="1:28" x14ac:dyDescent="0.25">
      <c r="A83" t="s">
        <v>253</v>
      </c>
      <c r="B83">
        <v>36</v>
      </c>
      <c r="C83" t="s">
        <v>43</v>
      </c>
      <c r="D83" t="s">
        <v>30</v>
      </c>
      <c r="E83" t="s">
        <v>31</v>
      </c>
      <c r="F83" t="s">
        <v>45</v>
      </c>
      <c r="G83" t="s">
        <v>44</v>
      </c>
      <c r="H83" t="s">
        <v>254</v>
      </c>
      <c r="I83" t="s">
        <v>47</v>
      </c>
      <c r="J83">
        <v>79</v>
      </c>
      <c r="K83">
        <v>10</v>
      </c>
      <c r="L83" t="s">
        <v>78</v>
      </c>
      <c r="M83">
        <v>1</v>
      </c>
      <c r="N83">
        <v>2</v>
      </c>
      <c r="O83">
        <v>1</v>
      </c>
      <c r="P83" t="s">
        <v>49</v>
      </c>
      <c r="Q83" t="s">
        <v>85</v>
      </c>
      <c r="R83">
        <v>2</v>
      </c>
      <c r="S83">
        <v>6</v>
      </c>
      <c r="T83" t="s">
        <v>59</v>
      </c>
      <c r="U83" t="s">
        <v>60</v>
      </c>
      <c r="V83" t="s">
        <v>86</v>
      </c>
      <c r="W83" s="1">
        <v>45549</v>
      </c>
      <c r="X83" t="b">
        <v>0</v>
      </c>
      <c r="Y83" t="b">
        <v>1</v>
      </c>
      <c r="Z83" t="s">
        <v>74</v>
      </c>
      <c r="AA83" t="s">
        <v>53</v>
      </c>
      <c r="AB83">
        <v>7</v>
      </c>
    </row>
    <row r="84" spans="1:28" x14ac:dyDescent="0.25">
      <c r="A84" t="s">
        <v>255</v>
      </c>
      <c r="B84">
        <v>46</v>
      </c>
      <c r="C84" t="s">
        <v>29</v>
      </c>
      <c r="D84" t="s">
        <v>30</v>
      </c>
      <c r="E84" t="s">
        <v>31</v>
      </c>
      <c r="F84" t="s">
        <v>32</v>
      </c>
      <c r="G84" t="s">
        <v>30</v>
      </c>
      <c r="H84" t="s">
        <v>256</v>
      </c>
      <c r="I84" t="s">
        <v>158</v>
      </c>
      <c r="J84">
        <v>113.88</v>
      </c>
      <c r="K84">
        <v>2</v>
      </c>
      <c r="L84" t="s">
        <v>78</v>
      </c>
      <c r="M84">
        <v>5</v>
      </c>
      <c r="N84">
        <v>2</v>
      </c>
      <c r="O84">
        <v>2</v>
      </c>
      <c r="P84" t="s">
        <v>49</v>
      </c>
      <c r="Q84" t="s">
        <v>50</v>
      </c>
      <c r="R84">
        <v>2</v>
      </c>
      <c r="S84">
        <v>4</v>
      </c>
      <c r="T84" t="s">
        <v>44</v>
      </c>
      <c r="U84" t="s">
        <v>38</v>
      </c>
      <c r="V84" t="s">
        <v>51</v>
      </c>
      <c r="W84" s="1">
        <v>45380</v>
      </c>
      <c r="X84" t="b">
        <v>0</v>
      </c>
      <c r="Y84" t="b">
        <v>0</v>
      </c>
      <c r="Z84" t="s">
        <v>52</v>
      </c>
      <c r="AA84" t="s">
        <v>67</v>
      </c>
      <c r="AB84">
        <v>9</v>
      </c>
    </row>
    <row r="85" spans="1:28" x14ac:dyDescent="0.25">
      <c r="A85" t="s">
        <v>257</v>
      </c>
      <c r="B85">
        <v>26</v>
      </c>
      <c r="C85" t="s">
        <v>43</v>
      </c>
      <c r="D85" t="s">
        <v>30</v>
      </c>
      <c r="E85" t="s">
        <v>31</v>
      </c>
      <c r="F85" t="s">
        <v>45</v>
      </c>
      <c r="G85" t="s">
        <v>30</v>
      </c>
      <c r="H85" t="s">
        <v>258</v>
      </c>
      <c r="I85" t="s">
        <v>194</v>
      </c>
      <c r="J85">
        <v>121.57</v>
      </c>
      <c r="K85">
        <v>4</v>
      </c>
      <c r="L85" t="s">
        <v>35</v>
      </c>
      <c r="M85">
        <v>1</v>
      </c>
      <c r="N85">
        <v>5</v>
      </c>
      <c r="O85">
        <v>0</v>
      </c>
      <c r="P85" t="s">
        <v>44</v>
      </c>
      <c r="Q85" t="s">
        <v>50</v>
      </c>
      <c r="R85">
        <v>0</v>
      </c>
      <c r="S85">
        <v>4</v>
      </c>
      <c r="T85" t="s">
        <v>44</v>
      </c>
      <c r="U85" t="s">
        <v>79</v>
      </c>
      <c r="V85" t="s">
        <v>66</v>
      </c>
      <c r="W85" s="1">
        <v>45449</v>
      </c>
      <c r="X85" t="b">
        <v>0</v>
      </c>
      <c r="Y85" t="b">
        <v>1</v>
      </c>
      <c r="Z85" t="s">
        <v>62</v>
      </c>
      <c r="AA85" t="s">
        <v>41</v>
      </c>
      <c r="AB85">
        <v>13</v>
      </c>
    </row>
    <row r="86" spans="1:28" x14ac:dyDescent="0.25">
      <c r="A86" t="s">
        <v>259</v>
      </c>
      <c r="B86">
        <v>21</v>
      </c>
      <c r="C86" t="s">
        <v>29</v>
      </c>
      <c r="D86" t="s">
        <v>44</v>
      </c>
      <c r="E86" t="s">
        <v>76</v>
      </c>
      <c r="F86" t="s">
        <v>45</v>
      </c>
      <c r="G86" t="s">
        <v>30</v>
      </c>
      <c r="H86" t="s">
        <v>260</v>
      </c>
      <c r="I86" t="s">
        <v>142</v>
      </c>
      <c r="J86">
        <v>215.54</v>
      </c>
      <c r="K86">
        <v>11</v>
      </c>
      <c r="L86" t="s">
        <v>78</v>
      </c>
      <c r="M86">
        <v>3</v>
      </c>
      <c r="N86">
        <v>1</v>
      </c>
      <c r="O86">
        <v>2</v>
      </c>
      <c r="P86" t="s">
        <v>59</v>
      </c>
      <c r="Q86" t="s">
        <v>37</v>
      </c>
      <c r="R86">
        <v>2</v>
      </c>
      <c r="S86">
        <v>6</v>
      </c>
      <c r="T86" t="s">
        <v>44</v>
      </c>
      <c r="U86" t="s">
        <v>79</v>
      </c>
      <c r="V86" t="s">
        <v>39</v>
      </c>
      <c r="W86" s="1">
        <v>45390</v>
      </c>
      <c r="X86" t="b">
        <v>1</v>
      </c>
      <c r="Y86" t="b">
        <v>1</v>
      </c>
      <c r="Z86" t="s">
        <v>74</v>
      </c>
      <c r="AA86" t="s">
        <v>41</v>
      </c>
      <c r="AB86">
        <v>10</v>
      </c>
    </row>
    <row r="87" spans="1:28" x14ac:dyDescent="0.25">
      <c r="A87" t="s">
        <v>261</v>
      </c>
      <c r="B87">
        <v>43</v>
      </c>
      <c r="C87" t="s">
        <v>43</v>
      </c>
      <c r="D87" t="s">
        <v>44</v>
      </c>
      <c r="E87" t="s">
        <v>31</v>
      </c>
      <c r="F87" t="s">
        <v>32</v>
      </c>
      <c r="G87" t="s">
        <v>44</v>
      </c>
      <c r="H87" t="s">
        <v>262</v>
      </c>
      <c r="I87" t="s">
        <v>71</v>
      </c>
      <c r="J87">
        <v>87.03</v>
      </c>
      <c r="K87">
        <v>10</v>
      </c>
      <c r="L87" t="s">
        <v>35</v>
      </c>
      <c r="M87">
        <v>1</v>
      </c>
      <c r="N87">
        <v>1</v>
      </c>
      <c r="O87">
        <v>0</v>
      </c>
      <c r="P87" t="s">
        <v>59</v>
      </c>
      <c r="Q87" t="s">
        <v>85</v>
      </c>
      <c r="R87">
        <v>1</v>
      </c>
      <c r="S87">
        <v>5</v>
      </c>
      <c r="T87" t="s">
        <v>44</v>
      </c>
      <c r="U87" t="s">
        <v>79</v>
      </c>
      <c r="V87" t="s">
        <v>51</v>
      </c>
      <c r="W87" s="1">
        <v>45515</v>
      </c>
      <c r="X87" t="b">
        <v>0</v>
      </c>
      <c r="Y87" t="b">
        <v>1</v>
      </c>
      <c r="Z87" t="s">
        <v>40</v>
      </c>
      <c r="AA87" t="s">
        <v>41</v>
      </c>
      <c r="AB87">
        <v>7</v>
      </c>
    </row>
    <row r="88" spans="1:28" x14ac:dyDescent="0.25">
      <c r="A88" t="s">
        <v>263</v>
      </c>
      <c r="B88">
        <v>19</v>
      </c>
      <c r="C88" t="s">
        <v>43</v>
      </c>
      <c r="D88" t="s">
        <v>44</v>
      </c>
      <c r="E88" t="s">
        <v>76</v>
      </c>
      <c r="F88" t="s">
        <v>45</v>
      </c>
      <c r="G88" t="s">
        <v>44</v>
      </c>
      <c r="H88" t="s">
        <v>264</v>
      </c>
      <c r="I88" t="s">
        <v>194</v>
      </c>
      <c r="J88">
        <v>111.75</v>
      </c>
      <c r="K88">
        <v>4</v>
      </c>
      <c r="L88" t="s">
        <v>48</v>
      </c>
      <c r="M88">
        <v>1</v>
      </c>
      <c r="N88">
        <v>4</v>
      </c>
      <c r="O88">
        <v>0</v>
      </c>
      <c r="P88" t="s">
        <v>44</v>
      </c>
      <c r="Q88" t="s">
        <v>50</v>
      </c>
      <c r="R88">
        <v>1</v>
      </c>
      <c r="S88">
        <v>6</v>
      </c>
      <c r="T88" t="s">
        <v>44</v>
      </c>
      <c r="U88" t="s">
        <v>38</v>
      </c>
      <c r="V88" t="s">
        <v>61</v>
      </c>
      <c r="W88" s="1">
        <v>45575</v>
      </c>
      <c r="X88" t="b">
        <v>0</v>
      </c>
      <c r="Y88" t="b">
        <v>1</v>
      </c>
      <c r="Z88" t="s">
        <v>62</v>
      </c>
      <c r="AA88" t="s">
        <v>53</v>
      </c>
      <c r="AB88">
        <v>8</v>
      </c>
    </row>
    <row r="89" spans="1:28" x14ac:dyDescent="0.25">
      <c r="A89" t="s">
        <v>265</v>
      </c>
      <c r="B89">
        <v>41</v>
      </c>
      <c r="C89" t="s">
        <v>29</v>
      </c>
      <c r="D89" t="s">
        <v>44</v>
      </c>
      <c r="E89" t="s">
        <v>69</v>
      </c>
      <c r="F89" t="s">
        <v>56</v>
      </c>
      <c r="G89" t="s">
        <v>44</v>
      </c>
      <c r="H89" t="s">
        <v>266</v>
      </c>
      <c r="I89" t="s">
        <v>58</v>
      </c>
      <c r="J89">
        <v>136.19999999999999</v>
      </c>
      <c r="K89">
        <v>2</v>
      </c>
      <c r="L89" t="s">
        <v>35</v>
      </c>
      <c r="M89">
        <v>3</v>
      </c>
      <c r="N89">
        <v>2</v>
      </c>
      <c r="O89">
        <v>2</v>
      </c>
      <c r="P89" t="s">
        <v>59</v>
      </c>
      <c r="Q89" t="s">
        <v>50</v>
      </c>
      <c r="R89">
        <v>0</v>
      </c>
      <c r="S89">
        <v>1</v>
      </c>
      <c r="T89" t="s">
        <v>44</v>
      </c>
      <c r="U89" t="s">
        <v>38</v>
      </c>
      <c r="V89" t="s">
        <v>51</v>
      </c>
      <c r="W89" s="1">
        <v>45458</v>
      </c>
      <c r="X89" t="b">
        <v>1</v>
      </c>
      <c r="Y89" t="b">
        <v>1</v>
      </c>
      <c r="Z89" t="s">
        <v>40</v>
      </c>
      <c r="AA89" t="s">
        <v>67</v>
      </c>
      <c r="AB89">
        <v>9</v>
      </c>
    </row>
    <row r="90" spans="1:28" x14ac:dyDescent="0.25">
      <c r="A90" t="s">
        <v>267</v>
      </c>
      <c r="B90">
        <v>48</v>
      </c>
      <c r="C90" t="s">
        <v>43</v>
      </c>
      <c r="D90" t="s">
        <v>30</v>
      </c>
      <c r="E90" t="s">
        <v>31</v>
      </c>
      <c r="F90" t="s">
        <v>45</v>
      </c>
      <c r="G90" t="s">
        <v>30</v>
      </c>
      <c r="H90" t="s">
        <v>268</v>
      </c>
      <c r="I90" t="s">
        <v>47</v>
      </c>
      <c r="J90">
        <v>439.31</v>
      </c>
      <c r="K90">
        <v>4</v>
      </c>
      <c r="L90" t="s">
        <v>48</v>
      </c>
      <c r="M90">
        <v>3</v>
      </c>
      <c r="N90">
        <v>2</v>
      </c>
      <c r="O90">
        <v>1</v>
      </c>
      <c r="P90" t="s">
        <v>49</v>
      </c>
      <c r="Q90" t="s">
        <v>85</v>
      </c>
      <c r="R90">
        <v>0</v>
      </c>
      <c r="S90">
        <v>6</v>
      </c>
      <c r="T90" t="s">
        <v>49</v>
      </c>
      <c r="U90" t="s">
        <v>60</v>
      </c>
      <c r="V90" t="s">
        <v>61</v>
      </c>
      <c r="W90" s="1">
        <v>45515</v>
      </c>
      <c r="X90" t="b">
        <v>0</v>
      </c>
      <c r="Y90" t="b">
        <v>1</v>
      </c>
      <c r="Z90" t="s">
        <v>52</v>
      </c>
      <c r="AA90" t="s">
        <v>41</v>
      </c>
      <c r="AB90">
        <v>7</v>
      </c>
    </row>
    <row r="91" spans="1:28" x14ac:dyDescent="0.25">
      <c r="A91" t="s">
        <v>269</v>
      </c>
      <c r="B91">
        <v>19</v>
      </c>
      <c r="C91" t="s">
        <v>29</v>
      </c>
      <c r="D91" t="s">
        <v>30</v>
      </c>
      <c r="E91" t="s">
        <v>31</v>
      </c>
      <c r="F91" t="s">
        <v>32</v>
      </c>
      <c r="G91" t="s">
        <v>30</v>
      </c>
      <c r="H91" t="s">
        <v>270</v>
      </c>
      <c r="I91" t="s">
        <v>104</v>
      </c>
      <c r="J91">
        <v>194.93</v>
      </c>
      <c r="K91">
        <v>9</v>
      </c>
      <c r="L91" t="s">
        <v>78</v>
      </c>
      <c r="M91">
        <v>4</v>
      </c>
      <c r="N91">
        <v>4</v>
      </c>
      <c r="O91">
        <v>1</v>
      </c>
      <c r="P91" t="s">
        <v>44</v>
      </c>
      <c r="Q91" t="s">
        <v>37</v>
      </c>
      <c r="R91">
        <v>0</v>
      </c>
      <c r="S91">
        <v>4</v>
      </c>
      <c r="T91" t="s">
        <v>36</v>
      </c>
      <c r="U91" t="s">
        <v>38</v>
      </c>
      <c r="V91" t="s">
        <v>66</v>
      </c>
      <c r="W91" s="1">
        <v>45379</v>
      </c>
      <c r="X91" t="b">
        <v>1</v>
      </c>
      <c r="Y91" t="b">
        <v>1</v>
      </c>
      <c r="Z91" t="s">
        <v>62</v>
      </c>
      <c r="AA91" t="s">
        <v>41</v>
      </c>
      <c r="AB91">
        <v>5</v>
      </c>
    </row>
    <row r="92" spans="1:28" x14ac:dyDescent="0.25">
      <c r="A92" t="s">
        <v>271</v>
      </c>
      <c r="B92">
        <v>29</v>
      </c>
      <c r="C92" t="s">
        <v>43</v>
      </c>
      <c r="D92" t="s">
        <v>30</v>
      </c>
      <c r="E92" t="s">
        <v>69</v>
      </c>
      <c r="F92" t="s">
        <v>56</v>
      </c>
      <c r="G92" t="s">
        <v>44</v>
      </c>
      <c r="H92" t="s">
        <v>272</v>
      </c>
      <c r="I92" t="s">
        <v>47</v>
      </c>
      <c r="J92">
        <v>377.67</v>
      </c>
      <c r="K92">
        <v>8</v>
      </c>
      <c r="L92" t="s">
        <v>78</v>
      </c>
      <c r="M92">
        <v>5</v>
      </c>
      <c r="N92">
        <v>3</v>
      </c>
      <c r="O92">
        <v>0</v>
      </c>
      <c r="P92" t="s">
        <v>36</v>
      </c>
      <c r="Q92" t="s">
        <v>85</v>
      </c>
      <c r="R92">
        <v>2</v>
      </c>
      <c r="S92">
        <v>1</v>
      </c>
      <c r="T92" t="s">
        <v>44</v>
      </c>
      <c r="U92" t="s">
        <v>79</v>
      </c>
      <c r="V92" t="s">
        <v>51</v>
      </c>
      <c r="W92" s="1">
        <v>45425</v>
      </c>
      <c r="X92" t="b">
        <v>1</v>
      </c>
      <c r="Y92" t="b">
        <v>0</v>
      </c>
      <c r="Z92" t="s">
        <v>40</v>
      </c>
      <c r="AA92" t="s">
        <v>41</v>
      </c>
      <c r="AB92">
        <v>14</v>
      </c>
    </row>
    <row r="93" spans="1:28" x14ac:dyDescent="0.25">
      <c r="A93" t="s">
        <v>273</v>
      </c>
      <c r="B93">
        <v>26</v>
      </c>
      <c r="C93" t="s">
        <v>274</v>
      </c>
      <c r="D93" t="s">
        <v>44</v>
      </c>
      <c r="E93" t="s">
        <v>55</v>
      </c>
      <c r="F93" t="s">
        <v>56</v>
      </c>
      <c r="G93" t="s">
        <v>44</v>
      </c>
      <c r="H93" t="s">
        <v>275</v>
      </c>
      <c r="I93" t="s">
        <v>188</v>
      </c>
      <c r="J93">
        <v>108.61</v>
      </c>
      <c r="K93">
        <v>10</v>
      </c>
      <c r="L93" t="s">
        <v>48</v>
      </c>
      <c r="M93">
        <v>3</v>
      </c>
      <c r="N93">
        <v>2</v>
      </c>
      <c r="O93">
        <v>0</v>
      </c>
      <c r="P93" t="s">
        <v>36</v>
      </c>
      <c r="Q93" t="s">
        <v>85</v>
      </c>
      <c r="R93">
        <v>0</v>
      </c>
      <c r="S93">
        <v>3</v>
      </c>
      <c r="T93" t="s">
        <v>59</v>
      </c>
      <c r="U93" t="s">
        <v>60</v>
      </c>
      <c r="V93" t="s">
        <v>86</v>
      </c>
      <c r="W93" s="1">
        <v>45619</v>
      </c>
      <c r="X93" t="b">
        <v>1</v>
      </c>
      <c r="Y93" t="b">
        <v>1</v>
      </c>
      <c r="Z93" t="s">
        <v>40</v>
      </c>
      <c r="AA93" t="s">
        <v>41</v>
      </c>
      <c r="AB93">
        <v>14</v>
      </c>
    </row>
    <row r="94" spans="1:28" x14ac:dyDescent="0.25">
      <c r="A94" t="s">
        <v>276</v>
      </c>
      <c r="B94">
        <v>20</v>
      </c>
      <c r="C94" t="s">
        <v>29</v>
      </c>
      <c r="D94" t="s">
        <v>30</v>
      </c>
      <c r="E94" t="s">
        <v>31</v>
      </c>
      <c r="F94" t="s">
        <v>32</v>
      </c>
      <c r="G94" t="s">
        <v>30</v>
      </c>
      <c r="H94" t="s">
        <v>277</v>
      </c>
      <c r="I94" t="s">
        <v>104</v>
      </c>
      <c r="J94">
        <v>366.77</v>
      </c>
      <c r="K94">
        <v>7</v>
      </c>
      <c r="L94" t="s">
        <v>35</v>
      </c>
      <c r="M94">
        <v>4</v>
      </c>
      <c r="N94">
        <v>3</v>
      </c>
      <c r="O94">
        <v>2</v>
      </c>
      <c r="P94" t="s">
        <v>59</v>
      </c>
      <c r="Q94" t="s">
        <v>50</v>
      </c>
      <c r="R94">
        <v>0</v>
      </c>
      <c r="S94">
        <v>9</v>
      </c>
      <c r="T94" t="s">
        <v>36</v>
      </c>
      <c r="U94" t="s">
        <v>60</v>
      </c>
      <c r="V94" t="s">
        <v>61</v>
      </c>
      <c r="W94" s="1">
        <v>45553</v>
      </c>
      <c r="X94" t="b">
        <v>0</v>
      </c>
      <c r="Y94" t="b">
        <v>0</v>
      </c>
      <c r="Z94" t="s">
        <v>62</v>
      </c>
      <c r="AA94" t="s">
        <v>53</v>
      </c>
      <c r="AB94">
        <v>1</v>
      </c>
    </row>
    <row r="95" spans="1:28" x14ac:dyDescent="0.25">
      <c r="A95" t="s">
        <v>278</v>
      </c>
      <c r="B95">
        <v>31</v>
      </c>
      <c r="C95" t="s">
        <v>29</v>
      </c>
      <c r="D95" t="s">
        <v>44</v>
      </c>
      <c r="E95" t="s">
        <v>76</v>
      </c>
      <c r="F95" t="s">
        <v>56</v>
      </c>
      <c r="G95" t="s">
        <v>30</v>
      </c>
      <c r="H95" t="s">
        <v>279</v>
      </c>
      <c r="I95" t="s">
        <v>246</v>
      </c>
      <c r="J95">
        <v>178.04</v>
      </c>
      <c r="K95">
        <v>5</v>
      </c>
      <c r="L95" t="s">
        <v>48</v>
      </c>
      <c r="M95">
        <v>5</v>
      </c>
      <c r="N95">
        <v>1</v>
      </c>
      <c r="O95">
        <v>2</v>
      </c>
      <c r="P95" t="s">
        <v>49</v>
      </c>
      <c r="Q95" t="s">
        <v>37</v>
      </c>
      <c r="R95">
        <v>0</v>
      </c>
      <c r="S95">
        <v>5</v>
      </c>
      <c r="T95" t="s">
        <v>44</v>
      </c>
      <c r="U95" t="s">
        <v>38</v>
      </c>
      <c r="V95" t="s">
        <v>39</v>
      </c>
      <c r="W95" s="1">
        <v>45489</v>
      </c>
      <c r="X95" t="b">
        <v>0</v>
      </c>
      <c r="Y95" t="b">
        <v>0</v>
      </c>
      <c r="Z95" t="s">
        <v>40</v>
      </c>
      <c r="AA95" t="s">
        <v>41</v>
      </c>
      <c r="AB95">
        <v>12</v>
      </c>
    </row>
    <row r="96" spans="1:28" x14ac:dyDescent="0.25">
      <c r="A96" t="s">
        <v>280</v>
      </c>
      <c r="B96">
        <v>23</v>
      </c>
      <c r="C96" t="s">
        <v>29</v>
      </c>
      <c r="D96" t="s">
        <v>44</v>
      </c>
      <c r="E96" t="s">
        <v>76</v>
      </c>
      <c r="F96" t="s">
        <v>45</v>
      </c>
      <c r="G96" t="s">
        <v>44</v>
      </c>
      <c r="H96" t="s">
        <v>281</v>
      </c>
      <c r="I96" t="s">
        <v>126</v>
      </c>
      <c r="J96">
        <v>461.09</v>
      </c>
      <c r="K96">
        <v>8</v>
      </c>
      <c r="L96" t="s">
        <v>78</v>
      </c>
      <c r="M96">
        <v>4</v>
      </c>
      <c r="N96">
        <v>1</v>
      </c>
      <c r="O96">
        <v>0</v>
      </c>
      <c r="P96" t="s">
        <v>49</v>
      </c>
      <c r="Q96" t="s">
        <v>37</v>
      </c>
      <c r="R96">
        <v>0</v>
      </c>
      <c r="S96">
        <v>4</v>
      </c>
      <c r="T96" t="s">
        <v>49</v>
      </c>
      <c r="U96" t="s">
        <v>60</v>
      </c>
      <c r="V96" t="s">
        <v>61</v>
      </c>
      <c r="W96" s="1">
        <v>45507</v>
      </c>
      <c r="X96" t="b">
        <v>1</v>
      </c>
      <c r="Y96" t="b">
        <v>0</v>
      </c>
      <c r="Z96" t="s">
        <v>40</v>
      </c>
      <c r="AA96" t="s">
        <v>41</v>
      </c>
      <c r="AB96">
        <v>8</v>
      </c>
    </row>
    <row r="97" spans="1:28" x14ac:dyDescent="0.25">
      <c r="A97" t="s">
        <v>282</v>
      </c>
      <c r="B97">
        <v>19</v>
      </c>
      <c r="C97" t="s">
        <v>29</v>
      </c>
      <c r="D97" t="s">
        <v>44</v>
      </c>
      <c r="E97" t="s">
        <v>55</v>
      </c>
      <c r="F97" t="s">
        <v>45</v>
      </c>
      <c r="G97" t="s">
        <v>30</v>
      </c>
      <c r="H97" t="s">
        <v>283</v>
      </c>
      <c r="I97" t="s">
        <v>107</v>
      </c>
      <c r="J97">
        <v>211.16</v>
      </c>
      <c r="K97">
        <v>5</v>
      </c>
      <c r="L97" t="s">
        <v>48</v>
      </c>
      <c r="M97">
        <v>2</v>
      </c>
      <c r="N97">
        <v>3</v>
      </c>
      <c r="O97">
        <v>1</v>
      </c>
      <c r="P97" t="s">
        <v>44</v>
      </c>
      <c r="Q97" t="s">
        <v>85</v>
      </c>
      <c r="R97">
        <v>0</v>
      </c>
      <c r="S97">
        <v>3</v>
      </c>
      <c r="T97" t="s">
        <v>36</v>
      </c>
      <c r="U97" t="s">
        <v>60</v>
      </c>
      <c r="V97" t="s">
        <v>51</v>
      </c>
      <c r="W97" s="1">
        <v>45471</v>
      </c>
      <c r="X97" t="b">
        <v>0</v>
      </c>
      <c r="Y97" t="b">
        <v>0</v>
      </c>
      <c r="Z97" t="s">
        <v>74</v>
      </c>
      <c r="AA97" t="s">
        <v>53</v>
      </c>
      <c r="AB97">
        <v>2</v>
      </c>
    </row>
    <row r="98" spans="1:28" x14ac:dyDescent="0.25">
      <c r="A98" t="s">
        <v>284</v>
      </c>
      <c r="B98">
        <v>23</v>
      </c>
      <c r="C98" t="s">
        <v>29</v>
      </c>
      <c r="D98" t="s">
        <v>30</v>
      </c>
      <c r="E98" t="s">
        <v>69</v>
      </c>
      <c r="F98" t="s">
        <v>32</v>
      </c>
      <c r="G98" t="s">
        <v>44</v>
      </c>
      <c r="H98" t="s">
        <v>285</v>
      </c>
      <c r="I98" t="s">
        <v>101</v>
      </c>
      <c r="J98">
        <v>421.95</v>
      </c>
      <c r="K98">
        <v>8</v>
      </c>
      <c r="L98" t="s">
        <v>35</v>
      </c>
      <c r="M98">
        <v>3</v>
      </c>
      <c r="N98">
        <v>5</v>
      </c>
      <c r="O98">
        <v>0</v>
      </c>
      <c r="P98" t="s">
        <v>49</v>
      </c>
      <c r="Q98" t="s">
        <v>50</v>
      </c>
      <c r="R98">
        <v>1</v>
      </c>
      <c r="S98">
        <v>1</v>
      </c>
      <c r="T98" t="s">
        <v>36</v>
      </c>
      <c r="U98" t="s">
        <v>60</v>
      </c>
      <c r="V98" t="s">
        <v>66</v>
      </c>
      <c r="W98" s="1">
        <v>45369</v>
      </c>
      <c r="X98" t="b">
        <v>0</v>
      </c>
      <c r="Y98" t="b">
        <v>1</v>
      </c>
      <c r="Z98" t="s">
        <v>40</v>
      </c>
      <c r="AA98" t="s">
        <v>41</v>
      </c>
      <c r="AB98">
        <v>7</v>
      </c>
    </row>
    <row r="99" spans="1:28" x14ac:dyDescent="0.25">
      <c r="A99" t="s">
        <v>286</v>
      </c>
      <c r="B99">
        <v>49</v>
      </c>
      <c r="C99" t="s">
        <v>29</v>
      </c>
      <c r="D99" t="s">
        <v>30</v>
      </c>
      <c r="E99" t="s">
        <v>76</v>
      </c>
      <c r="F99" t="s">
        <v>32</v>
      </c>
      <c r="G99" t="s">
        <v>44</v>
      </c>
      <c r="H99" t="s">
        <v>287</v>
      </c>
      <c r="I99" t="s">
        <v>71</v>
      </c>
      <c r="J99">
        <v>378.59</v>
      </c>
      <c r="K99">
        <v>5</v>
      </c>
      <c r="L99" t="s">
        <v>78</v>
      </c>
      <c r="M99">
        <v>2</v>
      </c>
      <c r="N99">
        <v>1</v>
      </c>
      <c r="O99">
        <v>0</v>
      </c>
      <c r="P99" t="s">
        <v>36</v>
      </c>
      <c r="Q99" t="s">
        <v>37</v>
      </c>
      <c r="R99">
        <v>0</v>
      </c>
      <c r="S99">
        <v>4</v>
      </c>
      <c r="T99" t="s">
        <v>44</v>
      </c>
      <c r="U99" t="s">
        <v>79</v>
      </c>
      <c r="V99" t="s">
        <v>66</v>
      </c>
      <c r="W99" s="1">
        <v>45580</v>
      </c>
      <c r="X99" t="b">
        <v>0</v>
      </c>
      <c r="Y99" t="b">
        <v>0</v>
      </c>
      <c r="Z99" t="s">
        <v>52</v>
      </c>
      <c r="AA99" t="s">
        <v>41</v>
      </c>
      <c r="AB99">
        <v>14</v>
      </c>
    </row>
    <row r="100" spans="1:28" x14ac:dyDescent="0.25">
      <c r="A100" t="s">
        <v>288</v>
      </c>
      <c r="B100">
        <v>23</v>
      </c>
      <c r="C100" t="s">
        <v>190</v>
      </c>
      <c r="D100" t="s">
        <v>44</v>
      </c>
      <c r="E100" t="s">
        <v>76</v>
      </c>
      <c r="F100" t="s">
        <v>45</v>
      </c>
      <c r="G100" t="s">
        <v>44</v>
      </c>
      <c r="H100" t="s">
        <v>289</v>
      </c>
      <c r="I100" t="s">
        <v>58</v>
      </c>
      <c r="J100">
        <v>268.93</v>
      </c>
      <c r="K100">
        <v>2</v>
      </c>
      <c r="L100" t="s">
        <v>35</v>
      </c>
      <c r="M100">
        <v>5</v>
      </c>
      <c r="N100">
        <v>5</v>
      </c>
      <c r="O100">
        <v>1</v>
      </c>
      <c r="P100" t="s">
        <v>49</v>
      </c>
      <c r="Q100" t="s">
        <v>85</v>
      </c>
      <c r="R100">
        <v>1</v>
      </c>
      <c r="S100">
        <v>3</v>
      </c>
      <c r="T100" t="s">
        <v>36</v>
      </c>
      <c r="U100" t="s">
        <v>38</v>
      </c>
      <c r="V100" t="s">
        <v>61</v>
      </c>
      <c r="W100" s="1">
        <v>45619</v>
      </c>
      <c r="X100" t="b">
        <v>0</v>
      </c>
      <c r="Y100" t="b">
        <v>0</v>
      </c>
      <c r="Z100" t="s">
        <v>62</v>
      </c>
      <c r="AA100" t="s">
        <v>67</v>
      </c>
      <c r="AB100">
        <v>8</v>
      </c>
    </row>
    <row r="101" spans="1:28" x14ac:dyDescent="0.25">
      <c r="A101" t="s">
        <v>290</v>
      </c>
      <c r="B101">
        <v>42</v>
      </c>
      <c r="C101" t="s">
        <v>43</v>
      </c>
      <c r="D101" t="s">
        <v>30</v>
      </c>
      <c r="E101" t="s">
        <v>76</v>
      </c>
      <c r="F101" t="s">
        <v>32</v>
      </c>
      <c r="G101" t="s">
        <v>44</v>
      </c>
      <c r="H101" t="s">
        <v>291</v>
      </c>
      <c r="I101" t="s">
        <v>104</v>
      </c>
      <c r="J101">
        <v>444.87</v>
      </c>
      <c r="K101">
        <v>11</v>
      </c>
      <c r="L101" t="s">
        <v>78</v>
      </c>
      <c r="M101">
        <v>5</v>
      </c>
      <c r="N101">
        <v>4</v>
      </c>
      <c r="O101">
        <v>0</v>
      </c>
      <c r="P101" t="s">
        <v>49</v>
      </c>
      <c r="Q101" t="s">
        <v>50</v>
      </c>
      <c r="R101">
        <v>1</v>
      </c>
      <c r="S101">
        <v>8</v>
      </c>
      <c r="T101" t="s">
        <v>59</v>
      </c>
      <c r="U101" t="s">
        <v>79</v>
      </c>
      <c r="V101" t="s">
        <v>66</v>
      </c>
      <c r="W101" s="1">
        <v>45625</v>
      </c>
      <c r="X101" t="b">
        <v>0</v>
      </c>
      <c r="Y101" t="b">
        <v>0</v>
      </c>
      <c r="Z101" t="s">
        <v>52</v>
      </c>
      <c r="AA101" t="s">
        <v>41</v>
      </c>
      <c r="AB101">
        <v>7</v>
      </c>
    </row>
    <row r="102" spans="1:28" x14ac:dyDescent="0.25">
      <c r="A102" t="s">
        <v>292</v>
      </c>
      <c r="B102">
        <v>18</v>
      </c>
      <c r="C102" t="s">
        <v>29</v>
      </c>
      <c r="D102" t="s">
        <v>44</v>
      </c>
      <c r="E102" t="s">
        <v>69</v>
      </c>
      <c r="F102" t="s">
        <v>32</v>
      </c>
      <c r="G102" t="s">
        <v>44</v>
      </c>
      <c r="H102" t="s">
        <v>293</v>
      </c>
      <c r="I102" t="s">
        <v>188</v>
      </c>
      <c r="J102">
        <v>160.82</v>
      </c>
      <c r="K102">
        <v>7</v>
      </c>
      <c r="L102" t="s">
        <v>48</v>
      </c>
      <c r="M102">
        <v>3</v>
      </c>
      <c r="N102">
        <v>1</v>
      </c>
      <c r="O102">
        <v>1</v>
      </c>
      <c r="P102" t="s">
        <v>44</v>
      </c>
      <c r="Q102" t="s">
        <v>37</v>
      </c>
      <c r="R102">
        <v>0</v>
      </c>
      <c r="S102">
        <v>1</v>
      </c>
      <c r="T102" t="s">
        <v>44</v>
      </c>
      <c r="U102" t="s">
        <v>60</v>
      </c>
      <c r="V102" t="s">
        <v>86</v>
      </c>
      <c r="W102" s="1">
        <v>45482</v>
      </c>
      <c r="X102" t="b">
        <v>1</v>
      </c>
      <c r="Y102" t="b">
        <v>1</v>
      </c>
      <c r="Z102" t="s">
        <v>52</v>
      </c>
      <c r="AA102" t="s">
        <v>41</v>
      </c>
      <c r="AB102">
        <v>3</v>
      </c>
    </row>
    <row r="103" spans="1:28" x14ac:dyDescent="0.25">
      <c r="A103" t="s">
        <v>294</v>
      </c>
      <c r="B103">
        <v>35</v>
      </c>
      <c r="C103" t="s">
        <v>43</v>
      </c>
      <c r="D103" t="s">
        <v>44</v>
      </c>
      <c r="E103" t="s">
        <v>55</v>
      </c>
      <c r="F103" t="s">
        <v>56</v>
      </c>
      <c r="G103" t="s">
        <v>30</v>
      </c>
      <c r="H103" t="s">
        <v>295</v>
      </c>
      <c r="I103" t="s">
        <v>107</v>
      </c>
      <c r="J103">
        <v>494.18</v>
      </c>
      <c r="K103">
        <v>6</v>
      </c>
      <c r="L103" t="s">
        <v>35</v>
      </c>
      <c r="M103">
        <v>4</v>
      </c>
      <c r="N103">
        <v>5</v>
      </c>
      <c r="O103">
        <v>1</v>
      </c>
      <c r="P103" t="s">
        <v>49</v>
      </c>
      <c r="Q103" t="s">
        <v>50</v>
      </c>
      <c r="R103">
        <v>1</v>
      </c>
      <c r="S103">
        <v>2</v>
      </c>
      <c r="T103" t="s">
        <v>36</v>
      </c>
      <c r="U103" t="s">
        <v>79</v>
      </c>
      <c r="V103" t="s">
        <v>86</v>
      </c>
      <c r="W103" s="1">
        <v>45507</v>
      </c>
      <c r="X103" t="b">
        <v>0</v>
      </c>
      <c r="Y103" t="b">
        <v>0</v>
      </c>
      <c r="Z103" t="s">
        <v>40</v>
      </c>
      <c r="AA103" t="s">
        <v>53</v>
      </c>
      <c r="AB103">
        <v>14</v>
      </c>
    </row>
    <row r="104" spans="1:28" x14ac:dyDescent="0.25">
      <c r="A104" t="s">
        <v>296</v>
      </c>
      <c r="B104">
        <v>22</v>
      </c>
      <c r="C104" t="s">
        <v>43</v>
      </c>
      <c r="D104" t="s">
        <v>30</v>
      </c>
      <c r="E104" t="s">
        <v>55</v>
      </c>
      <c r="F104" t="s">
        <v>32</v>
      </c>
      <c r="G104" t="s">
        <v>30</v>
      </c>
      <c r="H104" t="s">
        <v>297</v>
      </c>
      <c r="I104" t="s">
        <v>65</v>
      </c>
      <c r="J104">
        <v>177.05</v>
      </c>
      <c r="K104">
        <v>5</v>
      </c>
      <c r="L104" t="s">
        <v>78</v>
      </c>
      <c r="M104">
        <v>3</v>
      </c>
      <c r="N104">
        <v>1</v>
      </c>
      <c r="O104">
        <v>1</v>
      </c>
      <c r="P104" t="s">
        <v>36</v>
      </c>
      <c r="Q104" t="s">
        <v>37</v>
      </c>
      <c r="R104">
        <v>2</v>
      </c>
      <c r="S104">
        <v>1</v>
      </c>
      <c r="T104" t="s">
        <v>59</v>
      </c>
      <c r="U104" t="s">
        <v>38</v>
      </c>
      <c r="V104" t="s">
        <v>86</v>
      </c>
      <c r="W104" s="1">
        <v>45630</v>
      </c>
      <c r="X104" t="b">
        <v>1</v>
      </c>
      <c r="Y104" t="b">
        <v>1</v>
      </c>
      <c r="Z104" t="s">
        <v>62</v>
      </c>
      <c r="AA104" t="s">
        <v>53</v>
      </c>
      <c r="AB104">
        <v>1</v>
      </c>
    </row>
    <row r="105" spans="1:28" x14ac:dyDescent="0.25">
      <c r="A105" t="s">
        <v>298</v>
      </c>
      <c r="B105">
        <v>28</v>
      </c>
      <c r="C105" t="s">
        <v>29</v>
      </c>
      <c r="D105" t="s">
        <v>30</v>
      </c>
      <c r="E105" t="s">
        <v>31</v>
      </c>
      <c r="F105" t="s">
        <v>56</v>
      </c>
      <c r="G105" t="s">
        <v>44</v>
      </c>
      <c r="H105" t="s">
        <v>299</v>
      </c>
      <c r="I105" t="s">
        <v>47</v>
      </c>
      <c r="J105">
        <v>450.66</v>
      </c>
      <c r="K105">
        <v>7</v>
      </c>
      <c r="L105" t="s">
        <v>48</v>
      </c>
      <c r="M105">
        <v>2</v>
      </c>
      <c r="N105">
        <v>5</v>
      </c>
      <c r="O105">
        <v>0</v>
      </c>
      <c r="P105" t="s">
        <v>44</v>
      </c>
      <c r="Q105" t="s">
        <v>37</v>
      </c>
      <c r="R105">
        <v>2</v>
      </c>
      <c r="S105">
        <v>4</v>
      </c>
      <c r="T105" t="s">
        <v>49</v>
      </c>
      <c r="U105" t="s">
        <v>38</v>
      </c>
      <c r="V105" t="s">
        <v>39</v>
      </c>
      <c r="W105" s="1">
        <v>45456</v>
      </c>
      <c r="X105" t="b">
        <v>0</v>
      </c>
      <c r="Y105" t="b">
        <v>1</v>
      </c>
      <c r="Z105" t="s">
        <v>40</v>
      </c>
      <c r="AA105" t="s">
        <v>41</v>
      </c>
      <c r="AB105">
        <v>9</v>
      </c>
    </row>
    <row r="106" spans="1:28" x14ac:dyDescent="0.25">
      <c r="A106" t="s">
        <v>300</v>
      </c>
      <c r="B106">
        <v>42</v>
      </c>
      <c r="C106" t="s">
        <v>29</v>
      </c>
      <c r="D106" t="s">
        <v>44</v>
      </c>
      <c r="E106" t="s">
        <v>31</v>
      </c>
      <c r="F106" t="s">
        <v>32</v>
      </c>
      <c r="G106" t="s">
        <v>30</v>
      </c>
      <c r="H106" t="s">
        <v>301</v>
      </c>
      <c r="I106" t="s">
        <v>135</v>
      </c>
      <c r="J106">
        <v>164.27</v>
      </c>
      <c r="K106">
        <v>6</v>
      </c>
      <c r="L106" t="s">
        <v>78</v>
      </c>
      <c r="M106">
        <v>5</v>
      </c>
      <c r="N106">
        <v>3</v>
      </c>
      <c r="O106">
        <v>2</v>
      </c>
      <c r="P106" t="s">
        <v>44</v>
      </c>
      <c r="Q106" t="s">
        <v>50</v>
      </c>
      <c r="R106">
        <v>2</v>
      </c>
      <c r="S106">
        <v>7</v>
      </c>
      <c r="T106" t="s">
        <v>59</v>
      </c>
      <c r="U106" t="s">
        <v>79</v>
      </c>
      <c r="V106" t="s">
        <v>51</v>
      </c>
      <c r="W106" s="1">
        <v>45486</v>
      </c>
      <c r="X106" t="b">
        <v>1</v>
      </c>
      <c r="Y106" t="b">
        <v>0</v>
      </c>
      <c r="Z106" t="s">
        <v>52</v>
      </c>
      <c r="AA106" t="s">
        <v>41</v>
      </c>
      <c r="AB106">
        <v>14</v>
      </c>
    </row>
    <row r="107" spans="1:28" x14ac:dyDescent="0.25">
      <c r="A107" t="s">
        <v>302</v>
      </c>
      <c r="B107">
        <v>37</v>
      </c>
      <c r="C107" t="s">
        <v>29</v>
      </c>
      <c r="D107" t="s">
        <v>30</v>
      </c>
      <c r="E107" t="s">
        <v>69</v>
      </c>
      <c r="F107" t="s">
        <v>56</v>
      </c>
      <c r="G107" t="s">
        <v>44</v>
      </c>
      <c r="H107" t="s">
        <v>303</v>
      </c>
      <c r="I107" t="s">
        <v>47</v>
      </c>
      <c r="J107">
        <v>346.36</v>
      </c>
      <c r="K107">
        <v>12</v>
      </c>
      <c r="L107" t="s">
        <v>35</v>
      </c>
      <c r="M107">
        <v>4</v>
      </c>
      <c r="N107">
        <v>5</v>
      </c>
      <c r="O107">
        <v>0</v>
      </c>
      <c r="P107" t="s">
        <v>49</v>
      </c>
      <c r="Q107" t="s">
        <v>37</v>
      </c>
      <c r="R107">
        <v>0</v>
      </c>
      <c r="S107">
        <v>7</v>
      </c>
      <c r="T107" t="s">
        <v>49</v>
      </c>
      <c r="U107" t="s">
        <v>60</v>
      </c>
      <c r="V107" t="s">
        <v>39</v>
      </c>
      <c r="W107" s="1">
        <v>45539</v>
      </c>
      <c r="X107" t="b">
        <v>0</v>
      </c>
      <c r="Y107" t="b">
        <v>0</v>
      </c>
      <c r="Z107" t="s">
        <v>40</v>
      </c>
      <c r="AA107" t="s">
        <v>53</v>
      </c>
      <c r="AB107">
        <v>14</v>
      </c>
    </row>
    <row r="108" spans="1:28" x14ac:dyDescent="0.25">
      <c r="A108" t="s">
        <v>304</v>
      </c>
      <c r="B108">
        <v>33</v>
      </c>
      <c r="C108" t="s">
        <v>29</v>
      </c>
      <c r="D108" t="s">
        <v>30</v>
      </c>
      <c r="E108" t="s">
        <v>69</v>
      </c>
      <c r="F108" t="s">
        <v>45</v>
      </c>
      <c r="G108" t="s">
        <v>44</v>
      </c>
      <c r="H108" t="s">
        <v>305</v>
      </c>
      <c r="I108" t="s">
        <v>101</v>
      </c>
      <c r="J108">
        <v>377.77</v>
      </c>
      <c r="K108">
        <v>9</v>
      </c>
      <c r="L108" t="s">
        <v>35</v>
      </c>
      <c r="M108">
        <v>4</v>
      </c>
      <c r="N108">
        <v>2</v>
      </c>
      <c r="O108">
        <v>1</v>
      </c>
      <c r="P108" t="s">
        <v>49</v>
      </c>
      <c r="Q108" t="s">
        <v>50</v>
      </c>
      <c r="R108">
        <v>1</v>
      </c>
      <c r="S108">
        <v>5</v>
      </c>
      <c r="T108" t="s">
        <v>49</v>
      </c>
      <c r="U108" t="s">
        <v>38</v>
      </c>
      <c r="V108" t="s">
        <v>39</v>
      </c>
      <c r="W108" s="1">
        <v>45530</v>
      </c>
      <c r="X108" t="b">
        <v>1</v>
      </c>
      <c r="Y108" t="b">
        <v>1</v>
      </c>
      <c r="Z108" t="s">
        <v>62</v>
      </c>
      <c r="AA108" t="s">
        <v>53</v>
      </c>
      <c r="AB108">
        <v>3</v>
      </c>
    </row>
    <row r="109" spans="1:28" x14ac:dyDescent="0.25">
      <c r="A109" t="s">
        <v>306</v>
      </c>
      <c r="B109">
        <v>46</v>
      </c>
      <c r="C109" t="s">
        <v>29</v>
      </c>
      <c r="D109" t="s">
        <v>30</v>
      </c>
      <c r="E109" t="s">
        <v>69</v>
      </c>
      <c r="F109" t="s">
        <v>45</v>
      </c>
      <c r="G109" t="s">
        <v>30</v>
      </c>
      <c r="H109" t="s">
        <v>307</v>
      </c>
      <c r="I109" t="s">
        <v>194</v>
      </c>
      <c r="J109">
        <v>163.41</v>
      </c>
      <c r="K109">
        <v>2</v>
      </c>
      <c r="L109" t="s">
        <v>48</v>
      </c>
      <c r="M109">
        <v>5</v>
      </c>
      <c r="N109">
        <v>5</v>
      </c>
      <c r="O109">
        <v>2</v>
      </c>
      <c r="P109" t="s">
        <v>59</v>
      </c>
      <c r="Q109" t="s">
        <v>50</v>
      </c>
      <c r="R109">
        <v>1</v>
      </c>
      <c r="S109">
        <v>8</v>
      </c>
      <c r="T109" t="s">
        <v>44</v>
      </c>
      <c r="U109" t="s">
        <v>79</v>
      </c>
      <c r="V109" t="s">
        <v>66</v>
      </c>
      <c r="W109" s="1">
        <v>45347</v>
      </c>
      <c r="X109" t="b">
        <v>1</v>
      </c>
      <c r="Y109" t="b">
        <v>1</v>
      </c>
      <c r="Z109" t="s">
        <v>40</v>
      </c>
      <c r="AA109" t="s">
        <v>67</v>
      </c>
      <c r="AB109">
        <v>4</v>
      </c>
    </row>
    <row r="110" spans="1:28" x14ac:dyDescent="0.25">
      <c r="A110" t="s">
        <v>308</v>
      </c>
      <c r="B110">
        <v>30</v>
      </c>
      <c r="C110" t="s">
        <v>29</v>
      </c>
      <c r="D110" t="s">
        <v>30</v>
      </c>
      <c r="E110" t="s">
        <v>76</v>
      </c>
      <c r="F110" t="s">
        <v>56</v>
      </c>
      <c r="G110" t="s">
        <v>30</v>
      </c>
      <c r="H110" t="s">
        <v>309</v>
      </c>
      <c r="I110" t="s">
        <v>107</v>
      </c>
      <c r="J110">
        <v>467.58</v>
      </c>
      <c r="K110">
        <v>10</v>
      </c>
      <c r="L110" t="s">
        <v>35</v>
      </c>
      <c r="M110">
        <v>1</v>
      </c>
      <c r="N110">
        <v>2</v>
      </c>
      <c r="O110">
        <v>0</v>
      </c>
      <c r="P110" t="s">
        <v>36</v>
      </c>
      <c r="Q110" t="s">
        <v>37</v>
      </c>
      <c r="R110">
        <v>1</v>
      </c>
      <c r="S110">
        <v>6</v>
      </c>
      <c r="T110" t="s">
        <v>59</v>
      </c>
      <c r="U110" t="s">
        <v>79</v>
      </c>
      <c r="V110" t="s">
        <v>51</v>
      </c>
      <c r="W110" s="1">
        <v>45397</v>
      </c>
      <c r="X110" t="b">
        <v>1</v>
      </c>
      <c r="Y110" t="b">
        <v>1</v>
      </c>
      <c r="Z110" t="s">
        <v>52</v>
      </c>
      <c r="AA110" t="s">
        <v>53</v>
      </c>
      <c r="AB110">
        <v>7</v>
      </c>
    </row>
    <row r="111" spans="1:28" x14ac:dyDescent="0.25">
      <c r="A111" t="s">
        <v>310</v>
      </c>
      <c r="B111">
        <v>39</v>
      </c>
      <c r="C111" t="s">
        <v>29</v>
      </c>
      <c r="D111" t="s">
        <v>30</v>
      </c>
      <c r="E111" t="s">
        <v>69</v>
      </c>
      <c r="F111" t="s">
        <v>32</v>
      </c>
      <c r="G111" t="s">
        <v>44</v>
      </c>
      <c r="H111" t="s">
        <v>311</v>
      </c>
      <c r="I111" t="s">
        <v>82</v>
      </c>
      <c r="J111">
        <v>247.51</v>
      </c>
      <c r="K111">
        <v>10</v>
      </c>
      <c r="L111" t="s">
        <v>35</v>
      </c>
      <c r="M111">
        <v>2</v>
      </c>
      <c r="N111">
        <v>1</v>
      </c>
      <c r="O111">
        <v>2</v>
      </c>
      <c r="P111" t="s">
        <v>59</v>
      </c>
      <c r="Q111" t="s">
        <v>37</v>
      </c>
      <c r="R111">
        <v>1</v>
      </c>
      <c r="S111">
        <v>8</v>
      </c>
      <c r="T111" t="s">
        <v>59</v>
      </c>
      <c r="U111" t="s">
        <v>38</v>
      </c>
      <c r="V111" t="s">
        <v>39</v>
      </c>
      <c r="W111" s="1">
        <v>45474</v>
      </c>
      <c r="X111" t="b">
        <v>1</v>
      </c>
      <c r="Y111" t="b">
        <v>0</v>
      </c>
      <c r="Z111" t="s">
        <v>62</v>
      </c>
      <c r="AA111" t="s">
        <v>53</v>
      </c>
      <c r="AB111">
        <v>2</v>
      </c>
    </row>
    <row r="112" spans="1:28" x14ac:dyDescent="0.25">
      <c r="A112" t="s">
        <v>312</v>
      </c>
      <c r="B112">
        <v>25</v>
      </c>
      <c r="C112" t="s">
        <v>29</v>
      </c>
      <c r="D112" t="s">
        <v>30</v>
      </c>
      <c r="E112" t="s">
        <v>55</v>
      </c>
      <c r="F112" t="s">
        <v>45</v>
      </c>
      <c r="G112" t="s">
        <v>44</v>
      </c>
      <c r="H112" t="s">
        <v>313</v>
      </c>
      <c r="I112" t="s">
        <v>58</v>
      </c>
      <c r="J112">
        <v>365.1</v>
      </c>
      <c r="K112">
        <v>3</v>
      </c>
      <c r="L112" t="s">
        <v>48</v>
      </c>
      <c r="M112">
        <v>2</v>
      </c>
      <c r="N112">
        <v>3</v>
      </c>
      <c r="O112">
        <v>0</v>
      </c>
      <c r="P112" t="s">
        <v>36</v>
      </c>
      <c r="Q112" t="s">
        <v>50</v>
      </c>
      <c r="R112">
        <v>1</v>
      </c>
      <c r="S112">
        <v>3</v>
      </c>
      <c r="T112" t="s">
        <v>44</v>
      </c>
      <c r="U112" t="s">
        <v>79</v>
      </c>
      <c r="V112" t="s">
        <v>61</v>
      </c>
      <c r="W112" s="1">
        <v>45534</v>
      </c>
      <c r="X112" t="b">
        <v>0</v>
      </c>
      <c r="Y112" t="b">
        <v>1</v>
      </c>
      <c r="Z112" t="s">
        <v>52</v>
      </c>
      <c r="AA112" t="s">
        <v>41</v>
      </c>
      <c r="AB112">
        <v>1</v>
      </c>
    </row>
    <row r="113" spans="1:28" x14ac:dyDescent="0.25">
      <c r="A113" t="s">
        <v>314</v>
      </c>
      <c r="B113">
        <v>38</v>
      </c>
      <c r="C113" t="s">
        <v>29</v>
      </c>
      <c r="D113" t="s">
        <v>44</v>
      </c>
      <c r="E113" t="s">
        <v>55</v>
      </c>
      <c r="F113" t="s">
        <v>56</v>
      </c>
      <c r="G113" t="s">
        <v>30</v>
      </c>
      <c r="H113" t="s">
        <v>315</v>
      </c>
      <c r="I113" t="s">
        <v>104</v>
      </c>
      <c r="J113">
        <v>485.42</v>
      </c>
      <c r="K113">
        <v>5</v>
      </c>
      <c r="L113" t="s">
        <v>78</v>
      </c>
      <c r="M113">
        <v>1</v>
      </c>
      <c r="N113">
        <v>2</v>
      </c>
      <c r="O113">
        <v>2</v>
      </c>
      <c r="P113" t="s">
        <v>44</v>
      </c>
      <c r="Q113" t="s">
        <v>37</v>
      </c>
      <c r="R113">
        <v>1</v>
      </c>
      <c r="S113">
        <v>6</v>
      </c>
      <c r="T113" t="s">
        <v>44</v>
      </c>
      <c r="U113" t="s">
        <v>79</v>
      </c>
      <c r="V113" t="s">
        <v>66</v>
      </c>
      <c r="W113" s="1">
        <v>45609</v>
      </c>
      <c r="X113" t="b">
        <v>1</v>
      </c>
      <c r="Y113" t="b">
        <v>0</v>
      </c>
      <c r="Z113" t="s">
        <v>52</v>
      </c>
      <c r="AA113" t="s">
        <v>41</v>
      </c>
      <c r="AB113">
        <v>4</v>
      </c>
    </row>
    <row r="114" spans="1:28" x14ac:dyDescent="0.25">
      <c r="A114" t="s">
        <v>316</v>
      </c>
      <c r="B114">
        <v>41</v>
      </c>
      <c r="C114" t="s">
        <v>29</v>
      </c>
      <c r="D114" t="s">
        <v>30</v>
      </c>
      <c r="E114" t="s">
        <v>69</v>
      </c>
      <c r="F114" t="s">
        <v>32</v>
      </c>
      <c r="G114" t="s">
        <v>44</v>
      </c>
      <c r="H114" t="s">
        <v>317</v>
      </c>
      <c r="I114" t="s">
        <v>104</v>
      </c>
      <c r="J114">
        <v>250.54</v>
      </c>
      <c r="K114">
        <v>4</v>
      </c>
      <c r="L114" t="s">
        <v>48</v>
      </c>
      <c r="M114">
        <v>3</v>
      </c>
      <c r="N114">
        <v>3</v>
      </c>
      <c r="O114">
        <v>1</v>
      </c>
      <c r="P114" t="s">
        <v>44</v>
      </c>
      <c r="Q114" t="s">
        <v>50</v>
      </c>
      <c r="R114">
        <v>2</v>
      </c>
      <c r="S114">
        <v>10</v>
      </c>
      <c r="T114" t="s">
        <v>36</v>
      </c>
      <c r="U114" t="s">
        <v>79</v>
      </c>
      <c r="V114" t="s">
        <v>39</v>
      </c>
      <c r="W114" s="1">
        <v>45653</v>
      </c>
      <c r="X114" t="b">
        <v>0</v>
      </c>
      <c r="Y114" t="b">
        <v>0</v>
      </c>
      <c r="Z114" t="s">
        <v>52</v>
      </c>
      <c r="AA114" t="s">
        <v>41</v>
      </c>
      <c r="AB114">
        <v>3</v>
      </c>
    </row>
    <row r="115" spans="1:28" x14ac:dyDescent="0.25">
      <c r="A115" t="s">
        <v>318</v>
      </c>
      <c r="B115">
        <v>49</v>
      </c>
      <c r="C115" t="s">
        <v>29</v>
      </c>
      <c r="D115" t="s">
        <v>30</v>
      </c>
      <c r="E115" t="s">
        <v>76</v>
      </c>
      <c r="F115" t="s">
        <v>45</v>
      </c>
      <c r="G115" t="s">
        <v>44</v>
      </c>
      <c r="H115" t="s">
        <v>144</v>
      </c>
      <c r="I115" t="s">
        <v>246</v>
      </c>
      <c r="J115">
        <v>163.13999999999999</v>
      </c>
      <c r="K115">
        <v>5</v>
      </c>
      <c r="L115" t="s">
        <v>35</v>
      </c>
      <c r="M115">
        <v>5</v>
      </c>
      <c r="N115">
        <v>4</v>
      </c>
      <c r="O115">
        <v>0</v>
      </c>
      <c r="P115" t="s">
        <v>59</v>
      </c>
      <c r="Q115" t="s">
        <v>37</v>
      </c>
      <c r="R115">
        <v>1</v>
      </c>
      <c r="S115">
        <v>2</v>
      </c>
      <c r="T115" t="s">
        <v>36</v>
      </c>
      <c r="U115" t="s">
        <v>79</v>
      </c>
      <c r="V115" t="s">
        <v>61</v>
      </c>
      <c r="W115" s="1">
        <v>45511</v>
      </c>
      <c r="X115" t="b">
        <v>1</v>
      </c>
      <c r="Y115" t="b">
        <v>1</v>
      </c>
      <c r="Z115" t="s">
        <v>74</v>
      </c>
      <c r="AA115" t="s">
        <v>41</v>
      </c>
      <c r="AB115">
        <v>1</v>
      </c>
    </row>
    <row r="116" spans="1:28" x14ac:dyDescent="0.25">
      <c r="A116" t="s">
        <v>319</v>
      </c>
      <c r="B116">
        <v>21</v>
      </c>
      <c r="C116" t="s">
        <v>43</v>
      </c>
      <c r="D116" t="s">
        <v>44</v>
      </c>
      <c r="E116" t="s">
        <v>76</v>
      </c>
      <c r="F116" t="s">
        <v>32</v>
      </c>
      <c r="G116" t="s">
        <v>30</v>
      </c>
      <c r="H116" t="s">
        <v>320</v>
      </c>
      <c r="I116" t="s">
        <v>34</v>
      </c>
      <c r="J116">
        <v>162.31</v>
      </c>
      <c r="K116">
        <v>8</v>
      </c>
      <c r="L116" t="s">
        <v>48</v>
      </c>
      <c r="M116">
        <v>5</v>
      </c>
      <c r="N116">
        <v>1</v>
      </c>
      <c r="O116">
        <v>1</v>
      </c>
      <c r="P116" t="s">
        <v>44</v>
      </c>
      <c r="Q116" t="s">
        <v>85</v>
      </c>
      <c r="R116">
        <v>1</v>
      </c>
      <c r="S116">
        <v>2</v>
      </c>
      <c r="T116" t="s">
        <v>49</v>
      </c>
      <c r="U116" t="s">
        <v>38</v>
      </c>
      <c r="V116" t="s">
        <v>39</v>
      </c>
      <c r="W116" s="1">
        <v>45570</v>
      </c>
      <c r="X116" t="b">
        <v>0</v>
      </c>
      <c r="Y116" t="b">
        <v>0</v>
      </c>
      <c r="Z116" t="s">
        <v>40</v>
      </c>
      <c r="AA116" t="s">
        <v>41</v>
      </c>
      <c r="AB116">
        <v>11</v>
      </c>
    </row>
    <row r="117" spans="1:28" x14ac:dyDescent="0.25">
      <c r="A117" t="s">
        <v>321</v>
      </c>
      <c r="B117">
        <v>37</v>
      </c>
      <c r="C117" t="s">
        <v>43</v>
      </c>
      <c r="D117" t="s">
        <v>30</v>
      </c>
      <c r="E117" t="s">
        <v>69</v>
      </c>
      <c r="F117" t="s">
        <v>56</v>
      </c>
      <c r="G117" t="s">
        <v>44</v>
      </c>
      <c r="H117" t="s">
        <v>322</v>
      </c>
      <c r="I117" t="s">
        <v>58</v>
      </c>
      <c r="J117">
        <v>328.21</v>
      </c>
      <c r="K117">
        <v>7</v>
      </c>
      <c r="L117" t="s">
        <v>35</v>
      </c>
      <c r="M117">
        <v>5</v>
      </c>
      <c r="N117">
        <v>5</v>
      </c>
      <c r="O117">
        <v>2</v>
      </c>
      <c r="P117" t="s">
        <v>59</v>
      </c>
      <c r="Q117" t="s">
        <v>50</v>
      </c>
      <c r="R117">
        <v>2</v>
      </c>
      <c r="S117">
        <v>2</v>
      </c>
      <c r="T117" t="s">
        <v>59</v>
      </c>
      <c r="U117" t="s">
        <v>60</v>
      </c>
      <c r="V117" t="s">
        <v>39</v>
      </c>
      <c r="W117" s="1">
        <v>45336</v>
      </c>
      <c r="X117" t="b">
        <v>0</v>
      </c>
      <c r="Y117" t="b">
        <v>0</v>
      </c>
      <c r="Z117" t="s">
        <v>40</v>
      </c>
      <c r="AA117" t="s">
        <v>41</v>
      </c>
      <c r="AB117">
        <v>12</v>
      </c>
    </row>
    <row r="118" spans="1:28" x14ac:dyDescent="0.25">
      <c r="A118" t="s">
        <v>323</v>
      </c>
      <c r="B118">
        <v>30</v>
      </c>
      <c r="C118" t="s">
        <v>29</v>
      </c>
      <c r="D118" t="s">
        <v>44</v>
      </c>
      <c r="E118" t="s">
        <v>31</v>
      </c>
      <c r="F118" t="s">
        <v>56</v>
      </c>
      <c r="G118" t="s">
        <v>44</v>
      </c>
      <c r="H118" t="s">
        <v>324</v>
      </c>
      <c r="I118" t="s">
        <v>90</v>
      </c>
      <c r="J118">
        <v>268.58999999999997</v>
      </c>
      <c r="K118">
        <v>4</v>
      </c>
      <c r="L118" t="s">
        <v>78</v>
      </c>
      <c r="M118">
        <v>3</v>
      </c>
      <c r="N118">
        <v>3</v>
      </c>
      <c r="O118">
        <v>1</v>
      </c>
      <c r="P118" t="s">
        <v>44</v>
      </c>
      <c r="Q118" t="s">
        <v>85</v>
      </c>
      <c r="R118">
        <v>1</v>
      </c>
      <c r="S118">
        <v>1</v>
      </c>
      <c r="T118" t="s">
        <v>49</v>
      </c>
      <c r="U118" t="s">
        <v>79</v>
      </c>
      <c r="V118" t="s">
        <v>61</v>
      </c>
      <c r="W118" s="1">
        <v>45387</v>
      </c>
      <c r="X118" t="b">
        <v>1</v>
      </c>
      <c r="Y118" t="b">
        <v>1</v>
      </c>
      <c r="Z118" t="s">
        <v>40</v>
      </c>
      <c r="AA118" t="s">
        <v>53</v>
      </c>
      <c r="AB118">
        <v>3</v>
      </c>
    </row>
    <row r="119" spans="1:28" x14ac:dyDescent="0.25">
      <c r="A119" t="s">
        <v>325</v>
      </c>
      <c r="B119">
        <v>18</v>
      </c>
      <c r="C119" t="s">
        <v>29</v>
      </c>
      <c r="D119" t="s">
        <v>44</v>
      </c>
      <c r="E119" t="s">
        <v>76</v>
      </c>
      <c r="F119" t="s">
        <v>45</v>
      </c>
      <c r="G119" t="s">
        <v>44</v>
      </c>
      <c r="H119" t="s">
        <v>326</v>
      </c>
      <c r="I119" t="s">
        <v>117</v>
      </c>
      <c r="J119">
        <v>257.37</v>
      </c>
      <c r="K119">
        <v>7</v>
      </c>
      <c r="L119" t="s">
        <v>78</v>
      </c>
      <c r="M119">
        <v>3</v>
      </c>
      <c r="N119">
        <v>3</v>
      </c>
      <c r="O119">
        <v>0</v>
      </c>
      <c r="P119" t="s">
        <v>49</v>
      </c>
      <c r="Q119" t="s">
        <v>85</v>
      </c>
      <c r="R119">
        <v>2</v>
      </c>
      <c r="S119">
        <v>5</v>
      </c>
      <c r="T119" t="s">
        <v>49</v>
      </c>
      <c r="U119" t="s">
        <v>60</v>
      </c>
      <c r="V119" t="s">
        <v>51</v>
      </c>
      <c r="W119" s="1">
        <v>45323</v>
      </c>
      <c r="X119" t="b">
        <v>1</v>
      </c>
      <c r="Y119" t="b">
        <v>0</v>
      </c>
      <c r="Z119" t="s">
        <v>52</v>
      </c>
      <c r="AA119" t="s">
        <v>67</v>
      </c>
      <c r="AB119">
        <v>13</v>
      </c>
    </row>
    <row r="120" spans="1:28" x14ac:dyDescent="0.25">
      <c r="A120" t="s">
        <v>327</v>
      </c>
      <c r="B120">
        <v>41</v>
      </c>
      <c r="C120" t="s">
        <v>29</v>
      </c>
      <c r="D120" t="s">
        <v>30</v>
      </c>
      <c r="E120" t="s">
        <v>55</v>
      </c>
      <c r="F120" t="s">
        <v>45</v>
      </c>
      <c r="G120" t="s">
        <v>44</v>
      </c>
      <c r="H120" t="s">
        <v>328</v>
      </c>
      <c r="I120" t="s">
        <v>58</v>
      </c>
      <c r="J120">
        <v>205.49</v>
      </c>
      <c r="K120">
        <v>4</v>
      </c>
      <c r="L120" t="s">
        <v>48</v>
      </c>
      <c r="M120">
        <v>5</v>
      </c>
      <c r="N120">
        <v>3</v>
      </c>
      <c r="O120">
        <v>2</v>
      </c>
      <c r="P120" t="s">
        <v>59</v>
      </c>
      <c r="Q120" t="s">
        <v>37</v>
      </c>
      <c r="R120">
        <v>2</v>
      </c>
      <c r="S120">
        <v>2</v>
      </c>
      <c r="T120" t="s">
        <v>44</v>
      </c>
      <c r="U120" t="s">
        <v>38</v>
      </c>
      <c r="V120" t="s">
        <v>86</v>
      </c>
      <c r="W120" s="1">
        <v>45605</v>
      </c>
      <c r="X120" t="b">
        <v>1</v>
      </c>
      <c r="Y120" t="b">
        <v>0</v>
      </c>
      <c r="Z120" t="s">
        <v>40</v>
      </c>
      <c r="AA120" t="s">
        <v>67</v>
      </c>
      <c r="AB120">
        <v>11</v>
      </c>
    </row>
    <row r="121" spans="1:28" x14ac:dyDescent="0.25">
      <c r="A121" t="s">
        <v>329</v>
      </c>
      <c r="B121">
        <v>40</v>
      </c>
      <c r="C121" t="s">
        <v>43</v>
      </c>
      <c r="D121" t="s">
        <v>44</v>
      </c>
      <c r="E121" t="s">
        <v>76</v>
      </c>
      <c r="F121" t="s">
        <v>56</v>
      </c>
      <c r="G121" t="s">
        <v>44</v>
      </c>
      <c r="H121" t="s">
        <v>330</v>
      </c>
      <c r="I121" t="s">
        <v>93</v>
      </c>
      <c r="J121">
        <v>407.91</v>
      </c>
      <c r="K121">
        <v>7</v>
      </c>
      <c r="L121" t="s">
        <v>48</v>
      </c>
      <c r="M121">
        <v>2</v>
      </c>
      <c r="N121">
        <v>5</v>
      </c>
      <c r="O121">
        <v>0</v>
      </c>
      <c r="P121" t="s">
        <v>59</v>
      </c>
      <c r="Q121" t="s">
        <v>50</v>
      </c>
      <c r="R121">
        <v>0</v>
      </c>
      <c r="S121">
        <v>5</v>
      </c>
      <c r="T121" t="s">
        <v>59</v>
      </c>
      <c r="U121" t="s">
        <v>38</v>
      </c>
      <c r="V121" t="s">
        <v>66</v>
      </c>
      <c r="W121" s="1">
        <v>45460</v>
      </c>
      <c r="X121" t="b">
        <v>1</v>
      </c>
      <c r="Y121" t="b">
        <v>1</v>
      </c>
      <c r="Z121" t="s">
        <v>40</v>
      </c>
      <c r="AA121" t="s">
        <v>53</v>
      </c>
      <c r="AB121">
        <v>14</v>
      </c>
    </row>
    <row r="122" spans="1:28" x14ac:dyDescent="0.25">
      <c r="A122" t="s">
        <v>331</v>
      </c>
      <c r="B122">
        <v>33</v>
      </c>
      <c r="C122" t="s">
        <v>29</v>
      </c>
      <c r="D122" t="s">
        <v>44</v>
      </c>
      <c r="E122" t="s">
        <v>76</v>
      </c>
      <c r="F122" t="s">
        <v>32</v>
      </c>
      <c r="G122" t="s">
        <v>44</v>
      </c>
      <c r="H122" t="s">
        <v>332</v>
      </c>
      <c r="I122" t="s">
        <v>47</v>
      </c>
      <c r="J122">
        <v>254.73</v>
      </c>
      <c r="K122">
        <v>6</v>
      </c>
      <c r="L122" t="s">
        <v>78</v>
      </c>
      <c r="M122">
        <v>4</v>
      </c>
      <c r="N122">
        <v>3</v>
      </c>
      <c r="O122">
        <v>0</v>
      </c>
      <c r="P122" t="s">
        <v>49</v>
      </c>
      <c r="Q122" t="s">
        <v>85</v>
      </c>
      <c r="R122">
        <v>0</v>
      </c>
      <c r="S122">
        <v>3</v>
      </c>
      <c r="T122" t="s">
        <v>59</v>
      </c>
      <c r="U122" t="s">
        <v>60</v>
      </c>
      <c r="V122" t="s">
        <v>66</v>
      </c>
      <c r="W122" s="1">
        <v>45444</v>
      </c>
      <c r="X122" t="b">
        <v>1</v>
      </c>
      <c r="Y122" t="b">
        <v>1</v>
      </c>
      <c r="Z122" t="s">
        <v>62</v>
      </c>
      <c r="AA122" t="s">
        <v>67</v>
      </c>
      <c r="AB122">
        <v>3</v>
      </c>
    </row>
    <row r="123" spans="1:28" x14ac:dyDescent="0.25">
      <c r="A123" t="s">
        <v>333</v>
      </c>
      <c r="B123">
        <v>30</v>
      </c>
      <c r="C123" t="s">
        <v>29</v>
      </c>
      <c r="D123" t="s">
        <v>30</v>
      </c>
      <c r="E123" t="s">
        <v>76</v>
      </c>
      <c r="F123" t="s">
        <v>32</v>
      </c>
      <c r="G123" t="s">
        <v>44</v>
      </c>
      <c r="H123" t="s">
        <v>334</v>
      </c>
      <c r="I123" t="s">
        <v>183</v>
      </c>
      <c r="J123">
        <v>397.78</v>
      </c>
      <c r="K123">
        <v>12</v>
      </c>
      <c r="L123" t="s">
        <v>78</v>
      </c>
      <c r="M123">
        <v>3</v>
      </c>
      <c r="N123">
        <v>3</v>
      </c>
      <c r="O123">
        <v>1</v>
      </c>
      <c r="P123" t="s">
        <v>49</v>
      </c>
      <c r="Q123" t="s">
        <v>50</v>
      </c>
      <c r="R123">
        <v>2</v>
      </c>
      <c r="S123">
        <v>7</v>
      </c>
      <c r="T123" t="s">
        <v>49</v>
      </c>
      <c r="U123" t="s">
        <v>60</v>
      </c>
      <c r="V123" t="s">
        <v>51</v>
      </c>
      <c r="W123" s="1">
        <v>45559</v>
      </c>
      <c r="X123" t="b">
        <v>0</v>
      </c>
      <c r="Y123" t="b">
        <v>1</v>
      </c>
      <c r="Z123" t="s">
        <v>62</v>
      </c>
      <c r="AA123" t="s">
        <v>41</v>
      </c>
      <c r="AB123">
        <v>11</v>
      </c>
    </row>
    <row r="124" spans="1:28" x14ac:dyDescent="0.25">
      <c r="A124" t="s">
        <v>335</v>
      </c>
      <c r="B124">
        <v>33</v>
      </c>
      <c r="C124" t="s">
        <v>29</v>
      </c>
      <c r="D124" t="s">
        <v>44</v>
      </c>
      <c r="E124" t="s">
        <v>31</v>
      </c>
      <c r="F124" t="s">
        <v>32</v>
      </c>
      <c r="G124" t="s">
        <v>44</v>
      </c>
      <c r="H124" t="s">
        <v>336</v>
      </c>
      <c r="I124" t="s">
        <v>117</v>
      </c>
      <c r="J124">
        <v>305.29000000000002</v>
      </c>
      <c r="K124">
        <v>3</v>
      </c>
      <c r="L124" t="s">
        <v>78</v>
      </c>
      <c r="M124">
        <v>2</v>
      </c>
      <c r="N124">
        <v>3</v>
      </c>
      <c r="O124">
        <v>1</v>
      </c>
      <c r="P124" t="s">
        <v>49</v>
      </c>
      <c r="Q124" t="s">
        <v>85</v>
      </c>
      <c r="R124">
        <v>1</v>
      </c>
      <c r="S124">
        <v>8</v>
      </c>
      <c r="T124" t="s">
        <v>49</v>
      </c>
      <c r="U124" t="s">
        <v>79</v>
      </c>
      <c r="V124" t="s">
        <v>61</v>
      </c>
      <c r="W124" s="1">
        <v>45540</v>
      </c>
      <c r="X124" t="b">
        <v>1</v>
      </c>
      <c r="Y124" t="b">
        <v>1</v>
      </c>
      <c r="Z124" t="s">
        <v>62</v>
      </c>
      <c r="AA124" t="s">
        <v>53</v>
      </c>
      <c r="AB124">
        <v>10</v>
      </c>
    </row>
    <row r="125" spans="1:28" x14ac:dyDescent="0.25">
      <c r="A125" t="s">
        <v>337</v>
      </c>
      <c r="B125">
        <v>45</v>
      </c>
      <c r="C125" t="s">
        <v>43</v>
      </c>
      <c r="D125" t="s">
        <v>30</v>
      </c>
      <c r="E125" t="s">
        <v>76</v>
      </c>
      <c r="F125" t="s">
        <v>45</v>
      </c>
      <c r="G125" t="s">
        <v>44</v>
      </c>
      <c r="H125" t="s">
        <v>338</v>
      </c>
      <c r="I125" t="s">
        <v>47</v>
      </c>
      <c r="J125">
        <v>257.86</v>
      </c>
      <c r="K125">
        <v>6</v>
      </c>
      <c r="L125" t="s">
        <v>78</v>
      </c>
      <c r="M125">
        <v>2</v>
      </c>
      <c r="N125">
        <v>2</v>
      </c>
      <c r="O125">
        <v>0</v>
      </c>
      <c r="P125" t="s">
        <v>36</v>
      </c>
      <c r="Q125" t="s">
        <v>37</v>
      </c>
      <c r="R125">
        <v>0</v>
      </c>
      <c r="S125">
        <v>4</v>
      </c>
      <c r="T125" t="s">
        <v>44</v>
      </c>
      <c r="U125" t="s">
        <v>38</v>
      </c>
      <c r="V125" t="s">
        <v>51</v>
      </c>
      <c r="W125" s="1">
        <v>45455</v>
      </c>
      <c r="X125" t="b">
        <v>1</v>
      </c>
      <c r="Y125" t="b">
        <v>1</v>
      </c>
      <c r="Z125" t="s">
        <v>40</v>
      </c>
      <c r="AA125" t="s">
        <v>67</v>
      </c>
      <c r="AB125">
        <v>1</v>
      </c>
    </row>
    <row r="126" spans="1:28" x14ac:dyDescent="0.25">
      <c r="A126" t="s">
        <v>339</v>
      </c>
      <c r="B126">
        <v>42</v>
      </c>
      <c r="C126" t="s">
        <v>29</v>
      </c>
      <c r="D126" t="s">
        <v>44</v>
      </c>
      <c r="E126" t="s">
        <v>55</v>
      </c>
      <c r="F126" t="s">
        <v>45</v>
      </c>
      <c r="G126" t="s">
        <v>30</v>
      </c>
      <c r="H126" t="s">
        <v>340</v>
      </c>
      <c r="I126" t="s">
        <v>246</v>
      </c>
      <c r="J126">
        <v>393.45</v>
      </c>
      <c r="K126">
        <v>12</v>
      </c>
      <c r="L126" t="s">
        <v>48</v>
      </c>
      <c r="M126">
        <v>3</v>
      </c>
      <c r="N126">
        <v>1</v>
      </c>
      <c r="O126">
        <v>0</v>
      </c>
      <c r="P126" t="s">
        <v>59</v>
      </c>
      <c r="Q126" t="s">
        <v>37</v>
      </c>
      <c r="R126">
        <v>2</v>
      </c>
      <c r="S126">
        <v>10</v>
      </c>
      <c r="T126" t="s">
        <v>49</v>
      </c>
      <c r="U126" t="s">
        <v>79</v>
      </c>
      <c r="V126" t="s">
        <v>39</v>
      </c>
      <c r="W126" s="1">
        <v>45571</v>
      </c>
      <c r="X126" t="b">
        <v>0</v>
      </c>
      <c r="Y126" t="b">
        <v>0</v>
      </c>
      <c r="Z126" t="s">
        <v>40</v>
      </c>
      <c r="AA126" t="s">
        <v>67</v>
      </c>
      <c r="AB126">
        <v>12</v>
      </c>
    </row>
    <row r="127" spans="1:28" x14ac:dyDescent="0.25">
      <c r="A127" t="s">
        <v>341</v>
      </c>
      <c r="B127">
        <v>30</v>
      </c>
      <c r="C127" t="s">
        <v>43</v>
      </c>
      <c r="D127" t="s">
        <v>44</v>
      </c>
      <c r="E127" t="s">
        <v>31</v>
      </c>
      <c r="F127" t="s">
        <v>32</v>
      </c>
      <c r="G127" t="s">
        <v>30</v>
      </c>
      <c r="H127" t="s">
        <v>342</v>
      </c>
      <c r="I127" t="s">
        <v>142</v>
      </c>
      <c r="J127">
        <v>58.49</v>
      </c>
      <c r="K127">
        <v>6</v>
      </c>
      <c r="L127" t="s">
        <v>78</v>
      </c>
      <c r="M127">
        <v>2</v>
      </c>
      <c r="N127">
        <v>2</v>
      </c>
      <c r="O127">
        <v>0</v>
      </c>
      <c r="P127" t="s">
        <v>49</v>
      </c>
      <c r="Q127" t="s">
        <v>85</v>
      </c>
      <c r="R127">
        <v>0</v>
      </c>
      <c r="S127">
        <v>8</v>
      </c>
      <c r="T127" t="s">
        <v>44</v>
      </c>
      <c r="U127" t="s">
        <v>38</v>
      </c>
      <c r="V127" t="s">
        <v>66</v>
      </c>
      <c r="W127" s="1">
        <v>45502</v>
      </c>
      <c r="X127" t="b">
        <v>1</v>
      </c>
      <c r="Y127" t="b">
        <v>1</v>
      </c>
      <c r="Z127" t="s">
        <v>74</v>
      </c>
      <c r="AA127" t="s">
        <v>67</v>
      </c>
      <c r="AB127">
        <v>7</v>
      </c>
    </row>
    <row r="128" spans="1:28" x14ac:dyDescent="0.25">
      <c r="A128" t="s">
        <v>343</v>
      </c>
      <c r="B128">
        <v>42</v>
      </c>
      <c r="C128" t="s">
        <v>43</v>
      </c>
      <c r="D128" t="s">
        <v>30</v>
      </c>
      <c r="E128" t="s">
        <v>55</v>
      </c>
      <c r="F128" t="s">
        <v>45</v>
      </c>
      <c r="G128" t="s">
        <v>30</v>
      </c>
      <c r="H128" t="s">
        <v>344</v>
      </c>
      <c r="I128" t="s">
        <v>188</v>
      </c>
      <c r="J128">
        <v>226.48</v>
      </c>
      <c r="K128">
        <v>11</v>
      </c>
      <c r="L128" t="s">
        <v>48</v>
      </c>
      <c r="M128">
        <v>5</v>
      </c>
      <c r="N128">
        <v>3</v>
      </c>
      <c r="O128">
        <v>2</v>
      </c>
      <c r="P128" t="s">
        <v>36</v>
      </c>
      <c r="Q128" t="s">
        <v>50</v>
      </c>
      <c r="R128">
        <v>2</v>
      </c>
      <c r="S128">
        <v>7</v>
      </c>
      <c r="T128" t="s">
        <v>44</v>
      </c>
      <c r="U128" t="s">
        <v>38</v>
      </c>
      <c r="V128" t="s">
        <v>61</v>
      </c>
      <c r="W128" s="1">
        <v>45583</v>
      </c>
      <c r="X128" t="b">
        <v>1</v>
      </c>
      <c r="Y128" t="b">
        <v>0</v>
      </c>
      <c r="Z128" t="s">
        <v>40</v>
      </c>
      <c r="AA128" t="s">
        <v>67</v>
      </c>
      <c r="AB128">
        <v>11</v>
      </c>
    </row>
    <row r="129" spans="1:28" x14ac:dyDescent="0.25">
      <c r="A129" t="s">
        <v>345</v>
      </c>
      <c r="B129">
        <v>26</v>
      </c>
      <c r="C129" t="s">
        <v>29</v>
      </c>
      <c r="D129" t="s">
        <v>44</v>
      </c>
      <c r="E129" t="s">
        <v>55</v>
      </c>
      <c r="F129" t="s">
        <v>56</v>
      </c>
      <c r="G129" t="s">
        <v>30</v>
      </c>
      <c r="H129" t="s">
        <v>346</v>
      </c>
      <c r="I129" t="s">
        <v>104</v>
      </c>
      <c r="J129">
        <v>469.22</v>
      </c>
      <c r="K129">
        <v>6</v>
      </c>
      <c r="L129" t="s">
        <v>48</v>
      </c>
      <c r="M129">
        <v>1</v>
      </c>
      <c r="N129">
        <v>1</v>
      </c>
      <c r="O129">
        <v>1</v>
      </c>
      <c r="P129" t="s">
        <v>44</v>
      </c>
      <c r="Q129" t="s">
        <v>50</v>
      </c>
      <c r="R129">
        <v>0</v>
      </c>
      <c r="S129">
        <v>1</v>
      </c>
      <c r="T129" t="s">
        <v>59</v>
      </c>
      <c r="U129" t="s">
        <v>38</v>
      </c>
      <c r="V129" t="s">
        <v>39</v>
      </c>
      <c r="W129" s="1">
        <v>45511</v>
      </c>
      <c r="X129" t="b">
        <v>0</v>
      </c>
      <c r="Y129" t="b">
        <v>0</v>
      </c>
      <c r="Z129" t="s">
        <v>52</v>
      </c>
      <c r="AA129" t="s">
        <v>41</v>
      </c>
      <c r="AB129">
        <v>7</v>
      </c>
    </row>
    <row r="130" spans="1:28" x14ac:dyDescent="0.25">
      <c r="A130" t="s">
        <v>347</v>
      </c>
      <c r="B130">
        <v>42</v>
      </c>
      <c r="C130" t="s">
        <v>29</v>
      </c>
      <c r="D130" t="s">
        <v>44</v>
      </c>
      <c r="E130" t="s">
        <v>76</v>
      </c>
      <c r="F130" t="s">
        <v>45</v>
      </c>
      <c r="G130" t="s">
        <v>44</v>
      </c>
      <c r="H130" t="s">
        <v>348</v>
      </c>
      <c r="I130" t="s">
        <v>246</v>
      </c>
      <c r="J130">
        <v>335.32</v>
      </c>
      <c r="K130">
        <v>6</v>
      </c>
      <c r="L130" t="s">
        <v>35</v>
      </c>
      <c r="M130">
        <v>3</v>
      </c>
      <c r="N130">
        <v>3</v>
      </c>
      <c r="O130">
        <v>1</v>
      </c>
      <c r="P130" t="s">
        <v>36</v>
      </c>
      <c r="Q130" t="s">
        <v>50</v>
      </c>
      <c r="R130">
        <v>0</v>
      </c>
      <c r="S130">
        <v>1</v>
      </c>
      <c r="T130" t="s">
        <v>59</v>
      </c>
      <c r="U130" t="s">
        <v>79</v>
      </c>
      <c r="V130" t="s">
        <v>66</v>
      </c>
      <c r="W130" s="1">
        <v>45516</v>
      </c>
      <c r="X130" t="b">
        <v>1</v>
      </c>
      <c r="Y130" t="b">
        <v>0</v>
      </c>
      <c r="Z130" t="s">
        <v>74</v>
      </c>
      <c r="AA130" t="s">
        <v>41</v>
      </c>
      <c r="AB130">
        <v>10</v>
      </c>
    </row>
    <row r="131" spans="1:28" x14ac:dyDescent="0.25">
      <c r="A131" t="s">
        <v>349</v>
      </c>
      <c r="B131">
        <v>31</v>
      </c>
      <c r="C131" t="s">
        <v>43</v>
      </c>
      <c r="D131" t="s">
        <v>44</v>
      </c>
      <c r="E131" t="s">
        <v>76</v>
      </c>
      <c r="F131" t="s">
        <v>45</v>
      </c>
      <c r="G131" t="s">
        <v>30</v>
      </c>
      <c r="H131" t="s">
        <v>350</v>
      </c>
      <c r="I131" t="s">
        <v>101</v>
      </c>
      <c r="J131">
        <v>184.74</v>
      </c>
      <c r="K131">
        <v>5</v>
      </c>
      <c r="L131" t="s">
        <v>48</v>
      </c>
      <c r="M131">
        <v>4</v>
      </c>
      <c r="N131">
        <v>4</v>
      </c>
      <c r="O131">
        <v>0</v>
      </c>
      <c r="P131" t="s">
        <v>49</v>
      </c>
      <c r="Q131" t="s">
        <v>85</v>
      </c>
      <c r="R131">
        <v>1</v>
      </c>
      <c r="S131">
        <v>5</v>
      </c>
      <c r="T131" t="s">
        <v>44</v>
      </c>
      <c r="U131" t="s">
        <v>38</v>
      </c>
      <c r="V131" t="s">
        <v>61</v>
      </c>
      <c r="W131" s="1">
        <v>45623</v>
      </c>
      <c r="X131" t="b">
        <v>0</v>
      </c>
      <c r="Y131" t="b">
        <v>1</v>
      </c>
      <c r="Z131" t="s">
        <v>62</v>
      </c>
      <c r="AA131" t="s">
        <v>41</v>
      </c>
      <c r="AB131">
        <v>10</v>
      </c>
    </row>
    <row r="132" spans="1:28" x14ac:dyDescent="0.25">
      <c r="A132" t="s">
        <v>351</v>
      </c>
      <c r="B132">
        <v>37</v>
      </c>
      <c r="C132" t="s">
        <v>352</v>
      </c>
      <c r="D132" t="s">
        <v>44</v>
      </c>
      <c r="E132" t="s">
        <v>76</v>
      </c>
      <c r="F132" t="s">
        <v>32</v>
      </c>
      <c r="G132" t="s">
        <v>30</v>
      </c>
      <c r="H132" t="s">
        <v>353</v>
      </c>
      <c r="I132" t="s">
        <v>194</v>
      </c>
      <c r="J132">
        <v>442.18</v>
      </c>
      <c r="K132">
        <v>5</v>
      </c>
      <c r="L132" t="s">
        <v>48</v>
      </c>
      <c r="M132">
        <v>4</v>
      </c>
      <c r="N132">
        <v>3</v>
      </c>
      <c r="O132">
        <v>1</v>
      </c>
      <c r="P132" t="s">
        <v>36</v>
      </c>
      <c r="Q132" t="s">
        <v>85</v>
      </c>
      <c r="R132">
        <v>2</v>
      </c>
      <c r="S132">
        <v>10</v>
      </c>
      <c r="T132" t="s">
        <v>44</v>
      </c>
      <c r="U132" t="s">
        <v>60</v>
      </c>
      <c r="V132" t="s">
        <v>51</v>
      </c>
      <c r="W132" s="1">
        <v>45316</v>
      </c>
      <c r="X132" t="b">
        <v>0</v>
      </c>
      <c r="Y132" t="b">
        <v>0</v>
      </c>
      <c r="Z132" t="s">
        <v>62</v>
      </c>
      <c r="AA132" t="s">
        <v>67</v>
      </c>
      <c r="AB132">
        <v>12</v>
      </c>
    </row>
    <row r="133" spans="1:28" x14ac:dyDescent="0.25">
      <c r="A133" t="s">
        <v>354</v>
      </c>
      <c r="B133">
        <v>49</v>
      </c>
      <c r="C133" t="s">
        <v>43</v>
      </c>
      <c r="D133" t="s">
        <v>44</v>
      </c>
      <c r="E133" t="s">
        <v>31</v>
      </c>
      <c r="F133" t="s">
        <v>45</v>
      </c>
      <c r="G133" t="s">
        <v>30</v>
      </c>
      <c r="H133" t="s">
        <v>355</v>
      </c>
      <c r="I133" t="s">
        <v>142</v>
      </c>
      <c r="J133">
        <v>427.1</v>
      </c>
      <c r="K133">
        <v>8</v>
      </c>
      <c r="L133" t="s">
        <v>35</v>
      </c>
      <c r="M133">
        <v>1</v>
      </c>
      <c r="N133">
        <v>2</v>
      </c>
      <c r="O133">
        <v>1</v>
      </c>
      <c r="P133" t="s">
        <v>44</v>
      </c>
      <c r="Q133" t="s">
        <v>37</v>
      </c>
      <c r="R133">
        <v>0</v>
      </c>
      <c r="S133">
        <v>2</v>
      </c>
      <c r="T133" t="s">
        <v>49</v>
      </c>
      <c r="U133" t="s">
        <v>79</v>
      </c>
      <c r="V133" t="s">
        <v>51</v>
      </c>
      <c r="W133" s="1">
        <v>45422</v>
      </c>
      <c r="X133" t="b">
        <v>0</v>
      </c>
      <c r="Y133" t="b">
        <v>1</v>
      </c>
      <c r="Z133" t="s">
        <v>74</v>
      </c>
      <c r="AA133" t="s">
        <v>41</v>
      </c>
      <c r="AB133">
        <v>5</v>
      </c>
    </row>
    <row r="134" spans="1:28" x14ac:dyDescent="0.25">
      <c r="A134" t="s">
        <v>356</v>
      </c>
      <c r="B134">
        <v>34</v>
      </c>
      <c r="C134" t="s">
        <v>43</v>
      </c>
      <c r="D134" t="s">
        <v>44</v>
      </c>
      <c r="E134" t="s">
        <v>69</v>
      </c>
      <c r="F134" t="s">
        <v>45</v>
      </c>
      <c r="G134" t="s">
        <v>44</v>
      </c>
      <c r="H134" t="s">
        <v>357</v>
      </c>
      <c r="I134" t="s">
        <v>65</v>
      </c>
      <c r="J134">
        <v>326.82</v>
      </c>
      <c r="K134">
        <v>4</v>
      </c>
      <c r="L134" t="s">
        <v>35</v>
      </c>
      <c r="M134">
        <v>3</v>
      </c>
      <c r="N134">
        <v>2</v>
      </c>
      <c r="O134">
        <v>1</v>
      </c>
      <c r="P134" t="s">
        <v>44</v>
      </c>
      <c r="Q134" t="s">
        <v>37</v>
      </c>
      <c r="R134">
        <v>2</v>
      </c>
      <c r="S134">
        <v>5</v>
      </c>
      <c r="T134" t="s">
        <v>49</v>
      </c>
      <c r="U134" t="s">
        <v>38</v>
      </c>
      <c r="V134" t="s">
        <v>39</v>
      </c>
      <c r="W134" s="1">
        <v>45404</v>
      </c>
      <c r="X134" t="b">
        <v>1</v>
      </c>
      <c r="Y134" t="b">
        <v>0</v>
      </c>
      <c r="Z134" t="s">
        <v>74</v>
      </c>
      <c r="AA134" t="s">
        <v>53</v>
      </c>
      <c r="AB134">
        <v>4</v>
      </c>
    </row>
    <row r="135" spans="1:28" x14ac:dyDescent="0.25">
      <c r="A135" t="s">
        <v>358</v>
      </c>
      <c r="B135">
        <v>41</v>
      </c>
      <c r="C135" t="s">
        <v>43</v>
      </c>
      <c r="D135" t="s">
        <v>44</v>
      </c>
      <c r="E135" t="s">
        <v>69</v>
      </c>
      <c r="F135" t="s">
        <v>45</v>
      </c>
      <c r="G135" t="s">
        <v>30</v>
      </c>
      <c r="H135" t="s">
        <v>359</v>
      </c>
      <c r="I135" t="s">
        <v>107</v>
      </c>
      <c r="J135">
        <v>98.97</v>
      </c>
      <c r="K135">
        <v>12</v>
      </c>
      <c r="L135" t="s">
        <v>48</v>
      </c>
      <c r="M135">
        <v>2</v>
      </c>
      <c r="N135">
        <v>5</v>
      </c>
      <c r="O135">
        <v>2</v>
      </c>
      <c r="P135" t="s">
        <v>36</v>
      </c>
      <c r="Q135" t="s">
        <v>85</v>
      </c>
      <c r="R135">
        <v>1</v>
      </c>
      <c r="S135">
        <v>7</v>
      </c>
      <c r="T135" t="s">
        <v>44</v>
      </c>
      <c r="U135" t="s">
        <v>38</v>
      </c>
      <c r="V135" t="s">
        <v>66</v>
      </c>
      <c r="W135" s="1">
        <v>45370</v>
      </c>
      <c r="X135" t="b">
        <v>1</v>
      </c>
      <c r="Y135" t="b">
        <v>1</v>
      </c>
      <c r="Z135" t="s">
        <v>62</v>
      </c>
      <c r="AA135" t="s">
        <v>41</v>
      </c>
      <c r="AB135">
        <v>11</v>
      </c>
    </row>
    <row r="136" spans="1:28" x14ac:dyDescent="0.25">
      <c r="A136" t="s">
        <v>360</v>
      </c>
      <c r="B136">
        <v>33</v>
      </c>
      <c r="C136" t="s">
        <v>43</v>
      </c>
      <c r="D136" t="s">
        <v>44</v>
      </c>
      <c r="E136" t="s">
        <v>55</v>
      </c>
      <c r="F136" t="s">
        <v>45</v>
      </c>
      <c r="G136" t="s">
        <v>44</v>
      </c>
      <c r="H136" t="s">
        <v>361</v>
      </c>
      <c r="I136" t="s">
        <v>104</v>
      </c>
      <c r="J136">
        <v>77.650000000000006</v>
      </c>
      <c r="K136">
        <v>6</v>
      </c>
      <c r="L136" t="s">
        <v>78</v>
      </c>
      <c r="M136">
        <v>1</v>
      </c>
      <c r="N136">
        <v>4</v>
      </c>
      <c r="O136">
        <v>1</v>
      </c>
      <c r="P136" t="s">
        <v>49</v>
      </c>
      <c r="Q136" t="s">
        <v>37</v>
      </c>
      <c r="R136">
        <v>2</v>
      </c>
      <c r="S136">
        <v>3</v>
      </c>
      <c r="T136" t="s">
        <v>36</v>
      </c>
      <c r="U136" t="s">
        <v>38</v>
      </c>
      <c r="V136" t="s">
        <v>86</v>
      </c>
      <c r="W136" s="1">
        <v>45315</v>
      </c>
      <c r="X136" t="b">
        <v>1</v>
      </c>
      <c r="Y136" t="b">
        <v>1</v>
      </c>
      <c r="Z136" t="s">
        <v>74</v>
      </c>
      <c r="AA136" t="s">
        <v>41</v>
      </c>
      <c r="AB136">
        <v>1</v>
      </c>
    </row>
    <row r="137" spans="1:28" x14ac:dyDescent="0.25">
      <c r="A137" t="s">
        <v>362</v>
      </c>
      <c r="B137">
        <v>47</v>
      </c>
      <c r="C137" t="s">
        <v>29</v>
      </c>
      <c r="D137" t="s">
        <v>30</v>
      </c>
      <c r="E137" t="s">
        <v>69</v>
      </c>
      <c r="F137" t="s">
        <v>56</v>
      </c>
      <c r="G137" t="s">
        <v>44</v>
      </c>
      <c r="H137" t="s">
        <v>363</v>
      </c>
      <c r="I137" t="s">
        <v>117</v>
      </c>
      <c r="J137">
        <v>85.61</v>
      </c>
      <c r="K137">
        <v>2</v>
      </c>
      <c r="L137" t="s">
        <v>78</v>
      </c>
      <c r="M137">
        <v>4</v>
      </c>
      <c r="N137">
        <v>2</v>
      </c>
      <c r="O137">
        <v>1</v>
      </c>
      <c r="P137" t="s">
        <v>44</v>
      </c>
      <c r="Q137" t="s">
        <v>50</v>
      </c>
      <c r="R137">
        <v>1</v>
      </c>
      <c r="S137">
        <v>3</v>
      </c>
      <c r="T137" t="s">
        <v>59</v>
      </c>
      <c r="U137" t="s">
        <v>79</v>
      </c>
      <c r="V137" t="s">
        <v>66</v>
      </c>
      <c r="W137" s="1">
        <v>45569</v>
      </c>
      <c r="X137" t="b">
        <v>1</v>
      </c>
      <c r="Y137" t="b">
        <v>1</v>
      </c>
      <c r="Z137" t="s">
        <v>40</v>
      </c>
      <c r="AA137" t="s">
        <v>53</v>
      </c>
      <c r="AB137">
        <v>5</v>
      </c>
    </row>
    <row r="138" spans="1:28" x14ac:dyDescent="0.25">
      <c r="A138" t="s">
        <v>364</v>
      </c>
      <c r="B138">
        <v>47</v>
      </c>
      <c r="C138" t="s">
        <v>43</v>
      </c>
      <c r="D138" t="s">
        <v>44</v>
      </c>
      <c r="E138" t="s">
        <v>69</v>
      </c>
      <c r="F138" t="s">
        <v>45</v>
      </c>
      <c r="G138" t="s">
        <v>44</v>
      </c>
      <c r="H138" t="s">
        <v>365</v>
      </c>
      <c r="I138" t="s">
        <v>47</v>
      </c>
      <c r="J138">
        <v>164.79</v>
      </c>
      <c r="K138">
        <v>4</v>
      </c>
      <c r="L138" t="s">
        <v>48</v>
      </c>
      <c r="M138">
        <v>3</v>
      </c>
      <c r="N138">
        <v>2</v>
      </c>
      <c r="O138">
        <v>0</v>
      </c>
      <c r="P138" t="s">
        <v>36</v>
      </c>
      <c r="Q138" t="s">
        <v>37</v>
      </c>
      <c r="R138">
        <v>2</v>
      </c>
      <c r="S138">
        <v>5</v>
      </c>
      <c r="T138" t="s">
        <v>44</v>
      </c>
      <c r="U138" t="s">
        <v>38</v>
      </c>
      <c r="V138" t="s">
        <v>39</v>
      </c>
      <c r="W138" s="1">
        <v>45435</v>
      </c>
      <c r="X138" t="b">
        <v>1</v>
      </c>
      <c r="Y138" t="b">
        <v>1</v>
      </c>
      <c r="Z138" t="s">
        <v>62</v>
      </c>
      <c r="AA138" t="s">
        <v>41</v>
      </c>
      <c r="AB138">
        <v>1</v>
      </c>
    </row>
    <row r="139" spans="1:28" x14ac:dyDescent="0.25">
      <c r="A139" t="s">
        <v>366</v>
      </c>
      <c r="B139">
        <v>29</v>
      </c>
      <c r="C139" t="s">
        <v>29</v>
      </c>
      <c r="D139" t="s">
        <v>44</v>
      </c>
      <c r="E139" t="s">
        <v>69</v>
      </c>
      <c r="F139" t="s">
        <v>45</v>
      </c>
      <c r="G139" t="s">
        <v>44</v>
      </c>
      <c r="H139" t="s">
        <v>367</v>
      </c>
      <c r="I139" t="s">
        <v>142</v>
      </c>
      <c r="J139">
        <v>235.46</v>
      </c>
      <c r="K139">
        <v>10</v>
      </c>
      <c r="L139" t="s">
        <v>48</v>
      </c>
      <c r="M139">
        <v>3</v>
      </c>
      <c r="N139">
        <v>4</v>
      </c>
      <c r="O139">
        <v>2</v>
      </c>
      <c r="P139" t="s">
        <v>36</v>
      </c>
      <c r="Q139" t="s">
        <v>50</v>
      </c>
      <c r="R139">
        <v>0</v>
      </c>
      <c r="S139">
        <v>7</v>
      </c>
      <c r="T139" t="s">
        <v>36</v>
      </c>
      <c r="U139" t="s">
        <v>79</v>
      </c>
      <c r="V139" t="s">
        <v>39</v>
      </c>
      <c r="W139" s="1">
        <v>45609</v>
      </c>
      <c r="X139" t="b">
        <v>0</v>
      </c>
      <c r="Y139" t="b">
        <v>1</v>
      </c>
      <c r="Z139" t="s">
        <v>62</v>
      </c>
      <c r="AA139" t="s">
        <v>41</v>
      </c>
      <c r="AB139">
        <v>2</v>
      </c>
    </row>
    <row r="140" spans="1:28" x14ac:dyDescent="0.25">
      <c r="A140" t="s">
        <v>368</v>
      </c>
      <c r="B140">
        <v>36</v>
      </c>
      <c r="C140" t="s">
        <v>29</v>
      </c>
      <c r="D140" t="s">
        <v>44</v>
      </c>
      <c r="E140" t="s">
        <v>69</v>
      </c>
      <c r="F140" t="s">
        <v>56</v>
      </c>
      <c r="G140" t="s">
        <v>30</v>
      </c>
      <c r="H140" t="s">
        <v>369</v>
      </c>
      <c r="I140" t="s">
        <v>82</v>
      </c>
      <c r="J140">
        <v>245.14</v>
      </c>
      <c r="K140">
        <v>4</v>
      </c>
      <c r="L140" t="s">
        <v>78</v>
      </c>
      <c r="M140">
        <v>4</v>
      </c>
      <c r="N140">
        <v>5</v>
      </c>
      <c r="O140">
        <v>1</v>
      </c>
      <c r="P140" t="s">
        <v>44</v>
      </c>
      <c r="Q140" t="s">
        <v>85</v>
      </c>
      <c r="R140">
        <v>1</v>
      </c>
      <c r="S140">
        <v>4</v>
      </c>
      <c r="T140" t="s">
        <v>49</v>
      </c>
      <c r="U140" t="s">
        <v>60</v>
      </c>
      <c r="V140" t="s">
        <v>51</v>
      </c>
      <c r="W140" s="1">
        <v>45354</v>
      </c>
      <c r="X140" t="b">
        <v>1</v>
      </c>
      <c r="Y140" t="b">
        <v>0</v>
      </c>
      <c r="Z140" t="s">
        <v>62</v>
      </c>
      <c r="AA140" t="s">
        <v>53</v>
      </c>
      <c r="AB140">
        <v>3</v>
      </c>
    </row>
    <row r="141" spans="1:28" x14ac:dyDescent="0.25">
      <c r="A141" t="s">
        <v>370</v>
      </c>
      <c r="B141">
        <v>43</v>
      </c>
      <c r="C141" t="s">
        <v>43</v>
      </c>
      <c r="D141" t="s">
        <v>44</v>
      </c>
      <c r="E141" t="s">
        <v>76</v>
      </c>
      <c r="F141" t="s">
        <v>32</v>
      </c>
      <c r="G141" t="s">
        <v>30</v>
      </c>
      <c r="H141" t="s">
        <v>371</v>
      </c>
      <c r="I141" t="s">
        <v>126</v>
      </c>
      <c r="J141">
        <v>439.91</v>
      </c>
      <c r="K141">
        <v>5</v>
      </c>
      <c r="L141" t="s">
        <v>78</v>
      </c>
      <c r="M141">
        <v>1</v>
      </c>
      <c r="N141">
        <v>4</v>
      </c>
      <c r="O141">
        <v>2</v>
      </c>
      <c r="P141" t="s">
        <v>59</v>
      </c>
      <c r="Q141" t="s">
        <v>37</v>
      </c>
      <c r="R141">
        <v>0</v>
      </c>
      <c r="S141">
        <v>9</v>
      </c>
      <c r="T141" t="s">
        <v>49</v>
      </c>
      <c r="U141" t="s">
        <v>60</v>
      </c>
      <c r="V141" t="s">
        <v>66</v>
      </c>
      <c r="W141" s="1">
        <v>45354</v>
      </c>
      <c r="X141" t="b">
        <v>0</v>
      </c>
      <c r="Y141" t="b">
        <v>0</v>
      </c>
      <c r="Z141" t="s">
        <v>40</v>
      </c>
      <c r="AA141" t="s">
        <v>67</v>
      </c>
      <c r="AB141">
        <v>10</v>
      </c>
    </row>
    <row r="142" spans="1:28" x14ac:dyDescent="0.25">
      <c r="A142" t="s">
        <v>372</v>
      </c>
      <c r="B142">
        <v>31</v>
      </c>
      <c r="C142" t="s">
        <v>43</v>
      </c>
      <c r="D142" t="s">
        <v>44</v>
      </c>
      <c r="E142" t="s">
        <v>69</v>
      </c>
      <c r="F142" t="s">
        <v>45</v>
      </c>
      <c r="G142" t="s">
        <v>44</v>
      </c>
      <c r="H142" t="s">
        <v>373</v>
      </c>
      <c r="I142" t="s">
        <v>65</v>
      </c>
      <c r="J142">
        <v>309.22000000000003</v>
      </c>
      <c r="K142">
        <v>5</v>
      </c>
      <c r="L142" t="s">
        <v>35</v>
      </c>
      <c r="M142">
        <v>3</v>
      </c>
      <c r="N142">
        <v>5</v>
      </c>
      <c r="O142">
        <v>2</v>
      </c>
      <c r="P142" t="s">
        <v>59</v>
      </c>
      <c r="Q142" t="s">
        <v>50</v>
      </c>
      <c r="R142">
        <v>2</v>
      </c>
      <c r="S142">
        <v>4</v>
      </c>
      <c r="T142" t="s">
        <v>36</v>
      </c>
      <c r="U142" t="s">
        <v>38</v>
      </c>
      <c r="V142" t="s">
        <v>86</v>
      </c>
      <c r="W142" s="1">
        <v>45375</v>
      </c>
      <c r="X142" t="b">
        <v>0</v>
      </c>
      <c r="Y142" t="b">
        <v>0</v>
      </c>
      <c r="Z142" t="s">
        <v>74</v>
      </c>
      <c r="AA142" t="s">
        <v>53</v>
      </c>
      <c r="AB142">
        <v>10</v>
      </c>
    </row>
    <row r="143" spans="1:28" x14ac:dyDescent="0.25">
      <c r="A143" t="s">
        <v>374</v>
      </c>
      <c r="B143">
        <v>27</v>
      </c>
      <c r="C143" t="s">
        <v>43</v>
      </c>
      <c r="D143" t="s">
        <v>30</v>
      </c>
      <c r="E143" t="s">
        <v>69</v>
      </c>
      <c r="F143" t="s">
        <v>56</v>
      </c>
      <c r="G143" t="s">
        <v>30</v>
      </c>
      <c r="H143" t="s">
        <v>375</v>
      </c>
      <c r="I143" t="s">
        <v>158</v>
      </c>
      <c r="J143">
        <v>146.59</v>
      </c>
      <c r="K143">
        <v>10</v>
      </c>
      <c r="L143" t="s">
        <v>35</v>
      </c>
      <c r="M143">
        <v>5</v>
      </c>
      <c r="N143">
        <v>1</v>
      </c>
      <c r="O143">
        <v>2</v>
      </c>
      <c r="P143" t="s">
        <v>59</v>
      </c>
      <c r="Q143" t="s">
        <v>85</v>
      </c>
      <c r="R143">
        <v>0</v>
      </c>
      <c r="S143">
        <v>2</v>
      </c>
      <c r="T143" t="s">
        <v>36</v>
      </c>
      <c r="U143" t="s">
        <v>60</v>
      </c>
      <c r="V143" t="s">
        <v>86</v>
      </c>
      <c r="W143" s="1">
        <v>45313</v>
      </c>
      <c r="X143" t="b">
        <v>0</v>
      </c>
      <c r="Y143" t="b">
        <v>1</v>
      </c>
      <c r="Z143" t="s">
        <v>62</v>
      </c>
      <c r="AA143" t="s">
        <v>41</v>
      </c>
      <c r="AB143">
        <v>3</v>
      </c>
    </row>
    <row r="144" spans="1:28" x14ac:dyDescent="0.25">
      <c r="A144" t="s">
        <v>376</v>
      </c>
      <c r="B144">
        <v>48</v>
      </c>
      <c r="C144" t="s">
        <v>43</v>
      </c>
      <c r="D144" t="s">
        <v>30</v>
      </c>
      <c r="E144" t="s">
        <v>55</v>
      </c>
      <c r="F144" t="s">
        <v>45</v>
      </c>
      <c r="G144" t="s">
        <v>30</v>
      </c>
      <c r="H144" t="s">
        <v>377</v>
      </c>
      <c r="I144" t="s">
        <v>107</v>
      </c>
      <c r="J144">
        <v>298.73</v>
      </c>
      <c r="K144">
        <v>4</v>
      </c>
      <c r="L144" t="s">
        <v>78</v>
      </c>
      <c r="M144">
        <v>1</v>
      </c>
      <c r="N144">
        <v>5</v>
      </c>
      <c r="O144">
        <v>1</v>
      </c>
      <c r="P144" t="s">
        <v>44</v>
      </c>
      <c r="Q144" t="s">
        <v>50</v>
      </c>
      <c r="R144">
        <v>0</v>
      </c>
      <c r="S144">
        <v>2</v>
      </c>
      <c r="T144" t="s">
        <v>59</v>
      </c>
      <c r="U144" t="s">
        <v>38</v>
      </c>
      <c r="V144" t="s">
        <v>61</v>
      </c>
      <c r="W144" s="1">
        <v>45598</v>
      </c>
      <c r="X144" t="b">
        <v>0</v>
      </c>
      <c r="Y144" t="b">
        <v>1</v>
      </c>
      <c r="Z144" t="s">
        <v>40</v>
      </c>
      <c r="AA144" t="s">
        <v>41</v>
      </c>
      <c r="AB144">
        <v>4</v>
      </c>
    </row>
    <row r="145" spans="1:28" x14ac:dyDescent="0.25">
      <c r="A145" t="s">
        <v>378</v>
      </c>
      <c r="B145">
        <v>19</v>
      </c>
      <c r="C145" t="s">
        <v>352</v>
      </c>
      <c r="D145" t="s">
        <v>44</v>
      </c>
      <c r="E145" t="s">
        <v>55</v>
      </c>
      <c r="F145" t="s">
        <v>32</v>
      </c>
      <c r="G145" t="s">
        <v>44</v>
      </c>
      <c r="H145" t="s">
        <v>379</v>
      </c>
      <c r="I145" t="s">
        <v>47</v>
      </c>
      <c r="J145">
        <v>395.01</v>
      </c>
      <c r="K145">
        <v>2</v>
      </c>
      <c r="L145" t="s">
        <v>35</v>
      </c>
      <c r="M145">
        <v>1</v>
      </c>
      <c r="N145">
        <v>2</v>
      </c>
      <c r="O145">
        <v>2</v>
      </c>
      <c r="P145" t="s">
        <v>49</v>
      </c>
      <c r="Q145" t="s">
        <v>85</v>
      </c>
      <c r="R145">
        <v>0</v>
      </c>
      <c r="S145">
        <v>6</v>
      </c>
      <c r="T145" t="s">
        <v>49</v>
      </c>
      <c r="U145" t="s">
        <v>79</v>
      </c>
      <c r="V145" t="s">
        <v>39</v>
      </c>
      <c r="W145" s="1">
        <v>45400</v>
      </c>
      <c r="X145" t="b">
        <v>1</v>
      </c>
      <c r="Y145" t="b">
        <v>0</v>
      </c>
      <c r="Z145" t="s">
        <v>52</v>
      </c>
      <c r="AA145" t="s">
        <v>53</v>
      </c>
      <c r="AB145">
        <v>3</v>
      </c>
    </row>
    <row r="146" spans="1:28" x14ac:dyDescent="0.25">
      <c r="A146" t="s">
        <v>380</v>
      </c>
      <c r="B146">
        <v>41</v>
      </c>
      <c r="C146" t="s">
        <v>43</v>
      </c>
      <c r="D146" t="s">
        <v>30</v>
      </c>
      <c r="E146" t="s">
        <v>31</v>
      </c>
      <c r="F146" t="s">
        <v>32</v>
      </c>
      <c r="G146" t="s">
        <v>44</v>
      </c>
      <c r="H146" t="s">
        <v>381</v>
      </c>
      <c r="I146" t="s">
        <v>117</v>
      </c>
      <c r="J146">
        <v>371.19</v>
      </c>
      <c r="K146">
        <v>10</v>
      </c>
      <c r="L146" t="s">
        <v>35</v>
      </c>
      <c r="M146">
        <v>1</v>
      </c>
      <c r="N146">
        <v>2</v>
      </c>
      <c r="O146">
        <v>2</v>
      </c>
      <c r="P146" t="s">
        <v>44</v>
      </c>
      <c r="Q146" t="s">
        <v>37</v>
      </c>
      <c r="R146">
        <v>1</v>
      </c>
      <c r="S146">
        <v>8</v>
      </c>
      <c r="T146" t="s">
        <v>49</v>
      </c>
      <c r="U146" t="s">
        <v>79</v>
      </c>
      <c r="V146" t="s">
        <v>39</v>
      </c>
      <c r="W146" s="1">
        <v>45531</v>
      </c>
      <c r="X146" t="b">
        <v>0</v>
      </c>
      <c r="Y146" t="b">
        <v>0</v>
      </c>
      <c r="Z146" t="s">
        <v>74</v>
      </c>
      <c r="AA146" t="s">
        <v>67</v>
      </c>
      <c r="AB146">
        <v>1</v>
      </c>
    </row>
    <row r="147" spans="1:28" x14ac:dyDescent="0.25">
      <c r="A147" t="s">
        <v>382</v>
      </c>
      <c r="B147">
        <v>33</v>
      </c>
      <c r="C147" t="s">
        <v>29</v>
      </c>
      <c r="D147" t="s">
        <v>30</v>
      </c>
      <c r="E147" t="s">
        <v>31</v>
      </c>
      <c r="F147" t="s">
        <v>56</v>
      </c>
      <c r="G147" t="s">
        <v>44</v>
      </c>
      <c r="H147" t="s">
        <v>383</v>
      </c>
      <c r="I147" t="s">
        <v>117</v>
      </c>
      <c r="J147">
        <v>193.76</v>
      </c>
      <c r="K147">
        <v>10</v>
      </c>
      <c r="L147" t="s">
        <v>35</v>
      </c>
      <c r="M147">
        <v>4</v>
      </c>
      <c r="N147">
        <v>3</v>
      </c>
      <c r="O147">
        <v>1</v>
      </c>
      <c r="P147" t="s">
        <v>49</v>
      </c>
      <c r="Q147" t="s">
        <v>50</v>
      </c>
      <c r="R147">
        <v>0</v>
      </c>
      <c r="S147">
        <v>2</v>
      </c>
      <c r="T147" t="s">
        <v>59</v>
      </c>
      <c r="U147" t="s">
        <v>79</v>
      </c>
      <c r="V147" t="s">
        <v>61</v>
      </c>
      <c r="W147" s="1">
        <v>45325</v>
      </c>
      <c r="X147" t="b">
        <v>0</v>
      </c>
      <c r="Y147" t="b">
        <v>0</v>
      </c>
      <c r="Z147" t="s">
        <v>52</v>
      </c>
      <c r="AA147" t="s">
        <v>41</v>
      </c>
      <c r="AB147">
        <v>12</v>
      </c>
    </row>
    <row r="148" spans="1:28" x14ac:dyDescent="0.25">
      <c r="A148" t="s">
        <v>384</v>
      </c>
      <c r="B148">
        <v>43</v>
      </c>
      <c r="C148" t="s">
        <v>43</v>
      </c>
      <c r="D148" t="s">
        <v>30</v>
      </c>
      <c r="E148" t="s">
        <v>76</v>
      </c>
      <c r="F148" t="s">
        <v>56</v>
      </c>
      <c r="G148" t="s">
        <v>44</v>
      </c>
      <c r="H148" t="s">
        <v>385</v>
      </c>
      <c r="I148" t="s">
        <v>123</v>
      </c>
      <c r="J148">
        <v>424.27</v>
      </c>
      <c r="K148">
        <v>6</v>
      </c>
      <c r="L148" t="s">
        <v>78</v>
      </c>
      <c r="M148">
        <v>1</v>
      </c>
      <c r="N148">
        <v>4</v>
      </c>
      <c r="O148">
        <v>2</v>
      </c>
      <c r="P148" t="s">
        <v>36</v>
      </c>
      <c r="Q148" t="s">
        <v>50</v>
      </c>
      <c r="R148">
        <v>2</v>
      </c>
      <c r="S148">
        <v>8</v>
      </c>
      <c r="T148" t="s">
        <v>59</v>
      </c>
      <c r="U148" t="s">
        <v>38</v>
      </c>
      <c r="V148" t="s">
        <v>86</v>
      </c>
      <c r="W148" s="1">
        <v>45550</v>
      </c>
      <c r="X148" t="b">
        <v>1</v>
      </c>
      <c r="Y148" t="b">
        <v>1</v>
      </c>
      <c r="Z148" t="s">
        <v>74</v>
      </c>
      <c r="AA148" t="s">
        <v>53</v>
      </c>
      <c r="AB148">
        <v>12</v>
      </c>
    </row>
    <row r="149" spans="1:28" x14ac:dyDescent="0.25">
      <c r="A149" t="s">
        <v>386</v>
      </c>
      <c r="B149">
        <v>38</v>
      </c>
      <c r="C149" t="s">
        <v>43</v>
      </c>
      <c r="D149" t="s">
        <v>44</v>
      </c>
      <c r="E149" t="s">
        <v>55</v>
      </c>
      <c r="F149" t="s">
        <v>32</v>
      </c>
      <c r="G149" t="s">
        <v>44</v>
      </c>
      <c r="H149" t="s">
        <v>387</v>
      </c>
      <c r="I149" t="s">
        <v>246</v>
      </c>
      <c r="J149">
        <v>496.11</v>
      </c>
      <c r="K149">
        <v>2</v>
      </c>
      <c r="L149" t="s">
        <v>35</v>
      </c>
      <c r="M149">
        <v>2</v>
      </c>
      <c r="N149">
        <v>3</v>
      </c>
      <c r="O149">
        <v>1</v>
      </c>
      <c r="P149" t="s">
        <v>44</v>
      </c>
      <c r="Q149" t="s">
        <v>37</v>
      </c>
      <c r="R149">
        <v>2</v>
      </c>
      <c r="S149">
        <v>8</v>
      </c>
      <c r="T149" t="s">
        <v>44</v>
      </c>
      <c r="U149" t="s">
        <v>60</v>
      </c>
      <c r="V149" t="s">
        <v>51</v>
      </c>
      <c r="W149" s="1">
        <v>45451</v>
      </c>
      <c r="X149" t="b">
        <v>1</v>
      </c>
      <c r="Y149" t="b">
        <v>0</v>
      </c>
      <c r="Z149" t="s">
        <v>62</v>
      </c>
      <c r="AA149" t="s">
        <v>53</v>
      </c>
      <c r="AB149">
        <v>12</v>
      </c>
    </row>
    <row r="150" spans="1:28" x14ac:dyDescent="0.25">
      <c r="A150" t="s">
        <v>388</v>
      </c>
      <c r="B150">
        <v>41</v>
      </c>
      <c r="C150" t="s">
        <v>43</v>
      </c>
      <c r="D150" t="s">
        <v>44</v>
      </c>
      <c r="E150" t="s">
        <v>69</v>
      </c>
      <c r="F150" t="s">
        <v>32</v>
      </c>
      <c r="G150" t="s">
        <v>30</v>
      </c>
      <c r="H150" t="s">
        <v>389</v>
      </c>
      <c r="I150" t="s">
        <v>123</v>
      </c>
      <c r="J150">
        <v>341.91</v>
      </c>
      <c r="K150">
        <v>3</v>
      </c>
      <c r="L150" t="s">
        <v>78</v>
      </c>
      <c r="M150">
        <v>4</v>
      </c>
      <c r="N150">
        <v>4</v>
      </c>
      <c r="O150">
        <v>0</v>
      </c>
      <c r="P150" t="s">
        <v>59</v>
      </c>
      <c r="Q150" t="s">
        <v>50</v>
      </c>
      <c r="R150">
        <v>1</v>
      </c>
      <c r="S150">
        <v>9</v>
      </c>
      <c r="T150" t="s">
        <v>36</v>
      </c>
      <c r="U150" t="s">
        <v>38</v>
      </c>
      <c r="V150" t="s">
        <v>86</v>
      </c>
      <c r="W150" s="1">
        <v>45443</v>
      </c>
      <c r="X150" t="b">
        <v>0</v>
      </c>
      <c r="Y150" t="b">
        <v>0</v>
      </c>
      <c r="Z150" t="s">
        <v>62</v>
      </c>
      <c r="AA150" t="s">
        <v>67</v>
      </c>
      <c r="AB150">
        <v>7</v>
      </c>
    </row>
    <row r="151" spans="1:28" x14ac:dyDescent="0.25">
      <c r="A151" t="s">
        <v>390</v>
      </c>
      <c r="B151">
        <v>40</v>
      </c>
      <c r="C151" t="s">
        <v>43</v>
      </c>
      <c r="D151" t="s">
        <v>44</v>
      </c>
      <c r="E151" t="s">
        <v>31</v>
      </c>
      <c r="F151" t="s">
        <v>56</v>
      </c>
      <c r="G151" t="s">
        <v>44</v>
      </c>
      <c r="H151" t="s">
        <v>391</v>
      </c>
      <c r="I151" t="s">
        <v>34</v>
      </c>
      <c r="J151">
        <v>127.66</v>
      </c>
      <c r="K151">
        <v>11</v>
      </c>
      <c r="L151" t="s">
        <v>78</v>
      </c>
      <c r="M151">
        <v>1</v>
      </c>
      <c r="N151">
        <v>2</v>
      </c>
      <c r="O151">
        <v>2</v>
      </c>
      <c r="P151" t="s">
        <v>59</v>
      </c>
      <c r="Q151" t="s">
        <v>50</v>
      </c>
      <c r="R151">
        <v>2</v>
      </c>
      <c r="S151">
        <v>7</v>
      </c>
      <c r="T151" t="s">
        <v>36</v>
      </c>
      <c r="U151" t="s">
        <v>60</v>
      </c>
      <c r="V151" t="s">
        <v>39</v>
      </c>
      <c r="W151" s="1">
        <v>45345</v>
      </c>
      <c r="X151" t="b">
        <v>0</v>
      </c>
      <c r="Y151" t="b">
        <v>1</v>
      </c>
      <c r="Z151" t="s">
        <v>74</v>
      </c>
      <c r="AA151" t="s">
        <v>53</v>
      </c>
      <c r="AB151">
        <v>7</v>
      </c>
    </row>
    <row r="152" spans="1:28" x14ac:dyDescent="0.25">
      <c r="A152" t="s">
        <v>392</v>
      </c>
      <c r="B152">
        <v>47</v>
      </c>
      <c r="C152" t="s">
        <v>148</v>
      </c>
      <c r="D152" t="s">
        <v>30</v>
      </c>
      <c r="E152" t="s">
        <v>55</v>
      </c>
      <c r="F152" t="s">
        <v>32</v>
      </c>
      <c r="G152" t="s">
        <v>30</v>
      </c>
      <c r="H152" t="s">
        <v>393</v>
      </c>
      <c r="I152" t="s">
        <v>120</v>
      </c>
      <c r="J152">
        <v>227.47</v>
      </c>
      <c r="K152">
        <v>2</v>
      </c>
      <c r="L152" t="s">
        <v>78</v>
      </c>
      <c r="M152">
        <v>2</v>
      </c>
      <c r="N152">
        <v>2</v>
      </c>
      <c r="O152">
        <v>2</v>
      </c>
      <c r="P152" t="s">
        <v>59</v>
      </c>
      <c r="Q152" t="s">
        <v>85</v>
      </c>
      <c r="R152">
        <v>1</v>
      </c>
      <c r="S152">
        <v>4</v>
      </c>
      <c r="T152" t="s">
        <v>44</v>
      </c>
      <c r="U152" t="s">
        <v>38</v>
      </c>
      <c r="V152" t="s">
        <v>66</v>
      </c>
      <c r="W152" s="1">
        <v>45595</v>
      </c>
      <c r="X152" t="b">
        <v>1</v>
      </c>
      <c r="Y152" t="b">
        <v>0</v>
      </c>
      <c r="Z152" t="s">
        <v>40</v>
      </c>
      <c r="AA152" t="s">
        <v>67</v>
      </c>
      <c r="AB152">
        <v>9</v>
      </c>
    </row>
    <row r="153" spans="1:28" x14ac:dyDescent="0.25">
      <c r="A153" t="s">
        <v>394</v>
      </c>
      <c r="B153">
        <v>35</v>
      </c>
      <c r="C153" t="s">
        <v>43</v>
      </c>
      <c r="D153" t="s">
        <v>44</v>
      </c>
      <c r="E153" t="s">
        <v>69</v>
      </c>
      <c r="F153" t="s">
        <v>32</v>
      </c>
      <c r="G153" t="s">
        <v>44</v>
      </c>
      <c r="H153" t="s">
        <v>395</v>
      </c>
      <c r="I153" t="s">
        <v>142</v>
      </c>
      <c r="J153">
        <v>342.99</v>
      </c>
      <c r="K153">
        <v>3</v>
      </c>
      <c r="L153" t="s">
        <v>48</v>
      </c>
      <c r="M153">
        <v>4</v>
      </c>
      <c r="N153">
        <v>2</v>
      </c>
      <c r="O153">
        <v>2</v>
      </c>
      <c r="P153" t="s">
        <v>59</v>
      </c>
      <c r="Q153" t="s">
        <v>85</v>
      </c>
      <c r="R153">
        <v>0</v>
      </c>
      <c r="S153">
        <v>6</v>
      </c>
      <c r="T153" t="s">
        <v>49</v>
      </c>
      <c r="U153" t="s">
        <v>60</v>
      </c>
      <c r="V153" t="s">
        <v>66</v>
      </c>
      <c r="W153" s="1">
        <v>45618</v>
      </c>
      <c r="X153" t="b">
        <v>0</v>
      </c>
      <c r="Y153" t="b">
        <v>1</v>
      </c>
      <c r="Z153" t="s">
        <v>62</v>
      </c>
      <c r="AA153" t="s">
        <v>67</v>
      </c>
      <c r="AB153">
        <v>6</v>
      </c>
    </row>
    <row r="154" spans="1:28" x14ac:dyDescent="0.25">
      <c r="A154" t="s">
        <v>396</v>
      </c>
      <c r="B154">
        <v>49</v>
      </c>
      <c r="C154" t="s">
        <v>190</v>
      </c>
      <c r="D154" t="s">
        <v>44</v>
      </c>
      <c r="E154" t="s">
        <v>31</v>
      </c>
      <c r="F154" t="s">
        <v>56</v>
      </c>
      <c r="G154" t="s">
        <v>30</v>
      </c>
      <c r="H154" t="s">
        <v>397</v>
      </c>
      <c r="I154" t="s">
        <v>114</v>
      </c>
      <c r="J154">
        <v>306.48</v>
      </c>
      <c r="K154">
        <v>5</v>
      </c>
      <c r="L154" t="s">
        <v>35</v>
      </c>
      <c r="M154">
        <v>1</v>
      </c>
      <c r="N154">
        <v>3</v>
      </c>
      <c r="O154">
        <v>0</v>
      </c>
      <c r="P154" t="s">
        <v>49</v>
      </c>
      <c r="Q154" t="s">
        <v>85</v>
      </c>
      <c r="R154">
        <v>0</v>
      </c>
      <c r="S154">
        <v>9</v>
      </c>
      <c r="T154" t="s">
        <v>59</v>
      </c>
      <c r="U154" t="s">
        <v>38</v>
      </c>
      <c r="V154" t="s">
        <v>39</v>
      </c>
      <c r="W154" s="1">
        <v>45550</v>
      </c>
      <c r="X154" t="b">
        <v>0</v>
      </c>
      <c r="Y154" t="b">
        <v>1</v>
      </c>
      <c r="Z154" t="s">
        <v>40</v>
      </c>
      <c r="AA154" t="s">
        <v>53</v>
      </c>
      <c r="AB154">
        <v>14</v>
      </c>
    </row>
    <row r="155" spans="1:28" x14ac:dyDescent="0.25">
      <c r="A155" t="s">
        <v>398</v>
      </c>
      <c r="B155">
        <v>22</v>
      </c>
      <c r="C155" t="s">
        <v>43</v>
      </c>
      <c r="D155" t="s">
        <v>30</v>
      </c>
      <c r="E155" t="s">
        <v>76</v>
      </c>
      <c r="F155" t="s">
        <v>56</v>
      </c>
      <c r="G155" t="s">
        <v>44</v>
      </c>
      <c r="H155" t="s">
        <v>399</v>
      </c>
      <c r="I155" t="s">
        <v>65</v>
      </c>
      <c r="J155">
        <v>308.54000000000002</v>
      </c>
      <c r="K155">
        <v>3</v>
      </c>
      <c r="L155" t="s">
        <v>35</v>
      </c>
      <c r="M155">
        <v>1</v>
      </c>
      <c r="N155">
        <v>3</v>
      </c>
      <c r="O155">
        <v>0</v>
      </c>
      <c r="P155" t="s">
        <v>44</v>
      </c>
      <c r="Q155" t="s">
        <v>50</v>
      </c>
      <c r="R155">
        <v>1</v>
      </c>
      <c r="S155">
        <v>5</v>
      </c>
      <c r="T155" t="s">
        <v>44</v>
      </c>
      <c r="U155" t="s">
        <v>79</v>
      </c>
      <c r="V155" t="s">
        <v>39</v>
      </c>
      <c r="W155" s="1">
        <v>45564</v>
      </c>
      <c r="X155" t="b">
        <v>0</v>
      </c>
      <c r="Y155" t="b">
        <v>1</v>
      </c>
      <c r="Z155" t="s">
        <v>52</v>
      </c>
      <c r="AA155" t="s">
        <v>53</v>
      </c>
      <c r="AB155">
        <v>7</v>
      </c>
    </row>
    <row r="156" spans="1:28" x14ac:dyDescent="0.25">
      <c r="A156" t="s">
        <v>400</v>
      </c>
      <c r="B156">
        <v>49</v>
      </c>
      <c r="C156" t="s">
        <v>43</v>
      </c>
      <c r="D156" t="s">
        <v>44</v>
      </c>
      <c r="E156" t="s">
        <v>55</v>
      </c>
      <c r="F156" t="s">
        <v>56</v>
      </c>
      <c r="G156" t="s">
        <v>30</v>
      </c>
      <c r="H156" t="s">
        <v>401</v>
      </c>
      <c r="I156" t="s">
        <v>194</v>
      </c>
      <c r="J156">
        <v>124.17</v>
      </c>
      <c r="K156">
        <v>12</v>
      </c>
      <c r="L156" t="s">
        <v>35</v>
      </c>
      <c r="M156">
        <v>5</v>
      </c>
      <c r="N156">
        <v>2</v>
      </c>
      <c r="O156">
        <v>2</v>
      </c>
      <c r="P156" t="s">
        <v>44</v>
      </c>
      <c r="Q156" t="s">
        <v>85</v>
      </c>
      <c r="R156">
        <v>2</v>
      </c>
      <c r="S156">
        <v>4</v>
      </c>
      <c r="T156" t="s">
        <v>44</v>
      </c>
      <c r="U156" t="s">
        <v>60</v>
      </c>
      <c r="V156" t="s">
        <v>61</v>
      </c>
      <c r="W156" s="1">
        <v>45612</v>
      </c>
      <c r="X156" t="b">
        <v>1</v>
      </c>
      <c r="Y156" t="b">
        <v>1</v>
      </c>
      <c r="Z156" t="s">
        <v>74</v>
      </c>
      <c r="AA156" t="s">
        <v>53</v>
      </c>
      <c r="AB156">
        <v>6</v>
      </c>
    </row>
    <row r="157" spans="1:28" x14ac:dyDescent="0.25">
      <c r="A157" t="s">
        <v>402</v>
      </c>
      <c r="B157">
        <v>27</v>
      </c>
      <c r="C157" t="s">
        <v>29</v>
      </c>
      <c r="D157" t="s">
        <v>30</v>
      </c>
      <c r="E157" t="s">
        <v>31</v>
      </c>
      <c r="F157" t="s">
        <v>56</v>
      </c>
      <c r="G157" t="s">
        <v>30</v>
      </c>
      <c r="H157" t="s">
        <v>403</v>
      </c>
      <c r="I157" t="s">
        <v>194</v>
      </c>
      <c r="J157">
        <v>78</v>
      </c>
      <c r="K157">
        <v>5</v>
      </c>
      <c r="L157" t="s">
        <v>78</v>
      </c>
      <c r="M157">
        <v>1</v>
      </c>
      <c r="N157">
        <v>5</v>
      </c>
      <c r="O157">
        <v>0</v>
      </c>
      <c r="P157" t="s">
        <v>36</v>
      </c>
      <c r="Q157" t="s">
        <v>50</v>
      </c>
      <c r="R157">
        <v>1</v>
      </c>
      <c r="S157">
        <v>1</v>
      </c>
      <c r="T157" t="s">
        <v>59</v>
      </c>
      <c r="U157" t="s">
        <v>79</v>
      </c>
      <c r="V157" t="s">
        <v>61</v>
      </c>
      <c r="W157" s="1">
        <v>45605</v>
      </c>
      <c r="X157" t="b">
        <v>1</v>
      </c>
      <c r="Y157" t="b">
        <v>0</v>
      </c>
      <c r="Z157" t="s">
        <v>52</v>
      </c>
      <c r="AA157" t="s">
        <v>41</v>
      </c>
      <c r="AB157">
        <v>11</v>
      </c>
    </row>
    <row r="158" spans="1:28" x14ac:dyDescent="0.25">
      <c r="A158" t="s">
        <v>404</v>
      </c>
      <c r="B158">
        <v>27</v>
      </c>
      <c r="C158" t="s">
        <v>29</v>
      </c>
      <c r="D158" t="s">
        <v>44</v>
      </c>
      <c r="E158" t="s">
        <v>31</v>
      </c>
      <c r="F158" t="s">
        <v>32</v>
      </c>
      <c r="G158" t="s">
        <v>30</v>
      </c>
      <c r="H158" t="s">
        <v>405</v>
      </c>
      <c r="I158" t="s">
        <v>104</v>
      </c>
      <c r="J158">
        <v>393.03</v>
      </c>
      <c r="K158">
        <v>4</v>
      </c>
      <c r="L158" t="s">
        <v>35</v>
      </c>
      <c r="M158">
        <v>4</v>
      </c>
      <c r="N158">
        <v>4</v>
      </c>
      <c r="O158">
        <v>0</v>
      </c>
      <c r="P158" t="s">
        <v>44</v>
      </c>
      <c r="Q158" t="s">
        <v>37</v>
      </c>
      <c r="R158">
        <v>1</v>
      </c>
      <c r="S158">
        <v>3</v>
      </c>
      <c r="T158" t="s">
        <v>49</v>
      </c>
      <c r="U158" t="s">
        <v>60</v>
      </c>
      <c r="V158" t="s">
        <v>86</v>
      </c>
      <c r="W158" s="1">
        <v>45538</v>
      </c>
      <c r="X158" t="b">
        <v>1</v>
      </c>
      <c r="Y158" t="b">
        <v>1</v>
      </c>
      <c r="Z158" t="s">
        <v>74</v>
      </c>
      <c r="AA158" t="s">
        <v>53</v>
      </c>
      <c r="AB158">
        <v>7</v>
      </c>
    </row>
    <row r="159" spans="1:28" x14ac:dyDescent="0.25">
      <c r="A159" t="s">
        <v>406</v>
      </c>
      <c r="B159">
        <v>37</v>
      </c>
      <c r="C159" t="s">
        <v>29</v>
      </c>
      <c r="D159" t="s">
        <v>44</v>
      </c>
      <c r="E159" t="s">
        <v>55</v>
      </c>
      <c r="F159" t="s">
        <v>56</v>
      </c>
      <c r="G159" t="s">
        <v>30</v>
      </c>
      <c r="H159" t="s">
        <v>407</v>
      </c>
      <c r="I159" t="s">
        <v>107</v>
      </c>
      <c r="J159">
        <v>102.09</v>
      </c>
      <c r="K159">
        <v>3</v>
      </c>
      <c r="L159" t="s">
        <v>35</v>
      </c>
      <c r="M159">
        <v>1</v>
      </c>
      <c r="N159">
        <v>4</v>
      </c>
      <c r="O159">
        <v>0</v>
      </c>
      <c r="P159" t="s">
        <v>36</v>
      </c>
      <c r="Q159" t="s">
        <v>85</v>
      </c>
      <c r="R159">
        <v>1</v>
      </c>
      <c r="S159">
        <v>9</v>
      </c>
      <c r="T159" t="s">
        <v>49</v>
      </c>
      <c r="U159" t="s">
        <v>38</v>
      </c>
      <c r="V159" t="s">
        <v>51</v>
      </c>
      <c r="W159" s="1">
        <v>45364</v>
      </c>
      <c r="X159" t="b">
        <v>0</v>
      </c>
      <c r="Y159" t="b">
        <v>1</v>
      </c>
      <c r="Z159" t="s">
        <v>40</v>
      </c>
      <c r="AA159" t="s">
        <v>67</v>
      </c>
      <c r="AB159">
        <v>1</v>
      </c>
    </row>
    <row r="160" spans="1:28" x14ac:dyDescent="0.25">
      <c r="A160" t="s">
        <v>408</v>
      </c>
      <c r="B160">
        <v>32</v>
      </c>
      <c r="C160" t="s">
        <v>43</v>
      </c>
      <c r="D160" t="s">
        <v>30</v>
      </c>
      <c r="E160" t="s">
        <v>31</v>
      </c>
      <c r="F160" t="s">
        <v>32</v>
      </c>
      <c r="G160" t="s">
        <v>44</v>
      </c>
      <c r="H160" t="s">
        <v>409</v>
      </c>
      <c r="I160" t="s">
        <v>104</v>
      </c>
      <c r="J160">
        <v>426.21</v>
      </c>
      <c r="K160">
        <v>3</v>
      </c>
      <c r="L160" t="s">
        <v>35</v>
      </c>
      <c r="M160">
        <v>1</v>
      </c>
      <c r="N160">
        <v>4</v>
      </c>
      <c r="O160">
        <v>2</v>
      </c>
      <c r="P160" t="s">
        <v>44</v>
      </c>
      <c r="Q160" t="s">
        <v>37</v>
      </c>
      <c r="R160">
        <v>2</v>
      </c>
      <c r="S160">
        <v>5</v>
      </c>
      <c r="T160" t="s">
        <v>44</v>
      </c>
      <c r="U160" t="s">
        <v>60</v>
      </c>
      <c r="V160" t="s">
        <v>66</v>
      </c>
      <c r="W160" s="1">
        <v>45400</v>
      </c>
      <c r="X160" t="b">
        <v>0</v>
      </c>
      <c r="Y160" t="b">
        <v>1</v>
      </c>
      <c r="Z160" t="s">
        <v>52</v>
      </c>
      <c r="AA160" t="s">
        <v>53</v>
      </c>
      <c r="AB160">
        <v>2</v>
      </c>
    </row>
    <row r="161" spans="1:28" x14ac:dyDescent="0.25">
      <c r="A161" t="s">
        <v>410</v>
      </c>
      <c r="B161">
        <v>42</v>
      </c>
      <c r="C161" t="s">
        <v>43</v>
      </c>
      <c r="D161" t="s">
        <v>30</v>
      </c>
      <c r="E161" t="s">
        <v>69</v>
      </c>
      <c r="F161" t="s">
        <v>56</v>
      </c>
      <c r="G161" t="s">
        <v>44</v>
      </c>
      <c r="H161" t="s">
        <v>411</v>
      </c>
      <c r="I161" t="s">
        <v>135</v>
      </c>
      <c r="J161">
        <v>140.31</v>
      </c>
      <c r="K161">
        <v>2</v>
      </c>
      <c r="L161" t="s">
        <v>78</v>
      </c>
      <c r="M161">
        <v>2</v>
      </c>
      <c r="N161">
        <v>4</v>
      </c>
      <c r="O161">
        <v>1</v>
      </c>
      <c r="P161" t="s">
        <v>59</v>
      </c>
      <c r="Q161" t="s">
        <v>85</v>
      </c>
      <c r="R161">
        <v>2</v>
      </c>
      <c r="S161">
        <v>5</v>
      </c>
      <c r="T161" t="s">
        <v>36</v>
      </c>
      <c r="U161" t="s">
        <v>79</v>
      </c>
      <c r="V161" t="s">
        <v>86</v>
      </c>
      <c r="W161" s="1">
        <v>45433</v>
      </c>
      <c r="X161" t="b">
        <v>1</v>
      </c>
      <c r="Y161" t="b">
        <v>1</v>
      </c>
      <c r="Z161" t="s">
        <v>62</v>
      </c>
      <c r="AA161" t="s">
        <v>67</v>
      </c>
      <c r="AB161">
        <v>8</v>
      </c>
    </row>
    <row r="162" spans="1:28" x14ac:dyDescent="0.25">
      <c r="A162" t="s">
        <v>412</v>
      </c>
      <c r="B162">
        <v>18</v>
      </c>
      <c r="C162" t="s">
        <v>29</v>
      </c>
      <c r="D162" t="s">
        <v>44</v>
      </c>
      <c r="E162" t="s">
        <v>69</v>
      </c>
      <c r="F162" t="s">
        <v>56</v>
      </c>
      <c r="G162" t="s">
        <v>30</v>
      </c>
      <c r="H162" t="s">
        <v>413</v>
      </c>
      <c r="I162" t="s">
        <v>120</v>
      </c>
      <c r="J162">
        <v>413.7</v>
      </c>
      <c r="K162">
        <v>8</v>
      </c>
      <c r="L162" t="s">
        <v>35</v>
      </c>
      <c r="M162">
        <v>3</v>
      </c>
      <c r="N162">
        <v>3</v>
      </c>
      <c r="O162">
        <v>0.3</v>
      </c>
      <c r="P162" t="s">
        <v>59</v>
      </c>
      <c r="Q162" t="s">
        <v>85</v>
      </c>
      <c r="R162">
        <v>0</v>
      </c>
      <c r="S162">
        <v>9</v>
      </c>
      <c r="T162" t="s">
        <v>44</v>
      </c>
      <c r="U162" t="s">
        <v>79</v>
      </c>
      <c r="V162" t="s">
        <v>66</v>
      </c>
      <c r="W162" s="1">
        <v>45460</v>
      </c>
      <c r="X162" t="b">
        <v>0</v>
      </c>
      <c r="Y162" t="b">
        <v>1</v>
      </c>
      <c r="Z162" t="s">
        <v>40</v>
      </c>
      <c r="AA162" t="s">
        <v>41</v>
      </c>
      <c r="AB162">
        <v>6</v>
      </c>
    </row>
    <row r="163" spans="1:28" x14ac:dyDescent="0.25">
      <c r="A163" t="s">
        <v>414</v>
      </c>
      <c r="B163">
        <v>49</v>
      </c>
      <c r="C163" t="s">
        <v>43</v>
      </c>
      <c r="D163" t="s">
        <v>44</v>
      </c>
      <c r="E163" t="s">
        <v>69</v>
      </c>
      <c r="F163" t="s">
        <v>56</v>
      </c>
      <c r="G163" t="s">
        <v>30</v>
      </c>
      <c r="H163" t="s">
        <v>415</v>
      </c>
      <c r="I163" t="s">
        <v>135</v>
      </c>
      <c r="J163">
        <v>348.63</v>
      </c>
      <c r="K163">
        <v>4</v>
      </c>
      <c r="L163" t="s">
        <v>78</v>
      </c>
      <c r="M163">
        <v>5</v>
      </c>
      <c r="N163">
        <v>2</v>
      </c>
      <c r="O163">
        <v>0</v>
      </c>
      <c r="P163" t="s">
        <v>44</v>
      </c>
      <c r="Q163" t="s">
        <v>37</v>
      </c>
      <c r="R163">
        <v>0</v>
      </c>
      <c r="S163">
        <v>7</v>
      </c>
      <c r="T163" t="s">
        <v>36</v>
      </c>
      <c r="U163" t="s">
        <v>60</v>
      </c>
      <c r="V163" t="s">
        <v>61</v>
      </c>
      <c r="W163" s="1">
        <v>45383</v>
      </c>
      <c r="X163" t="b">
        <v>0</v>
      </c>
      <c r="Y163" t="b">
        <v>0</v>
      </c>
      <c r="Z163" t="s">
        <v>74</v>
      </c>
      <c r="AA163" t="s">
        <v>41</v>
      </c>
      <c r="AB163">
        <v>6</v>
      </c>
    </row>
    <row r="164" spans="1:28" x14ac:dyDescent="0.25">
      <c r="A164" t="s">
        <v>416</v>
      </c>
      <c r="B164">
        <v>23</v>
      </c>
      <c r="C164" t="s">
        <v>29</v>
      </c>
      <c r="D164" t="s">
        <v>30</v>
      </c>
      <c r="E164" t="s">
        <v>69</v>
      </c>
      <c r="F164" t="s">
        <v>45</v>
      </c>
      <c r="G164" t="s">
        <v>30</v>
      </c>
      <c r="H164" t="s">
        <v>417</v>
      </c>
      <c r="I164" t="s">
        <v>101</v>
      </c>
      <c r="J164">
        <v>91.27</v>
      </c>
      <c r="K164">
        <v>7</v>
      </c>
      <c r="L164" t="s">
        <v>48</v>
      </c>
      <c r="M164">
        <v>5</v>
      </c>
      <c r="N164">
        <v>1</v>
      </c>
      <c r="O164">
        <v>0</v>
      </c>
      <c r="P164" t="s">
        <v>44</v>
      </c>
      <c r="Q164" t="s">
        <v>50</v>
      </c>
      <c r="R164">
        <v>2</v>
      </c>
      <c r="S164">
        <v>6</v>
      </c>
      <c r="T164" t="s">
        <v>36</v>
      </c>
      <c r="U164" t="s">
        <v>38</v>
      </c>
      <c r="V164" t="s">
        <v>86</v>
      </c>
      <c r="W164" s="1">
        <v>45464</v>
      </c>
      <c r="X164" t="b">
        <v>1</v>
      </c>
      <c r="Y164" t="b">
        <v>1</v>
      </c>
      <c r="Z164" t="s">
        <v>74</v>
      </c>
      <c r="AA164" t="s">
        <v>67</v>
      </c>
      <c r="AB164">
        <v>13</v>
      </c>
    </row>
    <row r="165" spans="1:28" x14ac:dyDescent="0.25">
      <c r="A165" t="s">
        <v>418</v>
      </c>
      <c r="B165">
        <v>29</v>
      </c>
      <c r="C165" t="s">
        <v>29</v>
      </c>
      <c r="D165" t="s">
        <v>44</v>
      </c>
      <c r="E165" t="s">
        <v>76</v>
      </c>
      <c r="F165" t="s">
        <v>32</v>
      </c>
      <c r="G165" t="s">
        <v>44</v>
      </c>
      <c r="H165" t="s">
        <v>419</v>
      </c>
      <c r="I165" t="s">
        <v>98</v>
      </c>
      <c r="J165">
        <v>359.94</v>
      </c>
      <c r="K165">
        <v>11</v>
      </c>
      <c r="L165" t="s">
        <v>35</v>
      </c>
      <c r="M165">
        <v>2</v>
      </c>
      <c r="N165">
        <v>5</v>
      </c>
      <c r="O165">
        <v>2</v>
      </c>
      <c r="P165" t="s">
        <v>36</v>
      </c>
      <c r="Q165" t="s">
        <v>85</v>
      </c>
      <c r="R165">
        <v>1</v>
      </c>
      <c r="S165">
        <v>8</v>
      </c>
      <c r="T165" t="s">
        <v>59</v>
      </c>
      <c r="U165" t="s">
        <v>60</v>
      </c>
      <c r="V165" t="s">
        <v>86</v>
      </c>
      <c r="W165" s="1">
        <v>45645</v>
      </c>
      <c r="X165" t="b">
        <v>0</v>
      </c>
      <c r="Y165" t="b">
        <v>1</v>
      </c>
      <c r="Z165" t="s">
        <v>52</v>
      </c>
      <c r="AA165" t="s">
        <v>67</v>
      </c>
      <c r="AB165">
        <v>9</v>
      </c>
    </row>
    <row r="166" spans="1:28" x14ac:dyDescent="0.25">
      <c r="A166" t="s">
        <v>420</v>
      </c>
      <c r="B166">
        <v>25</v>
      </c>
      <c r="C166" t="s">
        <v>43</v>
      </c>
      <c r="D166" t="s">
        <v>30</v>
      </c>
      <c r="E166" t="s">
        <v>76</v>
      </c>
      <c r="F166" t="s">
        <v>45</v>
      </c>
      <c r="G166" t="s">
        <v>30</v>
      </c>
      <c r="H166" t="s">
        <v>421</v>
      </c>
      <c r="I166" t="s">
        <v>34</v>
      </c>
      <c r="J166">
        <v>138.19999999999999</v>
      </c>
      <c r="K166">
        <v>8</v>
      </c>
      <c r="L166" t="s">
        <v>48</v>
      </c>
      <c r="M166">
        <v>1</v>
      </c>
      <c r="N166">
        <v>2</v>
      </c>
      <c r="O166">
        <v>2</v>
      </c>
      <c r="P166" t="s">
        <v>44</v>
      </c>
      <c r="Q166" t="s">
        <v>50</v>
      </c>
      <c r="R166">
        <v>0</v>
      </c>
      <c r="S166">
        <v>6</v>
      </c>
      <c r="T166" t="s">
        <v>59</v>
      </c>
      <c r="U166" t="s">
        <v>79</v>
      </c>
      <c r="V166" t="s">
        <v>61</v>
      </c>
      <c r="W166" s="1">
        <v>45353</v>
      </c>
      <c r="X166" t="b">
        <v>0</v>
      </c>
      <c r="Y166" t="b">
        <v>1</v>
      </c>
      <c r="Z166" t="s">
        <v>40</v>
      </c>
      <c r="AA166" t="s">
        <v>41</v>
      </c>
      <c r="AB166">
        <v>12</v>
      </c>
    </row>
    <row r="167" spans="1:28" x14ac:dyDescent="0.25">
      <c r="A167" t="s">
        <v>422</v>
      </c>
      <c r="B167">
        <v>38</v>
      </c>
      <c r="C167" t="s">
        <v>274</v>
      </c>
      <c r="D167" t="s">
        <v>44</v>
      </c>
      <c r="E167" t="s">
        <v>76</v>
      </c>
      <c r="F167" t="s">
        <v>45</v>
      </c>
      <c r="G167" t="s">
        <v>44</v>
      </c>
      <c r="H167" t="s">
        <v>423</v>
      </c>
      <c r="I167" t="s">
        <v>65</v>
      </c>
      <c r="J167">
        <v>196.33</v>
      </c>
      <c r="K167">
        <v>11</v>
      </c>
      <c r="L167" t="s">
        <v>78</v>
      </c>
      <c r="M167">
        <v>4</v>
      </c>
      <c r="N167">
        <v>3</v>
      </c>
      <c r="O167">
        <v>1</v>
      </c>
      <c r="P167" t="s">
        <v>49</v>
      </c>
      <c r="Q167" t="s">
        <v>50</v>
      </c>
      <c r="R167">
        <v>0</v>
      </c>
      <c r="S167">
        <v>5</v>
      </c>
      <c r="T167" t="s">
        <v>36</v>
      </c>
      <c r="U167" t="s">
        <v>79</v>
      </c>
      <c r="V167" t="s">
        <v>61</v>
      </c>
      <c r="W167" s="1">
        <v>45472</v>
      </c>
      <c r="X167" t="b">
        <v>1</v>
      </c>
      <c r="Y167" t="b">
        <v>1</v>
      </c>
      <c r="Z167" t="s">
        <v>74</v>
      </c>
      <c r="AA167" t="s">
        <v>53</v>
      </c>
      <c r="AB167">
        <v>11</v>
      </c>
    </row>
    <row r="168" spans="1:28" x14ac:dyDescent="0.25">
      <c r="A168" t="s">
        <v>424</v>
      </c>
      <c r="B168">
        <v>32</v>
      </c>
      <c r="C168" t="s">
        <v>29</v>
      </c>
      <c r="D168" t="s">
        <v>30</v>
      </c>
      <c r="E168" t="s">
        <v>69</v>
      </c>
      <c r="F168" t="s">
        <v>32</v>
      </c>
      <c r="G168" t="s">
        <v>30</v>
      </c>
      <c r="H168" t="s">
        <v>311</v>
      </c>
      <c r="I168" t="s">
        <v>114</v>
      </c>
      <c r="J168">
        <v>249.24</v>
      </c>
      <c r="K168">
        <v>8</v>
      </c>
      <c r="L168" t="s">
        <v>48</v>
      </c>
      <c r="M168">
        <v>4</v>
      </c>
      <c r="N168">
        <v>3</v>
      </c>
      <c r="O168">
        <v>1</v>
      </c>
      <c r="P168" t="s">
        <v>49</v>
      </c>
      <c r="Q168" t="s">
        <v>37</v>
      </c>
      <c r="R168">
        <v>2</v>
      </c>
      <c r="S168">
        <v>3</v>
      </c>
      <c r="T168" t="s">
        <v>44</v>
      </c>
      <c r="U168" t="s">
        <v>60</v>
      </c>
      <c r="V168" t="s">
        <v>86</v>
      </c>
      <c r="W168" s="1">
        <v>45533</v>
      </c>
      <c r="X168" t="b">
        <v>0</v>
      </c>
      <c r="Y168" t="b">
        <v>1</v>
      </c>
      <c r="Z168" t="s">
        <v>40</v>
      </c>
      <c r="AA168" t="s">
        <v>53</v>
      </c>
      <c r="AB168">
        <v>7</v>
      </c>
    </row>
    <row r="169" spans="1:28" x14ac:dyDescent="0.25">
      <c r="A169" t="s">
        <v>425</v>
      </c>
      <c r="B169">
        <v>45</v>
      </c>
      <c r="C169" t="s">
        <v>43</v>
      </c>
      <c r="D169" t="s">
        <v>44</v>
      </c>
      <c r="E169" t="s">
        <v>76</v>
      </c>
      <c r="F169" t="s">
        <v>45</v>
      </c>
      <c r="G169" t="s">
        <v>44</v>
      </c>
      <c r="H169" t="s">
        <v>426</v>
      </c>
      <c r="I169" t="s">
        <v>71</v>
      </c>
      <c r="J169">
        <v>129.1</v>
      </c>
      <c r="K169">
        <v>12</v>
      </c>
      <c r="L169" t="s">
        <v>35</v>
      </c>
      <c r="M169">
        <v>5</v>
      </c>
      <c r="N169">
        <v>3</v>
      </c>
      <c r="O169">
        <v>2</v>
      </c>
      <c r="P169" t="s">
        <v>59</v>
      </c>
      <c r="Q169" t="s">
        <v>50</v>
      </c>
      <c r="R169">
        <v>0</v>
      </c>
      <c r="S169">
        <v>8</v>
      </c>
      <c r="T169" t="s">
        <v>44</v>
      </c>
      <c r="U169" t="s">
        <v>79</v>
      </c>
      <c r="V169" t="s">
        <v>39</v>
      </c>
      <c r="W169" s="1">
        <v>45397</v>
      </c>
      <c r="X169" t="b">
        <v>1</v>
      </c>
      <c r="Y169" t="b">
        <v>0</v>
      </c>
      <c r="Z169" t="s">
        <v>74</v>
      </c>
      <c r="AA169" t="s">
        <v>41</v>
      </c>
      <c r="AB169">
        <v>7</v>
      </c>
    </row>
    <row r="170" spans="1:28" x14ac:dyDescent="0.25">
      <c r="A170" t="s">
        <v>427</v>
      </c>
      <c r="B170">
        <v>45</v>
      </c>
      <c r="C170" t="s">
        <v>29</v>
      </c>
      <c r="D170" t="s">
        <v>44</v>
      </c>
      <c r="E170" t="s">
        <v>31</v>
      </c>
      <c r="F170" t="s">
        <v>56</v>
      </c>
      <c r="G170" t="s">
        <v>44</v>
      </c>
      <c r="H170" t="s">
        <v>428</v>
      </c>
      <c r="I170" t="s">
        <v>123</v>
      </c>
      <c r="J170">
        <v>112.69</v>
      </c>
      <c r="K170">
        <v>10</v>
      </c>
      <c r="L170" t="s">
        <v>48</v>
      </c>
      <c r="M170">
        <v>1</v>
      </c>
      <c r="N170">
        <v>4</v>
      </c>
      <c r="O170">
        <v>0</v>
      </c>
      <c r="P170" t="s">
        <v>44</v>
      </c>
      <c r="Q170" t="s">
        <v>50</v>
      </c>
      <c r="R170">
        <v>0</v>
      </c>
      <c r="S170">
        <v>7</v>
      </c>
      <c r="T170" t="s">
        <v>49</v>
      </c>
      <c r="U170" t="s">
        <v>60</v>
      </c>
      <c r="V170" t="s">
        <v>61</v>
      </c>
      <c r="W170" s="1">
        <v>45531</v>
      </c>
      <c r="X170" t="b">
        <v>0</v>
      </c>
      <c r="Y170" t="b">
        <v>1</v>
      </c>
      <c r="Z170" t="s">
        <v>40</v>
      </c>
      <c r="AA170" t="s">
        <v>53</v>
      </c>
      <c r="AB170">
        <v>1</v>
      </c>
    </row>
    <row r="171" spans="1:28" x14ac:dyDescent="0.25">
      <c r="A171" t="s">
        <v>429</v>
      </c>
      <c r="B171">
        <v>46</v>
      </c>
      <c r="C171" t="s">
        <v>43</v>
      </c>
      <c r="D171" t="s">
        <v>30</v>
      </c>
      <c r="E171" t="s">
        <v>69</v>
      </c>
      <c r="F171" t="s">
        <v>32</v>
      </c>
      <c r="G171" t="s">
        <v>44</v>
      </c>
      <c r="H171" t="s">
        <v>430</v>
      </c>
      <c r="I171" t="s">
        <v>188</v>
      </c>
      <c r="J171">
        <v>267.85000000000002</v>
      </c>
      <c r="K171">
        <v>5</v>
      </c>
      <c r="L171" t="s">
        <v>78</v>
      </c>
      <c r="M171">
        <v>5</v>
      </c>
      <c r="N171">
        <v>2</v>
      </c>
      <c r="O171">
        <v>2</v>
      </c>
      <c r="P171" t="s">
        <v>49</v>
      </c>
      <c r="Q171" t="s">
        <v>37</v>
      </c>
      <c r="R171">
        <v>1</v>
      </c>
      <c r="S171">
        <v>5</v>
      </c>
      <c r="T171" t="s">
        <v>44</v>
      </c>
      <c r="U171" t="s">
        <v>60</v>
      </c>
      <c r="V171" t="s">
        <v>39</v>
      </c>
      <c r="W171" s="1">
        <v>45371</v>
      </c>
      <c r="X171" t="b">
        <v>0</v>
      </c>
      <c r="Y171" t="b">
        <v>1</v>
      </c>
      <c r="Z171" t="s">
        <v>40</v>
      </c>
      <c r="AA171" t="s">
        <v>53</v>
      </c>
      <c r="AB171">
        <v>7</v>
      </c>
    </row>
    <row r="172" spans="1:28" x14ac:dyDescent="0.25">
      <c r="A172" t="s">
        <v>431</v>
      </c>
      <c r="B172">
        <v>24</v>
      </c>
      <c r="C172" t="s">
        <v>43</v>
      </c>
      <c r="D172" t="s">
        <v>30</v>
      </c>
      <c r="E172" t="s">
        <v>76</v>
      </c>
      <c r="F172" t="s">
        <v>45</v>
      </c>
      <c r="G172" t="s">
        <v>30</v>
      </c>
      <c r="H172" t="s">
        <v>432</v>
      </c>
      <c r="I172" t="s">
        <v>65</v>
      </c>
      <c r="J172">
        <v>205.36</v>
      </c>
      <c r="K172">
        <v>12</v>
      </c>
      <c r="L172" t="s">
        <v>78</v>
      </c>
      <c r="M172">
        <v>1</v>
      </c>
      <c r="N172">
        <v>5</v>
      </c>
      <c r="O172">
        <v>2</v>
      </c>
      <c r="P172" t="s">
        <v>44</v>
      </c>
      <c r="Q172" t="s">
        <v>85</v>
      </c>
      <c r="R172">
        <v>0</v>
      </c>
      <c r="S172">
        <v>1</v>
      </c>
      <c r="T172" t="s">
        <v>59</v>
      </c>
      <c r="U172" t="s">
        <v>38</v>
      </c>
      <c r="V172" t="s">
        <v>39</v>
      </c>
      <c r="W172" s="1">
        <v>45409</v>
      </c>
      <c r="X172" t="b">
        <v>0</v>
      </c>
      <c r="Y172" t="b">
        <v>0</v>
      </c>
      <c r="Z172" t="s">
        <v>62</v>
      </c>
      <c r="AA172" t="s">
        <v>67</v>
      </c>
      <c r="AB172">
        <v>5</v>
      </c>
    </row>
    <row r="173" spans="1:28" x14ac:dyDescent="0.25">
      <c r="A173" t="s">
        <v>433</v>
      </c>
      <c r="B173">
        <v>48</v>
      </c>
      <c r="C173" t="s">
        <v>212</v>
      </c>
      <c r="D173" t="s">
        <v>44</v>
      </c>
      <c r="E173" t="s">
        <v>76</v>
      </c>
      <c r="F173" t="s">
        <v>56</v>
      </c>
      <c r="G173" t="s">
        <v>44</v>
      </c>
      <c r="H173" t="s">
        <v>434</v>
      </c>
      <c r="I173" t="s">
        <v>142</v>
      </c>
      <c r="J173">
        <v>79.099999999999994</v>
      </c>
      <c r="K173">
        <v>10</v>
      </c>
      <c r="L173" t="s">
        <v>48</v>
      </c>
      <c r="M173">
        <v>5</v>
      </c>
      <c r="N173">
        <v>3</v>
      </c>
      <c r="O173">
        <v>1</v>
      </c>
      <c r="P173" t="s">
        <v>36</v>
      </c>
      <c r="Q173" t="s">
        <v>50</v>
      </c>
      <c r="R173">
        <v>0</v>
      </c>
      <c r="S173">
        <v>9</v>
      </c>
      <c r="T173" t="s">
        <v>49</v>
      </c>
      <c r="U173" t="s">
        <v>38</v>
      </c>
      <c r="V173" t="s">
        <v>61</v>
      </c>
      <c r="W173" s="1">
        <v>45417</v>
      </c>
      <c r="X173" t="b">
        <v>1</v>
      </c>
      <c r="Y173" t="b">
        <v>0</v>
      </c>
      <c r="Z173" t="s">
        <v>40</v>
      </c>
      <c r="AA173" t="s">
        <v>67</v>
      </c>
      <c r="AB173">
        <v>4</v>
      </c>
    </row>
    <row r="174" spans="1:28" x14ac:dyDescent="0.25">
      <c r="A174" t="s">
        <v>435</v>
      </c>
      <c r="B174">
        <v>35</v>
      </c>
      <c r="C174" t="s">
        <v>43</v>
      </c>
      <c r="D174" t="s">
        <v>44</v>
      </c>
      <c r="E174" t="s">
        <v>69</v>
      </c>
      <c r="F174" t="s">
        <v>45</v>
      </c>
      <c r="G174" t="s">
        <v>30</v>
      </c>
      <c r="H174" t="s">
        <v>436</v>
      </c>
      <c r="I174" t="s">
        <v>104</v>
      </c>
      <c r="J174">
        <v>256.63</v>
      </c>
      <c r="K174">
        <v>12</v>
      </c>
      <c r="L174" t="s">
        <v>48</v>
      </c>
      <c r="M174">
        <v>1</v>
      </c>
      <c r="N174">
        <v>4</v>
      </c>
      <c r="O174">
        <v>0</v>
      </c>
      <c r="P174" t="s">
        <v>44</v>
      </c>
      <c r="Q174" t="s">
        <v>37</v>
      </c>
      <c r="R174">
        <v>2</v>
      </c>
      <c r="S174">
        <v>2</v>
      </c>
      <c r="T174" t="s">
        <v>36</v>
      </c>
      <c r="U174" t="s">
        <v>60</v>
      </c>
      <c r="V174" t="s">
        <v>61</v>
      </c>
      <c r="W174" s="1">
        <v>45459</v>
      </c>
      <c r="X174" t="b">
        <v>1</v>
      </c>
      <c r="Y174" t="b">
        <v>1</v>
      </c>
      <c r="Z174" t="s">
        <v>62</v>
      </c>
      <c r="AA174" t="s">
        <v>53</v>
      </c>
      <c r="AB174">
        <v>10</v>
      </c>
    </row>
    <row r="175" spans="1:28" x14ac:dyDescent="0.25">
      <c r="A175" t="s">
        <v>437</v>
      </c>
      <c r="B175">
        <v>50</v>
      </c>
      <c r="C175" t="s">
        <v>29</v>
      </c>
      <c r="D175" t="s">
        <v>44</v>
      </c>
      <c r="E175" t="s">
        <v>76</v>
      </c>
      <c r="F175" t="s">
        <v>45</v>
      </c>
      <c r="G175" t="s">
        <v>30</v>
      </c>
      <c r="H175" t="s">
        <v>438</v>
      </c>
      <c r="I175" t="s">
        <v>82</v>
      </c>
      <c r="J175">
        <v>409.98</v>
      </c>
      <c r="K175">
        <v>12</v>
      </c>
      <c r="L175" t="s">
        <v>35</v>
      </c>
      <c r="M175">
        <v>5</v>
      </c>
      <c r="N175">
        <v>4</v>
      </c>
      <c r="O175">
        <v>0</v>
      </c>
      <c r="P175" t="s">
        <v>36</v>
      </c>
      <c r="Q175" t="s">
        <v>50</v>
      </c>
      <c r="R175">
        <v>2</v>
      </c>
      <c r="S175">
        <v>1</v>
      </c>
      <c r="T175" t="s">
        <v>49</v>
      </c>
      <c r="U175" t="s">
        <v>79</v>
      </c>
      <c r="V175" t="s">
        <v>51</v>
      </c>
      <c r="W175" s="1">
        <v>45580</v>
      </c>
      <c r="X175" t="b">
        <v>1</v>
      </c>
      <c r="Y175" t="b">
        <v>0</v>
      </c>
      <c r="Z175" t="s">
        <v>52</v>
      </c>
      <c r="AA175" t="s">
        <v>67</v>
      </c>
      <c r="AB175">
        <v>8</v>
      </c>
    </row>
    <row r="176" spans="1:28" x14ac:dyDescent="0.25">
      <c r="A176" t="s">
        <v>439</v>
      </c>
      <c r="B176">
        <v>34</v>
      </c>
      <c r="C176" t="s">
        <v>43</v>
      </c>
      <c r="D176" t="s">
        <v>30</v>
      </c>
      <c r="E176" t="s">
        <v>69</v>
      </c>
      <c r="F176" t="s">
        <v>45</v>
      </c>
      <c r="G176" t="s">
        <v>44</v>
      </c>
      <c r="H176" t="s">
        <v>440</v>
      </c>
      <c r="I176" t="s">
        <v>90</v>
      </c>
      <c r="J176">
        <v>291.60000000000002</v>
      </c>
      <c r="K176">
        <v>2</v>
      </c>
      <c r="L176" t="s">
        <v>48</v>
      </c>
      <c r="M176">
        <v>3</v>
      </c>
      <c r="N176">
        <v>3</v>
      </c>
      <c r="O176">
        <v>2</v>
      </c>
      <c r="P176" t="s">
        <v>44</v>
      </c>
      <c r="Q176" t="s">
        <v>37</v>
      </c>
      <c r="R176">
        <v>0</v>
      </c>
      <c r="S176">
        <v>7</v>
      </c>
      <c r="T176" t="s">
        <v>36</v>
      </c>
      <c r="U176" t="s">
        <v>79</v>
      </c>
      <c r="V176" t="s">
        <v>86</v>
      </c>
      <c r="W176" s="1">
        <v>45505</v>
      </c>
      <c r="X176" t="b">
        <v>0</v>
      </c>
      <c r="Y176" t="b">
        <v>1</v>
      </c>
      <c r="Z176" t="s">
        <v>40</v>
      </c>
      <c r="AA176" t="s">
        <v>53</v>
      </c>
      <c r="AB176">
        <v>3</v>
      </c>
    </row>
    <row r="177" spans="1:28" x14ac:dyDescent="0.25">
      <c r="A177" t="s">
        <v>441</v>
      </c>
      <c r="B177">
        <v>50</v>
      </c>
      <c r="C177" t="s">
        <v>29</v>
      </c>
      <c r="D177" t="s">
        <v>30</v>
      </c>
      <c r="E177" t="s">
        <v>55</v>
      </c>
      <c r="F177" t="s">
        <v>32</v>
      </c>
      <c r="G177" t="s">
        <v>30</v>
      </c>
      <c r="H177" t="s">
        <v>442</v>
      </c>
      <c r="I177" t="s">
        <v>65</v>
      </c>
      <c r="J177">
        <v>101.7</v>
      </c>
      <c r="K177">
        <v>7</v>
      </c>
      <c r="L177" t="s">
        <v>78</v>
      </c>
      <c r="M177">
        <v>3</v>
      </c>
      <c r="N177">
        <v>4</v>
      </c>
      <c r="O177">
        <v>2</v>
      </c>
      <c r="P177" t="s">
        <v>49</v>
      </c>
      <c r="Q177" t="s">
        <v>50</v>
      </c>
      <c r="R177">
        <v>2</v>
      </c>
      <c r="S177">
        <v>2</v>
      </c>
      <c r="T177" t="s">
        <v>36</v>
      </c>
      <c r="U177" t="s">
        <v>38</v>
      </c>
      <c r="V177" t="s">
        <v>61</v>
      </c>
      <c r="W177" s="1">
        <v>45468</v>
      </c>
      <c r="X177" t="b">
        <v>0</v>
      </c>
      <c r="Y177" t="b">
        <v>1</v>
      </c>
      <c r="Z177" t="s">
        <v>52</v>
      </c>
      <c r="AA177" t="s">
        <v>53</v>
      </c>
      <c r="AB177">
        <v>4</v>
      </c>
    </row>
    <row r="178" spans="1:28" x14ac:dyDescent="0.25">
      <c r="A178" t="s">
        <v>443</v>
      </c>
      <c r="B178">
        <v>50</v>
      </c>
      <c r="C178" t="s">
        <v>29</v>
      </c>
      <c r="D178" t="s">
        <v>30</v>
      </c>
      <c r="E178" t="s">
        <v>55</v>
      </c>
      <c r="F178" t="s">
        <v>45</v>
      </c>
      <c r="G178" t="s">
        <v>30</v>
      </c>
      <c r="H178" t="s">
        <v>444</v>
      </c>
      <c r="I178" t="s">
        <v>104</v>
      </c>
      <c r="J178">
        <v>369.73</v>
      </c>
      <c r="K178">
        <v>2</v>
      </c>
      <c r="L178" t="s">
        <v>78</v>
      </c>
      <c r="M178">
        <v>1</v>
      </c>
      <c r="N178">
        <v>2</v>
      </c>
      <c r="O178">
        <v>2</v>
      </c>
      <c r="P178" t="s">
        <v>36</v>
      </c>
      <c r="Q178" t="s">
        <v>50</v>
      </c>
      <c r="R178">
        <v>0</v>
      </c>
      <c r="S178">
        <v>3</v>
      </c>
      <c r="T178" t="s">
        <v>36</v>
      </c>
      <c r="U178" t="s">
        <v>38</v>
      </c>
      <c r="V178" t="s">
        <v>61</v>
      </c>
      <c r="W178" s="1">
        <v>45326</v>
      </c>
      <c r="X178" t="b">
        <v>1</v>
      </c>
      <c r="Y178" t="b">
        <v>1</v>
      </c>
      <c r="Z178" t="s">
        <v>52</v>
      </c>
      <c r="AA178" t="s">
        <v>41</v>
      </c>
      <c r="AB178">
        <v>12</v>
      </c>
    </row>
    <row r="179" spans="1:28" x14ac:dyDescent="0.25">
      <c r="A179" t="s">
        <v>445</v>
      </c>
      <c r="B179">
        <v>46</v>
      </c>
      <c r="C179" t="s">
        <v>43</v>
      </c>
      <c r="D179" t="s">
        <v>30</v>
      </c>
      <c r="E179" t="s">
        <v>55</v>
      </c>
      <c r="F179" t="s">
        <v>32</v>
      </c>
      <c r="G179" t="s">
        <v>44</v>
      </c>
      <c r="H179" t="s">
        <v>446</v>
      </c>
      <c r="I179" t="s">
        <v>123</v>
      </c>
      <c r="J179">
        <v>71</v>
      </c>
      <c r="K179">
        <v>12</v>
      </c>
      <c r="L179" t="s">
        <v>78</v>
      </c>
      <c r="M179">
        <v>1</v>
      </c>
      <c r="N179">
        <v>5</v>
      </c>
      <c r="O179">
        <v>2</v>
      </c>
      <c r="P179" t="s">
        <v>44</v>
      </c>
      <c r="Q179" t="s">
        <v>50</v>
      </c>
      <c r="R179">
        <v>2</v>
      </c>
      <c r="S179">
        <v>9</v>
      </c>
      <c r="T179" t="s">
        <v>59</v>
      </c>
      <c r="U179" t="s">
        <v>60</v>
      </c>
      <c r="V179" t="s">
        <v>86</v>
      </c>
      <c r="W179" s="1">
        <v>45469</v>
      </c>
      <c r="X179" t="b">
        <v>0</v>
      </c>
      <c r="Y179" t="b">
        <v>0</v>
      </c>
      <c r="Z179" t="s">
        <v>52</v>
      </c>
      <c r="AA179" t="s">
        <v>41</v>
      </c>
      <c r="AB179">
        <v>13</v>
      </c>
    </row>
    <row r="180" spans="1:28" x14ac:dyDescent="0.25">
      <c r="A180" t="s">
        <v>447</v>
      </c>
      <c r="B180">
        <v>47</v>
      </c>
      <c r="C180" t="s">
        <v>43</v>
      </c>
      <c r="D180" t="s">
        <v>30</v>
      </c>
      <c r="E180" t="s">
        <v>55</v>
      </c>
      <c r="F180" t="s">
        <v>56</v>
      </c>
      <c r="G180" t="s">
        <v>30</v>
      </c>
      <c r="H180" t="s">
        <v>448</v>
      </c>
      <c r="I180" t="s">
        <v>114</v>
      </c>
      <c r="J180">
        <v>280.05</v>
      </c>
      <c r="K180">
        <v>10</v>
      </c>
      <c r="L180" t="s">
        <v>48</v>
      </c>
      <c r="M180">
        <v>4</v>
      </c>
      <c r="N180">
        <v>1</v>
      </c>
      <c r="O180">
        <v>2</v>
      </c>
      <c r="P180" t="s">
        <v>49</v>
      </c>
      <c r="Q180" t="s">
        <v>85</v>
      </c>
      <c r="R180">
        <v>1</v>
      </c>
      <c r="S180">
        <v>2</v>
      </c>
      <c r="T180" t="s">
        <v>44</v>
      </c>
      <c r="U180" t="s">
        <v>60</v>
      </c>
      <c r="V180" t="s">
        <v>39</v>
      </c>
      <c r="W180" s="1">
        <v>45479</v>
      </c>
      <c r="X180" t="b">
        <v>1</v>
      </c>
      <c r="Y180" t="b">
        <v>0</v>
      </c>
      <c r="Z180" t="s">
        <v>52</v>
      </c>
      <c r="AA180" t="s">
        <v>41</v>
      </c>
      <c r="AB180">
        <v>11</v>
      </c>
    </row>
    <row r="181" spans="1:28" x14ac:dyDescent="0.25">
      <c r="A181" t="s">
        <v>449</v>
      </c>
      <c r="B181">
        <v>35</v>
      </c>
      <c r="C181" t="s">
        <v>43</v>
      </c>
      <c r="D181" t="s">
        <v>44</v>
      </c>
      <c r="E181" t="s">
        <v>69</v>
      </c>
      <c r="F181" t="s">
        <v>56</v>
      </c>
      <c r="G181" t="s">
        <v>30</v>
      </c>
      <c r="H181" t="s">
        <v>450</v>
      </c>
      <c r="I181" t="s">
        <v>246</v>
      </c>
      <c r="J181">
        <v>54.71</v>
      </c>
      <c r="K181">
        <v>4</v>
      </c>
      <c r="L181" t="s">
        <v>35</v>
      </c>
      <c r="M181">
        <v>5</v>
      </c>
      <c r="N181">
        <v>2</v>
      </c>
      <c r="O181">
        <v>1</v>
      </c>
      <c r="P181" t="s">
        <v>59</v>
      </c>
      <c r="Q181" t="s">
        <v>85</v>
      </c>
      <c r="R181">
        <v>1</v>
      </c>
      <c r="S181">
        <v>3</v>
      </c>
      <c r="T181" t="s">
        <v>36</v>
      </c>
      <c r="U181" t="s">
        <v>79</v>
      </c>
      <c r="V181" t="s">
        <v>51</v>
      </c>
      <c r="W181" s="1">
        <v>45591</v>
      </c>
      <c r="X181" t="b">
        <v>1</v>
      </c>
      <c r="Y181" t="b">
        <v>1</v>
      </c>
      <c r="Z181" t="s">
        <v>40</v>
      </c>
      <c r="AA181" t="s">
        <v>67</v>
      </c>
      <c r="AB181">
        <v>3</v>
      </c>
    </row>
    <row r="182" spans="1:28" x14ac:dyDescent="0.25">
      <c r="A182" t="s">
        <v>451</v>
      </c>
      <c r="B182">
        <v>27</v>
      </c>
      <c r="C182" t="s">
        <v>43</v>
      </c>
      <c r="D182" t="s">
        <v>44</v>
      </c>
      <c r="E182" t="s">
        <v>69</v>
      </c>
      <c r="F182" t="s">
        <v>32</v>
      </c>
      <c r="G182" t="s">
        <v>30</v>
      </c>
      <c r="H182" t="s">
        <v>452</v>
      </c>
      <c r="I182" t="s">
        <v>114</v>
      </c>
      <c r="J182">
        <v>119.51</v>
      </c>
      <c r="K182">
        <v>11</v>
      </c>
      <c r="L182" t="s">
        <v>35</v>
      </c>
      <c r="M182">
        <v>5</v>
      </c>
      <c r="N182">
        <v>5</v>
      </c>
      <c r="O182">
        <v>2</v>
      </c>
      <c r="P182" t="s">
        <v>59</v>
      </c>
      <c r="Q182" t="s">
        <v>85</v>
      </c>
      <c r="R182">
        <v>2</v>
      </c>
      <c r="S182">
        <v>8</v>
      </c>
      <c r="T182" t="s">
        <v>59</v>
      </c>
      <c r="U182" t="s">
        <v>79</v>
      </c>
      <c r="V182" t="s">
        <v>51</v>
      </c>
      <c r="W182" s="1">
        <v>45419</v>
      </c>
      <c r="X182" t="b">
        <v>0</v>
      </c>
      <c r="Y182" t="b">
        <v>0</v>
      </c>
      <c r="Z182" t="s">
        <v>74</v>
      </c>
      <c r="AA182" t="s">
        <v>41</v>
      </c>
      <c r="AB182">
        <v>1</v>
      </c>
    </row>
    <row r="183" spans="1:28" x14ac:dyDescent="0.25">
      <c r="A183" t="s">
        <v>453</v>
      </c>
      <c r="B183">
        <v>37</v>
      </c>
      <c r="C183" t="s">
        <v>29</v>
      </c>
      <c r="D183" t="s">
        <v>44</v>
      </c>
      <c r="E183" t="s">
        <v>55</v>
      </c>
      <c r="F183" t="s">
        <v>56</v>
      </c>
      <c r="G183" t="s">
        <v>44</v>
      </c>
      <c r="H183" t="s">
        <v>454</v>
      </c>
      <c r="I183" t="s">
        <v>135</v>
      </c>
      <c r="J183">
        <v>57.5</v>
      </c>
      <c r="K183">
        <v>12</v>
      </c>
      <c r="L183" t="s">
        <v>78</v>
      </c>
      <c r="M183">
        <v>5</v>
      </c>
      <c r="N183">
        <v>1</v>
      </c>
      <c r="O183">
        <v>1</v>
      </c>
      <c r="P183" t="s">
        <v>36</v>
      </c>
      <c r="Q183" t="s">
        <v>50</v>
      </c>
      <c r="R183">
        <v>0</v>
      </c>
      <c r="S183">
        <v>3</v>
      </c>
      <c r="T183" t="s">
        <v>36</v>
      </c>
      <c r="U183" t="s">
        <v>79</v>
      </c>
      <c r="V183" t="s">
        <v>86</v>
      </c>
      <c r="W183" s="1">
        <v>45634</v>
      </c>
      <c r="X183" t="b">
        <v>1</v>
      </c>
      <c r="Y183" t="b">
        <v>1</v>
      </c>
      <c r="Z183" t="s">
        <v>62</v>
      </c>
      <c r="AA183" t="s">
        <v>41</v>
      </c>
      <c r="AB183">
        <v>13</v>
      </c>
    </row>
    <row r="184" spans="1:28" x14ac:dyDescent="0.25">
      <c r="A184" t="s">
        <v>455</v>
      </c>
      <c r="B184">
        <v>38</v>
      </c>
      <c r="C184" t="s">
        <v>29</v>
      </c>
      <c r="D184" t="s">
        <v>44</v>
      </c>
      <c r="E184" t="s">
        <v>31</v>
      </c>
      <c r="F184" t="s">
        <v>32</v>
      </c>
      <c r="G184" t="s">
        <v>44</v>
      </c>
      <c r="H184" t="s">
        <v>456</v>
      </c>
      <c r="I184" t="s">
        <v>82</v>
      </c>
      <c r="J184">
        <v>225.05</v>
      </c>
      <c r="K184">
        <v>5</v>
      </c>
      <c r="L184" t="s">
        <v>35</v>
      </c>
      <c r="M184">
        <v>2</v>
      </c>
      <c r="N184">
        <v>1</v>
      </c>
      <c r="O184">
        <v>1</v>
      </c>
      <c r="P184" t="s">
        <v>44</v>
      </c>
      <c r="Q184" t="s">
        <v>37</v>
      </c>
      <c r="R184">
        <v>1</v>
      </c>
      <c r="S184">
        <v>1</v>
      </c>
      <c r="T184" t="s">
        <v>59</v>
      </c>
      <c r="U184" t="s">
        <v>79</v>
      </c>
      <c r="V184" t="s">
        <v>39</v>
      </c>
      <c r="W184" s="1">
        <v>45470</v>
      </c>
      <c r="X184" t="b">
        <v>0</v>
      </c>
      <c r="Y184" t="b">
        <v>0</v>
      </c>
      <c r="Z184" t="s">
        <v>40</v>
      </c>
      <c r="AA184" t="s">
        <v>41</v>
      </c>
      <c r="AB184">
        <v>10</v>
      </c>
    </row>
    <row r="185" spans="1:28" x14ac:dyDescent="0.25">
      <c r="A185" t="s">
        <v>457</v>
      </c>
      <c r="B185">
        <v>41</v>
      </c>
      <c r="C185" t="s">
        <v>29</v>
      </c>
      <c r="D185" t="s">
        <v>44</v>
      </c>
      <c r="E185" t="s">
        <v>76</v>
      </c>
      <c r="F185" t="s">
        <v>45</v>
      </c>
      <c r="G185" t="s">
        <v>44</v>
      </c>
      <c r="H185" t="s">
        <v>458</v>
      </c>
      <c r="I185" t="s">
        <v>47</v>
      </c>
      <c r="J185">
        <v>441.15</v>
      </c>
      <c r="K185">
        <v>7</v>
      </c>
      <c r="L185" t="s">
        <v>78</v>
      </c>
      <c r="M185">
        <v>3</v>
      </c>
      <c r="N185">
        <v>1</v>
      </c>
      <c r="O185">
        <v>1</v>
      </c>
      <c r="P185" t="s">
        <v>59</v>
      </c>
      <c r="Q185" t="s">
        <v>37</v>
      </c>
      <c r="R185">
        <v>1</v>
      </c>
      <c r="S185">
        <v>1</v>
      </c>
      <c r="T185" t="s">
        <v>36</v>
      </c>
      <c r="U185" t="s">
        <v>60</v>
      </c>
      <c r="V185" t="s">
        <v>61</v>
      </c>
      <c r="W185" s="1">
        <v>45535</v>
      </c>
      <c r="X185" t="b">
        <v>0</v>
      </c>
      <c r="Y185" t="b">
        <v>0</v>
      </c>
      <c r="Z185" t="s">
        <v>40</v>
      </c>
      <c r="AA185" t="s">
        <v>41</v>
      </c>
      <c r="AB185">
        <v>8</v>
      </c>
    </row>
    <row r="186" spans="1:28" x14ac:dyDescent="0.25">
      <c r="A186" t="s">
        <v>459</v>
      </c>
      <c r="B186">
        <v>48</v>
      </c>
      <c r="C186" t="s">
        <v>43</v>
      </c>
      <c r="D186" t="s">
        <v>30</v>
      </c>
      <c r="E186" t="s">
        <v>76</v>
      </c>
      <c r="F186" t="s">
        <v>45</v>
      </c>
      <c r="G186" t="s">
        <v>30</v>
      </c>
      <c r="H186" t="s">
        <v>460</v>
      </c>
      <c r="I186" t="s">
        <v>101</v>
      </c>
      <c r="J186">
        <v>481.21</v>
      </c>
      <c r="K186">
        <v>3</v>
      </c>
      <c r="L186" t="s">
        <v>35</v>
      </c>
      <c r="M186">
        <v>1</v>
      </c>
      <c r="N186">
        <v>2</v>
      </c>
      <c r="O186">
        <v>1</v>
      </c>
      <c r="P186" t="s">
        <v>44</v>
      </c>
      <c r="Q186" t="s">
        <v>50</v>
      </c>
      <c r="R186">
        <v>0</v>
      </c>
      <c r="S186">
        <v>1</v>
      </c>
      <c r="T186" t="s">
        <v>36</v>
      </c>
      <c r="U186" t="s">
        <v>79</v>
      </c>
      <c r="V186" t="s">
        <v>39</v>
      </c>
      <c r="W186" s="1">
        <v>45609</v>
      </c>
      <c r="X186" t="b">
        <v>0</v>
      </c>
      <c r="Y186" t="b">
        <v>0</v>
      </c>
      <c r="Z186" t="s">
        <v>52</v>
      </c>
      <c r="AA186" t="s">
        <v>41</v>
      </c>
      <c r="AB186">
        <v>11</v>
      </c>
    </row>
    <row r="187" spans="1:28" x14ac:dyDescent="0.25">
      <c r="A187" t="s">
        <v>461</v>
      </c>
      <c r="B187">
        <v>48</v>
      </c>
      <c r="C187" t="s">
        <v>29</v>
      </c>
      <c r="D187" t="s">
        <v>44</v>
      </c>
      <c r="E187" t="s">
        <v>31</v>
      </c>
      <c r="F187" t="s">
        <v>32</v>
      </c>
      <c r="G187" t="s">
        <v>30</v>
      </c>
      <c r="H187" t="s">
        <v>462</v>
      </c>
      <c r="I187" t="s">
        <v>135</v>
      </c>
      <c r="J187">
        <v>102.96</v>
      </c>
      <c r="K187">
        <v>3</v>
      </c>
      <c r="L187" t="s">
        <v>35</v>
      </c>
      <c r="M187">
        <v>1</v>
      </c>
      <c r="N187">
        <v>1</v>
      </c>
      <c r="O187">
        <v>1</v>
      </c>
      <c r="P187" t="s">
        <v>59</v>
      </c>
      <c r="Q187" t="s">
        <v>85</v>
      </c>
      <c r="R187">
        <v>0</v>
      </c>
      <c r="S187">
        <v>7</v>
      </c>
      <c r="T187" t="s">
        <v>59</v>
      </c>
      <c r="U187" t="s">
        <v>79</v>
      </c>
      <c r="V187" t="s">
        <v>51</v>
      </c>
      <c r="W187" s="1">
        <v>45645</v>
      </c>
      <c r="X187" t="b">
        <v>0</v>
      </c>
      <c r="Y187" t="b">
        <v>1</v>
      </c>
      <c r="Z187" t="s">
        <v>52</v>
      </c>
      <c r="AA187" t="s">
        <v>53</v>
      </c>
      <c r="AB187">
        <v>4</v>
      </c>
    </row>
    <row r="188" spans="1:28" x14ac:dyDescent="0.25">
      <c r="A188" t="s">
        <v>463</v>
      </c>
      <c r="B188">
        <v>45</v>
      </c>
      <c r="C188" t="s">
        <v>29</v>
      </c>
      <c r="D188" t="s">
        <v>44</v>
      </c>
      <c r="E188" t="s">
        <v>76</v>
      </c>
      <c r="F188" t="s">
        <v>32</v>
      </c>
      <c r="G188" t="s">
        <v>44</v>
      </c>
      <c r="H188" t="s">
        <v>464</v>
      </c>
      <c r="I188" t="s">
        <v>117</v>
      </c>
      <c r="J188">
        <v>331.57</v>
      </c>
      <c r="K188">
        <v>11</v>
      </c>
      <c r="L188" t="s">
        <v>35</v>
      </c>
      <c r="M188">
        <v>3</v>
      </c>
      <c r="N188">
        <v>1</v>
      </c>
      <c r="O188">
        <v>0</v>
      </c>
      <c r="P188" t="s">
        <v>59</v>
      </c>
      <c r="Q188" t="s">
        <v>37</v>
      </c>
      <c r="R188">
        <v>1</v>
      </c>
      <c r="S188">
        <v>6</v>
      </c>
      <c r="T188" t="s">
        <v>49</v>
      </c>
      <c r="U188" t="s">
        <v>79</v>
      </c>
      <c r="V188" t="s">
        <v>61</v>
      </c>
      <c r="W188" s="1">
        <v>45418</v>
      </c>
      <c r="X188" t="b">
        <v>0</v>
      </c>
      <c r="Y188" t="b">
        <v>0</v>
      </c>
      <c r="Z188" t="s">
        <v>62</v>
      </c>
      <c r="AA188" t="s">
        <v>67</v>
      </c>
      <c r="AB188">
        <v>14</v>
      </c>
    </row>
    <row r="189" spans="1:28" x14ac:dyDescent="0.25">
      <c r="A189" t="s">
        <v>465</v>
      </c>
      <c r="B189">
        <v>26</v>
      </c>
      <c r="C189" t="s">
        <v>190</v>
      </c>
      <c r="D189" t="s">
        <v>30</v>
      </c>
      <c r="E189" t="s">
        <v>69</v>
      </c>
      <c r="F189" t="s">
        <v>45</v>
      </c>
      <c r="G189" t="s">
        <v>30</v>
      </c>
      <c r="H189" t="s">
        <v>466</v>
      </c>
      <c r="I189" t="s">
        <v>117</v>
      </c>
      <c r="J189">
        <v>101.29</v>
      </c>
      <c r="K189">
        <v>11</v>
      </c>
      <c r="L189" t="s">
        <v>48</v>
      </c>
      <c r="M189">
        <v>1</v>
      </c>
      <c r="N189">
        <v>1</v>
      </c>
      <c r="O189">
        <v>2</v>
      </c>
      <c r="P189" t="s">
        <v>49</v>
      </c>
      <c r="Q189" t="s">
        <v>50</v>
      </c>
      <c r="R189">
        <v>2</v>
      </c>
      <c r="S189">
        <v>7</v>
      </c>
      <c r="T189" t="s">
        <v>49</v>
      </c>
      <c r="U189" t="s">
        <v>60</v>
      </c>
      <c r="V189" t="s">
        <v>86</v>
      </c>
      <c r="W189" s="1">
        <v>45595</v>
      </c>
      <c r="X189" t="b">
        <v>0</v>
      </c>
      <c r="Y189" t="b">
        <v>1</v>
      </c>
      <c r="Z189" t="s">
        <v>40</v>
      </c>
      <c r="AA189" t="s">
        <v>41</v>
      </c>
      <c r="AB189">
        <v>4</v>
      </c>
    </row>
    <row r="190" spans="1:28" x14ac:dyDescent="0.25">
      <c r="A190" t="s">
        <v>467</v>
      </c>
      <c r="B190">
        <v>50</v>
      </c>
      <c r="C190" t="s">
        <v>29</v>
      </c>
      <c r="D190" t="s">
        <v>30</v>
      </c>
      <c r="E190" t="s">
        <v>55</v>
      </c>
      <c r="F190" t="s">
        <v>56</v>
      </c>
      <c r="G190" t="s">
        <v>44</v>
      </c>
      <c r="H190" t="s">
        <v>468</v>
      </c>
      <c r="I190" t="s">
        <v>114</v>
      </c>
      <c r="J190">
        <v>143.52000000000001</v>
      </c>
      <c r="K190">
        <v>9</v>
      </c>
      <c r="L190" t="s">
        <v>48</v>
      </c>
      <c r="M190">
        <v>2</v>
      </c>
      <c r="N190">
        <v>5</v>
      </c>
      <c r="O190">
        <v>1</v>
      </c>
      <c r="P190" t="s">
        <v>49</v>
      </c>
      <c r="Q190" t="s">
        <v>37</v>
      </c>
      <c r="R190">
        <v>2</v>
      </c>
      <c r="S190">
        <v>3</v>
      </c>
      <c r="T190" t="s">
        <v>36</v>
      </c>
      <c r="U190" t="s">
        <v>38</v>
      </c>
      <c r="V190" t="s">
        <v>39</v>
      </c>
      <c r="W190" s="1">
        <v>45393</v>
      </c>
      <c r="X190" t="b">
        <v>1</v>
      </c>
      <c r="Y190" t="b">
        <v>0</v>
      </c>
      <c r="Z190" t="s">
        <v>62</v>
      </c>
      <c r="AA190" t="s">
        <v>67</v>
      </c>
      <c r="AB190">
        <v>12</v>
      </c>
    </row>
    <row r="191" spans="1:28" x14ac:dyDescent="0.25">
      <c r="A191" t="s">
        <v>469</v>
      </c>
      <c r="B191">
        <v>39</v>
      </c>
      <c r="C191" t="s">
        <v>43</v>
      </c>
      <c r="D191" t="s">
        <v>30</v>
      </c>
      <c r="E191" t="s">
        <v>69</v>
      </c>
      <c r="F191" t="s">
        <v>32</v>
      </c>
      <c r="G191" t="s">
        <v>30</v>
      </c>
      <c r="H191" t="s">
        <v>470</v>
      </c>
      <c r="I191" t="s">
        <v>90</v>
      </c>
      <c r="J191">
        <v>276.48</v>
      </c>
      <c r="K191">
        <v>3</v>
      </c>
      <c r="L191" t="s">
        <v>35</v>
      </c>
      <c r="M191">
        <v>1</v>
      </c>
      <c r="N191">
        <v>2</v>
      </c>
      <c r="O191">
        <v>1</v>
      </c>
      <c r="P191" t="s">
        <v>36</v>
      </c>
      <c r="Q191" t="s">
        <v>37</v>
      </c>
      <c r="R191">
        <v>0</v>
      </c>
      <c r="S191">
        <v>4</v>
      </c>
      <c r="T191" t="s">
        <v>59</v>
      </c>
      <c r="U191" t="s">
        <v>79</v>
      </c>
      <c r="V191" t="s">
        <v>86</v>
      </c>
      <c r="W191" s="1">
        <v>45417</v>
      </c>
      <c r="X191" t="b">
        <v>0</v>
      </c>
      <c r="Y191" t="b">
        <v>0</v>
      </c>
      <c r="Z191" t="s">
        <v>40</v>
      </c>
      <c r="AA191" t="s">
        <v>67</v>
      </c>
      <c r="AB191">
        <v>7</v>
      </c>
    </row>
    <row r="192" spans="1:28" x14ac:dyDescent="0.25">
      <c r="A192" t="s">
        <v>471</v>
      </c>
      <c r="B192">
        <v>20</v>
      </c>
      <c r="C192" t="s">
        <v>43</v>
      </c>
      <c r="D192" t="s">
        <v>44</v>
      </c>
      <c r="E192" t="s">
        <v>69</v>
      </c>
      <c r="F192" t="s">
        <v>45</v>
      </c>
      <c r="G192" t="s">
        <v>44</v>
      </c>
      <c r="H192" t="s">
        <v>472</v>
      </c>
      <c r="I192" t="s">
        <v>126</v>
      </c>
      <c r="J192">
        <v>352.87</v>
      </c>
      <c r="K192">
        <v>11</v>
      </c>
      <c r="L192" t="s">
        <v>48</v>
      </c>
      <c r="M192">
        <v>5</v>
      </c>
      <c r="N192">
        <v>3</v>
      </c>
      <c r="O192">
        <v>0</v>
      </c>
      <c r="P192" t="s">
        <v>44</v>
      </c>
      <c r="Q192" t="s">
        <v>50</v>
      </c>
      <c r="R192">
        <v>0</v>
      </c>
      <c r="S192">
        <v>6</v>
      </c>
      <c r="T192" t="s">
        <v>44</v>
      </c>
      <c r="U192" t="s">
        <v>38</v>
      </c>
      <c r="V192" t="s">
        <v>51</v>
      </c>
      <c r="W192" s="1">
        <v>45341</v>
      </c>
      <c r="X192" t="b">
        <v>0</v>
      </c>
      <c r="Y192" t="b">
        <v>0</v>
      </c>
      <c r="Z192" t="s">
        <v>52</v>
      </c>
      <c r="AA192" t="s">
        <v>53</v>
      </c>
      <c r="AB192">
        <v>12</v>
      </c>
    </row>
    <row r="193" spans="1:28" x14ac:dyDescent="0.25">
      <c r="A193" t="s">
        <v>473</v>
      </c>
      <c r="B193">
        <v>48</v>
      </c>
      <c r="C193" t="s">
        <v>43</v>
      </c>
      <c r="D193" t="s">
        <v>30</v>
      </c>
      <c r="E193" t="s">
        <v>31</v>
      </c>
      <c r="F193" t="s">
        <v>56</v>
      </c>
      <c r="G193" t="s">
        <v>30</v>
      </c>
      <c r="H193" t="s">
        <v>474</v>
      </c>
      <c r="I193" t="s">
        <v>93</v>
      </c>
      <c r="J193">
        <v>228.68</v>
      </c>
      <c r="K193">
        <v>3</v>
      </c>
      <c r="L193" t="s">
        <v>35</v>
      </c>
      <c r="M193">
        <v>2</v>
      </c>
      <c r="N193">
        <v>1</v>
      </c>
      <c r="O193">
        <v>2</v>
      </c>
      <c r="P193" t="s">
        <v>59</v>
      </c>
      <c r="Q193" t="s">
        <v>85</v>
      </c>
      <c r="R193">
        <v>1</v>
      </c>
      <c r="S193">
        <v>4</v>
      </c>
      <c r="T193" t="s">
        <v>36</v>
      </c>
      <c r="U193" t="s">
        <v>38</v>
      </c>
      <c r="V193" t="s">
        <v>61</v>
      </c>
      <c r="W193" s="1">
        <v>45574</v>
      </c>
      <c r="X193" t="b">
        <v>1</v>
      </c>
      <c r="Y193" t="b">
        <v>0</v>
      </c>
      <c r="Z193" t="s">
        <v>74</v>
      </c>
      <c r="AA193" t="s">
        <v>53</v>
      </c>
      <c r="AB193">
        <v>4</v>
      </c>
    </row>
    <row r="194" spans="1:28" x14ac:dyDescent="0.25">
      <c r="A194" t="s">
        <v>475</v>
      </c>
      <c r="B194">
        <v>31</v>
      </c>
      <c r="C194" t="s">
        <v>29</v>
      </c>
      <c r="D194" t="s">
        <v>30</v>
      </c>
      <c r="E194" t="s">
        <v>76</v>
      </c>
      <c r="F194" t="s">
        <v>56</v>
      </c>
      <c r="G194" t="s">
        <v>44</v>
      </c>
      <c r="H194" t="s">
        <v>476</v>
      </c>
      <c r="I194" t="s">
        <v>47</v>
      </c>
      <c r="J194">
        <v>301.39</v>
      </c>
      <c r="K194">
        <v>6</v>
      </c>
      <c r="L194" t="s">
        <v>78</v>
      </c>
      <c r="M194">
        <v>2</v>
      </c>
      <c r="N194">
        <v>1</v>
      </c>
      <c r="O194">
        <v>0</v>
      </c>
      <c r="P194" t="s">
        <v>36</v>
      </c>
      <c r="Q194" t="s">
        <v>85</v>
      </c>
      <c r="R194">
        <v>1</v>
      </c>
      <c r="S194">
        <v>4</v>
      </c>
      <c r="T194" t="s">
        <v>59</v>
      </c>
      <c r="U194" t="s">
        <v>79</v>
      </c>
      <c r="V194" t="s">
        <v>61</v>
      </c>
      <c r="W194" s="1">
        <v>45403</v>
      </c>
      <c r="X194" t="b">
        <v>0</v>
      </c>
      <c r="Y194" t="b">
        <v>0</v>
      </c>
      <c r="Z194" t="s">
        <v>40</v>
      </c>
      <c r="AA194" t="s">
        <v>41</v>
      </c>
      <c r="AB194">
        <v>11</v>
      </c>
    </row>
    <row r="195" spans="1:28" x14ac:dyDescent="0.25">
      <c r="A195" t="s">
        <v>477</v>
      </c>
      <c r="B195">
        <v>25</v>
      </c>
      <c r="C195" t="s">
        <v>29</v>
      </c>
      <c r="D195" t="s">
        <v>30</v>
      </c>
      <c r="E195" t="s">
        <v>31</v>
      </c>
      <c r="F195" t="s">
        <v>32</v>
      </c>
      <c r="G195" t="s">
        <v>44</v>
      </c>
      <c r="H195" t="s">
        <v>478</v>
      </c>
      <c r="I195" t="s">
        <v>82</v>
      </c>
      <c r="J195">
        <v>473.5</v>
      </c>
      <c r="K195">
        <v>11</v>
      </c>
      <c r="L195" t="s">
        <v>35</v>
      </c>
      <c r="M195">
        <v>2</v>
      </c>
      <c r="N195">
        <v>4</v>
      </c>
      <c r="O195">
        <v>1</v>
      </c>
      <c r="P195" t="s">
        <v>59</v>
      </c>
      <c r="Q195" t="s">
        <v>37</v>
      </c>
      <c r="R195">
        <v>2</v>
      </c>
      <c r="S195">
        <v>3</v>
      </c>
      <c r="T195" t="s">
        <v>44</v>
      </c>
      <c r="U195" t="s">
        <v>38</v>
      </c>
      <c r="V195" t="s">
        <v>66</v>
      </c>
      <c r="W195" s="1">
        <v>45497</v>
      </c>
      <c r="X195" t="b">
        <v>0</v>
      </c>
      <c r="Y195" t="b">
        <v>1</v>
      </c>
      <c r="Z195" t="s">
        <v>62</v>
      </c>
      <c r="AA195" t="s">
        <v>67</v>
      </c>
      <c r="AB195">
        <v>10</v>
      </c>
    </row>
    <row r="196" spans="1:28" x14ac:dyDescent="0.25">
      <c r="A196" t="s">
        <v>479</v>
      </c>
      <c r="B196">
        <v>18</v>
      </c>
      <c r="C196" t="s">
        <v>274</v>
      </c>
      <c r="D196" t="s">
        <v>30</v>
      </c>
      <c r="E196" t="s">
        <v>55</v>
      </c>
      <c r="F196" t="s">
        <v>32</v>
      </c>
      <c r="G196" t="s">
        <v>44</v>
      </c>
      <c r="H196" t="s">
        <v>480</v>
      </c>
      <c r="I196" t="s">
        <v>65</v>
      </c>
      <c r="J196">
        <v>72.8</v>
      </c>
      <c r="K196">
        <v>11</v>
      </c>
      <c r="L196" t="s">
        <v>48</v>
      </c>
      <c r="M196">
        <v>2</v>
      </c>
      <c r="N196">
        <v>4</v>
      </c>
      <c r="O196">
        <v>1</v>
      </c>
      <c r="P196" t="s">
        <v>44</v>
      </c>
      <c r="Q196" t="s">
        <v>37</v>
      </c>
      <c r="R196">
        <v>2</v>
      </c>
      <c r="S196">
        <v>10</v>
      </c>
      <c r="T196" t="s">
        <v>44</v>
      </c>
      <c r="U196" t="s">
        <v>79</v>
      </c>
      <c r="V196" t="s">
        <v>51</v>
      </c>
      <c r="W196" s="1">
        <v>45524</v>
      </c>
      <c r="X196" t="b">
        <v>1</v>
      </c>
      <c r="Y196" t="b">
        <v>0</v>
      </c>
      <c r="Z196" t="s">
        <v>40</v>
      </c>
      <c r="AA196" t="s">
        <v>67</v>
      </c>
      <c r="AB196">
        <v>3</v>
      </c>
    </row>
    <row r="197" spans="1:28" x14ac:dyDescent="0.25">
      <c r="A197" t="s">
        <v>481</v>
      </c>
      <c r="B197">
        <v>18</v>
      </c>
      <c r="C197" t="s">
        <v>43</v>
      </c>
      <c r="D197" t="s">
        <v>30</v>
      </c>
      <c r="E197" t="s">
        <v>76</v>
      </c>
      <c r="F197" t="s">
        <v>32</v>
      </c>
      <c r="G197" t="s">
        <v>44</v>
      </c>
      <c r="H197" t="s">
        <v>482</v>
      </c>
      <c r="I197" t="s">
        <v>114</v>
      </c>
      <c r="J197">
        <v>171.72</v>
      </c>
      <c r="K197">
        <v>3</v>
      </c>
      <c r="L197" t="s">
        <v>78</v>
      </c>
      <c r="M197">
        <v>5</v>
      </c>
      <c r="N197">
        <v>3</v>
      </c>
      <c r="O197">
        <v>1</v>
      </c>
      <c r="P197" t="s">
        <v>59</v>
      </c>
      <c r="Q197" t="s">
        <v>85</v>
      </c>
      <c r="R197">
        <v>1</v>
      </c>
      <c r="S197">
        <v>2</v>
      </c>
      <c r="T197" t="s">
        <v>36</v>
      </c>
      <c r="U197" t="s">
        <v>79</v>
      </c>
      <c r="V197" t="s">
        <v>51</v>
      </c>
      <c r="W197" s="1">
        <v>45375</v>
      </c>
      <c r="X197" t="b">
        <v>0</v>
      </c>
      <c r="Y197" t="b">
        <v>1</v>
      </c>
      <c r="Z197" t="s">
        <v>62</v>
      </c>
      <c r="AA197" t="s">
        <v>53</v>
      </c>
      <c r="AB197">
        <v>12</v>
      </c>
    </row>
    <row r="198" spans="1:28" x14ac:dyDescent="0.25">
      <c r="A198" t="s">
        <v>483</v>
      </c>
      <c r="B198">
        <v>31</v>
      </c>
      <c r="C198" t="s">
        <v>43</v>
      </c>
      <c r="D198" t="s">
        <v>30</v>
      </c>
      <c r="E198" t="s">
        <v>69</v>
      </c>
      <c r="F198" t="s">
        <v>45</v>
      </c>
      <c r="G198" t="s">
        <v>30</v>
      </c>
      <c r="H198" t="s">
        <v>484</v>
      </c>
      <c r="I198" t="s">
        <v>120</v>
      </c>
      <c r="J198">
        <v>467.5</v>
      </c>
      <c r="K198">
        <v>6</v>
      </c>
      <c r="L198" t="s">
        <v>48</v>
      </c>
      <c r="M198">
        <v>2</v>
      </c>
      <c r="N198">
        <v>1</v>
      </c>
      <c r="O198">
        <v>0</v>
      </c>
      <c r="P198" t="s">
        <v>36</v>
      </c>
      <c r="Q198" t="s">
        <v>37</v>
      </c>
      <c r="R198">
        <v>1</v>
      </c>
      <c r="S198">
        <v>1</v>
      </c>
      <c r="T198" t="s">
        <v>44</v>
      </c>
      <c r="U198" t="s">
        <v>79</v>
      </c>
      <c r="V198" t="s">
        <v>51</v>
      </c>
      <c r="W198" s="1">
        <v>45386</v>
      </c>
      <c r="X198" t="b">
        <v>0</v>
      </c>
      <c r="Y198" t="b">
        <v>0</v>
      </c>
      <c r="Z198" t="s">
        <v>74</v>
      </c>
      <c r="AA198" t="s">
        <v>41</v>
      </c>
      <c r="AB198">
        <v>6</v>
      </c>
    </row>
    <row r="199" spans="1:28" x14ac:dyDescent="0.25">
      <c r="A199" t="s">
        <v>485</v>
      </c>
      <c r="B199">
        <v>43</v>
      </c>
      <c r="C199" t="s">
        <v>352</v>
      </c>
      <c r="D199" t="s">
        <v>44</v>
      </c>
      <c r="E199" t="s">
        <v>31</v>
      </c>
      <c r="F199" t="s">
        <v>32</v>
      </c>
      <c r="G199" t="s">
        <v>44</v>
      </c>
      <c r="H199" t="s">
        <v>486</v>
      </c>
      <c r="I199" t="s">
        <v>71</v>
      </c>
      <c r="J199">
        <v>209.79</v>
      </c>
      <c r="K199">
        <v>6</v>
      </c>
      <c r="L199" t="s">
        <v>35</v>
      </c>
      <c r="M199">
        <v>5</v>
      </c>
      <c r="N199">
        <v>1</v>
      </c>
      <c r="O199">
        <v>2</v>
      </c>
      <c r="P199" t="s">
        <v>44</v>
      </c>
      <c r="Q199" t="s">
        <v>50</v>
      </c>
      <c r="R199">
        <v>1</v>
      </c>
      <c r="S199">
        <v>9</v>
      </c>
      <c r="T199" t="s">
        <v>59</v>
      </c>
      <c r="U199" t="s">
        <v>38</v>
      </c>
      <c r="V199" t="s">
        <v>66</v>
      </c>
      <c r="W199" s="1">
        <v>45548</v>
      </c>
      <c r="X199" t="b">
        <v>1</v>
      </c>
      <c r="Y199" t="b">
        <v>1</v>
      </c>
      <c r="Z199" t="s">
        <v>40</v>
      </c>
      <c r="AA199" t="s">
        <v>53</v>
      </c>
      <c r="AB199">
        <v>10</v>
      </c>
    </row>
    <row r="200" spans="1:28" x14ac:dyDescent="0.25">
      <c r="A200" t="s">
        <v>487</v>
      </c>
      <c r="B200">
        <v>23</v>
      </c>
      <c r="C200" t="s">
        <v>43</v>
      </c>
      <c r="D200" t="s">
        <v>30</v>
      </c>
      <c r="E200" t="s">
        <v>55</v>
      </c>
      <c r="F200" t="s">
        <v>45</v>
      </c>
      <c r="G200" t="s">
        <v>30</v>
      </c>
      <c r="H200" t="s">
        <v>488</v>
      </c>
      <c r="I200" t="s">
        <v>58</v>
      </c>
      <c r="J200">
        <v>150.33000000000001</v>
      </c>
      <c r="K200">
        <v>9</v>
      </c>
      <c r="L200" t="s">
        <v>48</v>
      </c>
      <c r="M200">
        <v>4</v>
      </c>
      <c r="N200">
        <v>4</v>
      </c>
      <c r="O200">
        <v>2</v>
      </c>
      <c r="P200" t="s">
        <v>36</v>
      </c>
      <c r="Q200" t="s">
        <v>37</v>
      </c>
      <c r="R200">
        <v>2</v>
      </c>
      <c r="S200">
        <v>9</v>
      </c>
      <c r="T200" t="s">
        <v>49</v>
      </c>
      <c r="U200" t="s">
        <v>79</v>
      </c>
      <c r="V200" t="s">
        <v>61</v>
      </c>
      <c r="W200" s="1">
        <v>45406</v>
      </c>
      <c r="X200" t="b">
        <v>1</v>
      </c>
      <c r="Y200" t="b">
        <v>0</v>
      </c>
      <c r="Z200" t="s">
        <v>52</v>
      </c>
      <c r="AA200" t="s">
        <v>67</v>
      </c>
      <c r="AB200">
        <v>6</v>
      </c>
    </row>
    <row r="201" spans="1:28" x14ac:dyDescent="0.25">
      <c r="A201" t="s">
        <v>489</v>
      </c>
      <c r="B201">
        <v>29</v>
      </c>
      <c r="C201" t="s">
        <v>43</v>
      </c>
      <c r="D201" t="s">
        <v>44</v>
      </c>
      <c r="E201" t="s">
        <v>31</v>
      </c>
      <c r="F201" t="s">
        <v>32</v>
      </c>
      <c r="G201" t="s">
        <v>44</v>
      </c>
      <c r="H201" t="s">
        <v>490</v>
      </c>
      <c r="I201" t="s">
        <v>98</v>
      </c>
      <c r="J201">
        <v>98.63</v>
      </c>
      <c r="K201">
        <v>7</v>
      </c>
      <c r="L201" t="s">
        <v>78</v>
      </c>
      <c r="M201">
        <v>4</v>
      </c>
      <c r="N201">
        <v>5</v>
      </c>
      <c r="O201">
        <v>2</v>
      </c>
      <c r="P201" t="s">
        <v>44</v>
      </c>
      <c r="Q201" t="s">
        <v>37</v>
      </c>
      <c r="R201">
        <v>1</v>
      </c>
      <c r="S201">
        <v>3</v>
      </c>
      <c r="T201" t="s">
        <v>59</v>
      </c>
      <c r="U201" t="s">
        <v>38</v>
      </c>
      <c r="V201" t="s">
        <v>66</v>
      </c>
      <c r="W201" s="1">
        <v>45300</v>
      </c>
      <c r="X201" t="b">
        <v>0</v>
      </c>
      <c r="Y201" t="b">
        <v>1</v>
      </c>
      <c r="Z201" t="s">
        <v>74</v>
      </c>
      <c r="AA201" t="s">
        <v>53</v>
      </c>
      <c r="AB201">
        <v>6</v>
      </c>
    </row>
    <row r="202" spans="1:28" x14ac:dyDescent="0.25">
      <c r="A202" t="s">
        <v>491</v>
      </c>
      <c r="B202">
        <v>21</v>
      </c>
      <c r="C202" t="s">
        <v>29</v>
      </c>
      <c r="D202" t="s">
        <v>30</v>
      </c>
      <c r="E202" t="s">
        <v>76</v>
      </c>
      <c r="F202" t="s">
        <v>56</v>
      </c>
      <c r="G202" t="s">
        <v>30</v>
      </c>
      <c r="H202" t="s">
        <v>492</v>
      </c>
      <c r="I202" t="s">
        <v>188</v>
      </c>
      <c r="J202">
        <v>193.3</v>
      </c>
      <c r="K202">
        <v>11</v>
      </c>
      <c r="L202" t="s">
        <v>35</v>
      </c>
      <c r="M202">
        <v>4</v>
      </c>
      <c r="N202">
        <v>2</v>
      </c>
      <c r="O202">
        <v>2</v>
      </c>
      <c r="P202" t="s">
        <v>36</v>
      </c>
      <c r="Q202" t="s">
        <v>85</v>
      </c>
      <c r="R202">
        <v>2</v>
      </c>
      <c r="S202">
        <v>1</v>
      </c>
      <c r="T202" t="s">
        <v>49</v>
      </c>
      <c r="U202" t="s">
        <v>38</v>
      </c>
      <c r="V202" t="s">
        <v>66</v>
      </c>
      <c r="W202" s="1">
        <v>45446</v>
      </c>
      <c r="X202" t="b">
        <v>1</v>
      </c>
      <c r="Y202" t="b">
        <v>1</v>
      </c>
      <c r="Z202" t="s">
        <v>74</v>
      </c>
      <c r="AA202" t="s">
        <v>41</v>
      </c>
      <c r="AB202">
        <v>12</v>
      </c>
    </row>
    <row r="203" spans="1:28" x14ac:dyDescent="0.25">
      <c r="A203" t="s">
        <v>493</v>
      </c>
      <c r="B203">
        <v>49</v>
      </c>
      <c r="C203" t="s">
        <v>29</v>
      </c>
      <c r="D203" t="s">
        <v>30</v>
      </c>
      <c r="E203" t="s">
        <v>55</v>
      </c>
      <c r="F203" t="s">
        <v>45</v>
      </c>
      <c r="G203" t="s">
        <v>30</v>
      </c>
      <c r="H203" t="s">
        <v>494</v>
      </c>
      <c r="I203" t="s">
        <v>98</v>
      </c>
      <c r="J203">
        <v>145.02000000000001</v>
      </c>
      <c r="K203">
        <v>7</v>
      </c>
      <c r="L203" t="s">
        <v>48</v>
      </c>
      <c r="M203">
        <v>3</v>
      </c>
      <c r="N203">
        <v>2</v>
      </c>
      <c r="O203">
        <v>0</v>
      </c>
      <c r="P203" t="s">
        <v>44</v>
      </c>
      <c r="Q203" t="s">
        <v>85</v>
      </c>
      <c r="R203">
        <v>1</v>
      </c>
      <c r="S203">
        <v>1</v>
      </c>
      <c r="T203" t="s">
        <v>49</v>
      </c>
      <c r="U203" t="s">
        <v>79</v>
      </c>
      <c r="V203" t="s">
        <v>39</v>
      </c>
      <c r="W203" s="1">
        <v>45466</v>
      </c>
      <c r="X203" t="b">
        <v>1</v>
      </c>
      <c r="Y203" t="b">
        <v>1</v>
      </c>
      <c r="Z203" t="s">
        <v>52</v>
      </c>
      <c r="AA203" t="s">
        <v>67</v>
      </c>
      <c r="AB203">
        <v>9</v>
      </c>
    </row>
    <row r="204" spans="1:28" x14ac:dyDescent="0.25">
      <c r="A204" t="s">
        <v>495</v>
      </c>
      <c r="B204">
        <v>30</v>
      </c>
      <c r="C204" t="s">
        <v>29</v>
      </c>
      <c r="D204" t="s">
        <v>30</v>
      </c>
      <c r="E204" t="s">
        <v>76</v>
      </c>
      <c r="F204" t="s">
        <v>56</v>
      </c>
      <c r="G204" t="s">
        <v>30</v>
      </c>
      <c r="H204" t="s">
        <v>496</v>
      </c>
      <c r="I204" t="s">
        <v>142</v>
      </c>
      <c r="J204">
        <v>294.99</v>
      </c>
      <c r="K204">
        <v>4</v>
      </c>
      <c r="L204" t="s">
        <v>78</v>
      </c>
      <c r="M204">
        <v>3</v>
      </c>
      <c r="N204">
        <v>5</v>
      </c>
      <c r="O204">
        <v>2</v>
      </c>
      <c r="P204" t="s">
        <v>59</v>
      </c>
      <c r="Q204" t="s">
        <v>37</v>
      </c>
      <c r="R204">
        <v>1</v>
      </c>
      <c r="S204">
        <v>4</v>
      </c>
      <c r="T204" t="s">
        <v>44</v>
      </c>
      <c r="U204" t="s">
        <v>79</v>
      </c>
      <c r="V204" t="s">
        <v>51</v>
      </c>
      <c r="W204" s="1">
        <v>45626</v>
      </c>
      <c r="X204" t="b">
        <v>0</v>
      </c>
      <c r="Y204" t="b">
        <v>0</v>
      </c>
      <c r="Z204" t="s">
        <v>40</v>
      </c>
      <c r="AA204" t="s">
        <v>53</v>
      </c>
      <c r="AB204">
        <v>5</v>
      </c>
    </row>
    <row r="205" spans="1:28" x14ac:dyDescent="0.25">
      <c r="A205" t="s">
        <v>497</v>
      </c>
      <c r="B205">
        <v>31</v>
      </c>
      <c r="C205" t="s">
        <v>212</v>
      </c>
      <c r="D205" t="s">
        <v>30</v>
      </c>
      <c r="E205" t="s">
        <v>76</v>
      </c>
      <c r="F205" t="s">
        <v>45</v>
      </c>
      <c r="G205" t="s">
        <v>30</v>
      </c>
      <c r="H205" t="s">
        <v>498</v>
      </c>
      <c r="I205" t="s">
        <v>58</v>
      </c>
      <c r="J205">
        <v>305.45</v>
      </c>
      <c r="K205">
        <v>2</v>
      </c>
      <c r="L205" t="s">
        <v>35</v>
      </c>
      <c r="M205">
        <v>5</v>
      </c>
      <c r="N205">
        <v>5</v>
      </c>
      <c r="O205">
        <v>1</v>
      </c>
      <c r="P205" t="s">
        <v>36</v>
      </c>
      <c r="Q205" t="s">
        <v>85</v>
      </c>
      <c r="R205">
        <v>1</v>
      </c>
      <c r="S205">
        <v>1</v>
      </c>
      <c r="T205" t="s">
        <v>44</v>
      </c>
      <c r="U205" t="s">
        <v>60</v>
      </c>
      <c r="V205" t="s">
        <v>51</v>
      </c>
      <c r="W205" s="1">
        <v>45589</v>
      </c>
      <c r="X205" t="b">
        <v>0</v>
      </c>
      <c r="Y205" t="b">
        <v>1</v>
      </c>
      <c r="Z205" t="s">
        <v>62</v>
      </c>
      <c r="AA205" t="s">
        <v>67</v>
      </c>
      <c r="AB205">
        <v>9</v>
      </c>
    </row>
    <row r="206" spans="1:28" x14ac:dyDescent="0.25">
      <c r="A206" t="s">
        <v>499</v>
      </c>
      <c r="B206">
        <v>50</v>
      </c>
      <c r="C206" t="s">
        <v>29</v>
      </c>
      <c r="D206" t="s">
        <v>30</v>
      </c>
      <c r="E206" t="s">
        <v>69</v>
      </c>
      <c r="F206" t="s">
        <v>45</v>
      </c>
      <c r="G206" t="s">
        <v>30</v>
      </c>
      <c r="H206" t="s">
        <v>500</v>
      </c>
      <c r="I206" t="s">
        <v>126</v>
      </c>
      <c r="J206">
        <v>432.42</v>
      </c>
      <c r="K206">
        <v>2</v>
      </c>
      <c r="L206" t="s">
        <v>48</v>
      </c>
      <c r="M206">
        <v>4</v>
      </c>
      <c r="N206">
        <v>4</v>
      </c>
      <c r="O206">
        <v>0</v>
      </c>
      <c r="P206" t="s">
        <v>49</v>
      </c>
      <c r="Q206" t="s">
        <v>50</v>
      </c>
      <c r="R206">
        <v>0</v>
      </c>
      <c r="S206">
        <v>8</v>
      </c>
      <c r="T206" t="s">
        <v>36</v>
      </c>
      <c r="U206" t="s">
        <v>38</v>
      </c>
      <c r="V206" t="s">
        <v>51</v>
      </c>
      <c r="W206" s="1">
        <v>45403</v>
      </c>
      <c r="X206" t="b">
        <v>0</v>
      </c>
      <c r="Y206" t="b">
        <v>1</v>
      </c>
      <c r="Z206" t="s">
        <v>40</v>
      </c>
      <c r="AA206" t="s">
        <v>67</v>
      </c>
      <c r="AB206">
        <v>13</v>
      </c>
    </row>
    <row r="207" spans="1:28" x14ac:dyDescent="0.25">
      <c r="A207" t="s">
        <v>501</v>
      </c>
      <c r="B207">
        <v>35</v>
      </c>
      <c r="C207" t="s">
        <v>29</v>
      </c>
      <c r="D207" t="s">
        <v>30</v>
      </c>
      <c r="E207" t="s">
        <v>55</v>
      </c>
      <c r="F207" t="s">
        <v>32</v>
      </c>
      <c r="G207" t="s">
        <v>44</v>
      </c>
      <c r="H207" t="s">
        <v>502</v>
      </c>
      <c r="I207" t="s">
        <v>34</v>
      </c>
      <c r="J207">
        <v>227.58</v>
      </c>
      <c r="K207">
        <v>11</v>
      </c>
      <c r="L207" t="s">
        <v>35</v>
      </c>
      <c r="M207">
        <v>3</v>
      </c>
      <c r="N207">
        <v>1</v>
      </c>
      <c r="O207">
        <v>1</v>
      </c>
      <c r="P207" t="s">
        <v>36</v>
      </c>
      <c r="Q207" t="s">
        <v>50</v>
      </c>
      <c r="R207">
        <v>1</v>
      </c>
      <c r="S207">
        <v>8</v>
      </c>
      <c r="T207" t="s">
        <v>44</v>
      </c>
      <c r="U207" t="s">
        <v>60</v>
      </c>
      <c r="V207" t="s">
        <v>39</v>
      </c>
      <c r="W207" s="1">
        <v>45314</v>
      </c>
      <c r="X207" t="b">
        <v>0</v>
      </c>
      <c r="Y207" t="b">
        <v>1</v>
      </c>
      <c r="Z207" t="s">
        <v>40</v>
      </c>
      <c r="AA207" t="s">
        <v>67</v>
      </c>
      <c r="AB207">
        <v>6</v>
      </c>
    </row>
    <row r="208" spans="1:28" x14ac:dyDescent="0.25">
      <c r="A208" t="s">
        <v>503</v>
      </c>
      <c r="B208">
        <v>36</v>
      </c>
      <c r="C208" t="s">
        <v>43</v>
      </c>
      <c r="D208" t="s">
        <v>30</v>
      </c>
      <c r="E208" t="s">
        <v>55</v>
      </c>
      <c r="F208" t="s">
        <v>45</v>
      </c>
      <c r="G208" t="s">
        <v>44</v>
      </c>
      <c r="H208" t="s">
        <v>311</v>
      </c>
      <c r="I208" t="s">
        <v>126</v>
      </c>
      <c r="J208">
        <v>160.88999999999999</v>
      </c>
      <c r="K208">
        <v>10</v>
      </c>
      <c r="L208" t="s">
        <v>78</v>
      </c>
      <c r="M208">
        <v>5</v>
      </c>
      <c r="N208">
        <v>5</v>
      </c>
      <c r="O208">
        <v>2</v>
      </c>
      <c r="P208" t="s">
        <v>36</v>
      </c>
      <c r="Q208" t="s">
        <v>37</v>
      </c>
      <c r="R208">
        <v>2</v>
      </c>
      <c r="S208">
        <v>6</v>
      </c>
      <c r="T208" t="s">
        <v>49</v>
      </c>
      <c r="U208" t="s">
        <v>79</v>
      </c>
      <c r="V208" t="s">
        <v>51</v>
      </c>
      <c r="W208" s="1">
        <v>45466</v>
      </c>
      <c r="X208" t="b">
        <v>1</v>
      </c>
      <c r="Y208" t="b">
        <v>1</v>
      </c>
      <c r="Z208" t="s">
        <v>74</v>
      </c>
      <c r="AA208" t="s">
        <v>41</v>
      </c>
      <c r="AB208">
        <v>13</v>
      </c>
    </row>
    <row r="209" spans="1:28" x14ac:dyDescent="0.25">
      <c r="A209" t="s">
        <v>504</v>
      </c>
      <c r="B209">
        <v>24</v>
      </c>
      <c r="C209" t="s">
        <v>29</v>
      </c>
      <c r="D209" t="s">
        <v>30</v>
      </c>
      <c r="E209" t="s">
        <v>31</v>
      </c>
      <c r="F209" t="s">
        <v>56</v>
      </c>
      <c r="G209" t="s">
        <v>44</v>
      </c>
      <c r="H209" t="s">
        <v>505</v>
      </c>
      <c r="I209" t="s">
        <v>98</v>
      </c>
      <c r="J209">
        <v>139.1</v>
      </c>
      <c r="K209">
        <v>7</v>
      </c>
      <c r="L209" t="s">
        <v>78</v>
      </c>
      <c r="M209">
        <v>2</v>
      </c>
      <c r="N209">
        <v>5</v>
      </c>
      <c r="O209">
        <v>0</v>
      </c>
      <c r="P209" t="s">
        <v>59</v>
      </c>
      <c r="Q209" t="s">
        <v>37</v>
      </c>
      <c r="R209">
        <v>2</v>
      </c>
      <c r="S209">
        <v>3</v>
      </c>
      <c r="T209" t="s">
        <v>49</v>
      </c>
      <c r="U209" t="s">
        <v>79</v>
      </c>
      <c r="V209" t="s">
        <v>51</v>
      </c>
      <c r="W209" s="1">
        <v>45371</v>
      </c>
      <c r="X209" t="b">
        <v>0</v>
      </c>
      <c r="Y209" t="b">
        <v>0</v>
      </c>
      <c r="Z209" t="s">
        <v>62</v>
      </c>
      <c r="AA209" t="s">
        <v>41</v>
      </c>
      <c r="AB209">
        <v>8</v>
      </c>
    </row>
    <row r="210" spans="1:28" x14ac:dyDescent="0.25">
      <c r="A210" t="s">
        <v>506</v>
      </c>
      <c r="B210">
        <v>36</v>
      </c>
      <c r="C210" t="s">
        <v>148</v>
      </c>
      <c r="D210" t="s">
        <v>44</v>
      </c>
      <c r="E210" t="s">
        <v>31</v>
      </c>
      <c r="F210" t="s">
        <v>56</v>
      </c>
      <c r="G210" t="s">
        <v>30</v>
      </c>
      <c r="H210" t="s">
        <v>507</v>
      </c>
      <c r="I210" t="s">
        <v>71</v>
      </c>
      <c r="J210">
        <v>268.27999999999997</v>
      </c>
      <c r="K210">
        <v>9</v>
      </c>
      <c r="L210" t="s">
        <v>35</v>
      </c>
      <c r="M210">
        <v>5</v>
      </c>
      <c r="N210">
        <v>2</v>
      </c>
      <c r="O210">
        <v>2</v>
      </c>
      <c r="P210" t="s">
        <v>44</v>
      </c>
      <c r="Q210" t="s">
        <v>85</v>
      </c>
      <c r="R210">
        <v>2</v>
      </c>
      <c r="S210">
        <v>2</v>
      </c>
      <c r="T210" t="s">
        <v>44</v>
      </c>
      <c r="U210" t="s">
        <v>60</v>
      </c>
      <c r="V210" t="s">
        <v>39</v>
      </c>
      <c r="W210" s="1">
        <v>45391</v>
      </c>
      <c r="X210" t="b">
        <v>0</v>
      </c>
      <c r="Y210" t="b">
        <v>1</v>
      </c>
      <c r="Z210" t="s">
        <v>40</v>
      </c>
      <c r="AA210" t="s">
        <v>53</v>
      </c>
      <c r="AB210">
        <v>8</v>
      </c>
    </row>
    <row r="211" spans="1:28" x14ac:dyDescent="0.25">
      <c r="A211" t="s">
        <v>508</v>
      </c>
      <c r="B211">
        <v>45</v>
      </c>
      <c r="C211" t="s">
        <v>29</v>
      </c>
      <c r="D211" t="s">
        <v>30</v>
      </c>
      <c r="E211" t="s">
        <v>55</v>
      </c>
      <c r="F211" t="s">
        <v>56</v>
      </c>
      <c r="G211" t="s">
        <v>44</v>
      </c>
      <c r="H211" t="s">
        <v>509</v>
      </c>
      <c r="I211" t="s">
        <v>90</v>
      </c>
      <c r="J211">
        <v>64.489999999999995</v>
      </c>
      <c r="K211">
        <v>6</v>
      </c>
      <c r="L211" t="s">
        <v>78</v>
      </c>
      <c r="M211">
        <v>2</v>
      </c>
      <c r="N211">
        <v>1</v>
      </c>
      <c r="O211">
        <v>0</v>
      </c>
      <c r="P211" t="s">
        <v>36</v>
      </c>
      <c r="Q211" t="s">
        <v>85</v>
      </c>
      <c r="R211">
        <v>1</v>
      </c>
      <c r="S211">
        <v>10</v>
      </c>
      <c r="T211" t="s">
        <v>36</v>
      </c>
      <c r="U211" t="s">
        <v>38</v>
      </c>
      <c r="V211" t="s">
        <v>66</v>
      </c>
      <c r="W211" s="1">
        <v>45584</v>
      </c>
      <c r="X211" t="b">
        <v>0</v>
      </c>
      <c r="Y211" t="b">
        <v>0</v>
      </c>
      <c r="Z211" t="s">
        <v>74</v>
      </c>
      <c r="AA211" t="s">
        <v>67</v>
      </c>
      <c r="AB211">
        <v>7</v>
      </c>
    </row>
    <row r="212" spans="1:28" x14ac:dyDescent="0.25">
      <c r="A212" t="s">
        <v>510</v>
      </c>
      <c r="B212">
        <v>44</v>
      </c>
      <c r="C212" t="s">
        <v>43</v>
      </c>
      <c r="D212" t="s">
        <v>30</v>
      </c>
      <c r="E212" t="s">
        <v>69</v>
      </c>
      <c r="F212" t="s">
        <v>45</v>
      </c>
      <c r="G212" t="s">
        <v>30</v>
      </c>
      <c r="H212" t="s">
        <v>151</v>
      </c>
      <c r="I212" t="s">
        <v>135</v>
      </c>
      <c r="J212">
        <v>80.17</v>
      </c>
      <c r="K212">
        <v>10</v>
      </c>
      <c r="L212" t="s">
        <v>78</v>
      </c>
      <c r="M212">
        <v>1</v>
      </c>
      <c r="N212">
        <v>1</v>
      </c>
      <c r="O212">
        <v>1</v>
      </c>
      <c r="P212" t="s">
        <v>44</v>
      </c>
      <c r="Q212" t="s">
        <v>50</v>
      </c>
      <c r="R212">
        <v>1</v>
      </c>
      <c r="S212">
        <v>8</v>
      </c>
      <c r="T212" t="s">
        <v>36</v>
      </c>
      <c r="U212" t="s">
        <v>38</v>
      </c>
      <c r="V212" t="s">
        <v>39</v>
      </c>
      <c r="W212" s="1">
        <v>45422</v>
      </c>
      <c r="X212" t="b">
        <v>1</v>
      </c>
      <c r="Y212" t="b">
        <v>1</v>
      </c>
      <c r="Z212" t="s">
        <v>74</v>
      </c>
      <c r="AA212" t="s">
        <v>41</v>
      </c>
      <c r="AB212">
        <v>6</v>
      </c>
    </row>
    <row r="213" spans="1:28" x14ac:dyDescent="0.25">
      <c r="A213" t="s">
        <v>511</v>
      </c>
      <c r="B213">
        <v>28</v>
      </c>
      <c r="C213" t="s">
        <v>43</v>
      </c>
      <c r="D213" t="s">
        <v>44</v>
      </c>
      <c r="E213" t="s">
        <v>31</v>
      </c>
      <c r="F213" t="s">
        <v>56</v>
      </c>
      <c r="G213" t="s">
        <v>44</v>
      </c>
      <c r="H213" t="s">
        <v>512</v>
      </c>
      <c r="I213" t="s">
        <v>158</v>
      </c>
      <c r="J213">
        <v>277.52</v>
      </c>
      <c r="K213">
        <v>11</v>
      </c>
      <c r="L213" t="s">
        <v>48</v>
      </c>
      <c r="M213">
        <v>4</v>
      </c>
      <c r="N213">
        <v>1</v>
      </c>
      <c r="O213">
        <v>0</v>
      </c>
      <c r="P213" t="s">
        <v>36</v>
      </c>
      <c r="Q213" t="s">
        <v>50</v>
      </c>
      <c r="R213">
        <v>1</v>
      </c>
      <c r="S213">
        <v>7</v>
      </c>
      <c r="T213" t="s">
        <v>49</v>
      </c>
      <c r="U213" t="s">
        <v>60</v>
      </c>
      <c r="V213" t="s">
        <v>51</v>
      </c>
      <c r="W213" s="1">
        <v>45426</v>
      </c>
      <c r="X213" t="b">
        <v>1</v>
      </c>
      <c r="Y213" t="b">
        <v>0</v>
      </c>
      <c r="Z213" t="s">
        <v>40</v>
      </c>
      <c r="AA213" t="s">
        <v>53</v>
      </c>
      <c r="AB213">
        <v>11</v>
      </c>
    </row>
    <row r="214" spans="1:28" x14ac:dyDescent="0.25">
      <c r="A214" t="s">
        <v>513</v>
      </c>
      <c r="B214">
        <v>40</v>
      </c>
      <c r="C214" t="s">
        <v>43</v>
      </c>
      <c r="D214" t="s">
        <v>44</v>
      </c>
      <c r="E214" t="s">
        <v>69</v>
      </c>
      <c r="F214" t="s">
        <v>56</v>
      </c>
      <c r="G214" t="s">
        <v>30</v>
      </c>
      <c r="H214" t="s">
        <v>514</v>
      </c>
      <c r="I214" t="s">
        <v>142</v>
      </c>
      <c r="J214">
        <v>53.67</v>
      </c>
      <c r="K214">
        <v>7</v>
      </c>
      <c r="L214" t="s">
        <v>78</v>
      </c>
      <c r="M214">
        <v>3</v>
      </c>
      <c r="N214">
        <v>5</v>
      </c>
      <c r="O214">
        <v>1</v>
      </c>
      <c r="P214" t="s">
        <v>44</v>
      </c>
      <c r="Q214" t="s">
        <v>50</v>
      </c>
      <c r="R214">
        <v>0</v>
      </c>
      <c r="S214">
        <v>2</v>
      </c>
      <c r="T214" t="s">
        <v>44</v>
      </c>
      <c r="U214" t="s">
        <v>79</v>
      </c>
      <c r="V214" t="s">
        <v>51</v>
      </c>
      <c r="W214" s="1">
        <v>45395</v>
      </c>
      <c r="X214" t="b">
        <v>0</v>
      </c>
      <c r="Y214" t="b">
        <v>0</v>
      </c>
      <c r="Z214" t="s">
        <v>74</v>
      </c>
      <c r="AA214" t="s">
        <v>67</v>
      </c>
      <c r="AB214">
        <v>11</v>
      </c>
    </row>
    <row r="215" spans="1:28" x14ac:dyDescent="0.25">
      <c r="A215" t="s">
        <v>515</v>
      </c>
      <c r="B215">
        <v>49</v>
      </c>
      <c r="C215" t="s">
        <v>29</v>
      </c>
      <c r="D215" t="s">
        <v>30</v>
      </c>
      <c r="E215" t="s">
        <v>69</v>
      </c>
      <c r="F215" t="s">
        <v>32</v>
      </c>
      <c r="G215" t="s">
        <v>44</v>
      </c>
      <c r="H215" t="s">
        <v>516</v>
      </c>
      <c r="I215" t="s">
        <v>58</v>
      </c>
      <c r="J215">
        <v>323.39</v>
      </c>
      <c r="K215">
        <v>10</v>
      </c>
      <c r="L215" t="s">
        <v>48</v>
      </c>
      <c r="M215">
        <v>2</v>
      </c>
      <c r="N215">
        <v>3</v>
      </c>
      <c r="O215">
        <v>2</v>
      </c>
      <c r="P215" t="s">
        <v>36</v>
      </c>
      <c r="Q215" t="s">
        <v>85</v>
      </c>
      <c r="R215">
        <v>0</v>
      </c>
      <c r="S215">
        <v>7</v>
      </c>
      <c r="T215" t="s">
        <v>44</v>
      </c>
      <c r="U215" t="s">
        <v>38</v>
      </c>
      <c r="V215" t="s">
        <v>86</v>
      </c>
      <c r="W215" s="1">
        <v>45295</v>
      </c>
      <c r="X215" t="b">
        <v>1</v>
      </c>
      <c r="Y215" t="b">
        <v>1</v>
      </c>
      <c r="Z215" t="s">
        <v>40</v>
      </c>
      <c r="AA215" t="s">
        <v>41</v>
      </c>
      <c r="AB215">
        <v>11</v>
      </c>
    </row>
    <row r="216" spans="1:28" x14ac:dyDescent="0.25">
      <c r="A216" t="s">
        <v>517</v>
      </c>
      <c r="B216">
        <v>50</v>
      </c>
      <c r="C216" t="s">
        <v>29</v>
      </c>
      <c r="D216" t="s">
        <v>44</v>
      </c>
      <c r="E216" t="s">
        <v>55</v>
      </c>
      <c r="F216" t="s">
        <v>32</v>
      </c>
      <c r="G216" t="s">
        <v>44</v>
      </c>
      <c r="H216" t="s">
        <v>518</v>
      </c>
      <c r="I216" t="s">
        <v>90</v>
      </c>
      <c r="J216">
        <v>98.02</v>
      </c>
      <c r="K216">
        <v>5</v>
      </c>
      <c r="L216" t="s">
        <v>48</v>
      </c>
      <c r="M216">
        <v>3</v>
      </c>
      <c r="N216">
        <v>3</v>
      </c>
      <c r="O216">
        <v>1</v>
      </c>
      <c r="P216" t="s">
        <v>59</v>
      </c>
      <c r="Q216" t="s">
        <v>50</v>
      </c>
      <c r="R216">
        <v>0</v>
      </c>
      <c r="S216">
        <v>3</v>
      </c>
      <c r="T216" t="s">
        <v>44</v>
      </c>
      <c r="U216" t="s">
        <v>79</v>
      </c>
      <c r="V216" t="s">
        <v>61</v>
      </c>
      <c r="W216" s="1">
        <v>45473</v>
      </c>
      <c r="X216" t="b">
        <v>1</v>
      </c>
      <c r="Y216" t="b">
        <v>0</v>
      </c>
      <c r="Z216" t="s">
        <v>74</v>
      </c>
      <c r="AA216" t="s">
        <v>41</v>
      </c>
      <c r="AB216">
        <v>10</v>
      </c>
    </row>
    <row r="217" spans="1:28" x14ac:dyDescent="0.25">
      <c r="A217" t="s">
        <v>519</v>
      </c>
      <c r="B217">
        <v>24</v>
      </c>
      <c r="C217" t="s">
        <v>43</v>
      </c>
      <c r="D217" t="s">
        <v>44</v>
      </c>
      <c r="E217" t="s">
        <v>76</v>
      </c>
      <c r="F217" t="s">
        <v>32</v>
      </c>
      <c r="G217" t="s">
        <v>44</v>
      </c>
      <c r="H217" t="s">
        <v>520</v>
      </c>
      <c r="I217" t="s">
        <v>194</v>
      </c>
      <c r="J217">
        <v>231.26</v>
      </c>
      <c r="K217">
        <v>10</v>
      </c>
      <c r="L217" t="s">
        <v>48</v>
      </c>
      <c r="M217">
        <v>5</v>
      </c>
      <c r="N217">
        <v>1</v>
      </c>
      <c r="O217">
        <v>2</v>
      </c>
      <c r="P217" t="s">
        <v>59</v>
      </c>
      <c r="Q217" t="s">
        <v>85</v>
      </c>
      <c r="R217">
        <v>2</v>
      </c>
      <c r="S217">
        <v>5</v>
      </c>
      <c r="T217" t="s">
        <v>59</v>
      </c>
      <c r="U217" t="s">
        <v>79</v>
      </c>
      <c r="V217" t="s">
        <v>86</v>
      </c>
      <c r="W217" s="1">
        <v>45412</v>
      </c>
      <c r="X217" t="b">
        <v>0</v>
      </c>
      <c r="Y217" t="b">
        <v>1</v>
      </c>
      <c r="Z217" t="s">
        <v>62</v>
      </c>
      <c r="AA217" t="s">
        <v>41</v>
      </c>
      <c r="AB217">
        <v>10</v>
      </c>
    </row>
    <row r="218" spans="1:28" x14ac:dyDescent="0.25">
      <c r="A218" t="s">
        <v>521</v>
      </c>
      <c r="B218">
        <v>26</v>
      </c>
      <c r="C218" t="s">
        <v>43</v>
      </c>
      <c r="D218" t="s">
        <v>44</v>
      </c>
      <c r="E218" t="s">
        <v>55</v>
      </c>
      <c r="F218" t="s">
        <v>56</v>
      </c>
      <c r="G218" t="s">
        <v>30</v>
      </c>
      <c r="H218" t="s">
        <v>522</v>
      </c>
      <c r="I218" t="s">
        <v>47</v>
      </c>
      <c r="J218">
        <v>382.49</v>
      </c>
      <c r="K218">
        <v>6</v>
      </c>
      <c r="L218" t="s">
        <v>48</v>
      </c>
      <c r="M218">
        <v>4</v>
      </c>
      <c r="N218">
        <v>2</v>
      </c>
      <c r="O218">
        <v>2</v>
      </c>
      <c r="P218" t="s">
        <v>36</v>
      </c>
      <c r="Q218" t="s">
        <v>85</v>
      </c>
      <c r="R218">
        <v>2</v>
      </c>
      <c r="S218">
        <v>3</v>
      </c>
      <c r="T218" t="s">
        <v>49</v>
      </c>
      <c r="U218" t="s">
        <v>38</v>
      </c>
      <c r="V218" t="s">
        <v>61</v>
      </c>
      <c r="W218" s="1">
        <v>45323</v>
      </c>
      <c r="X218" t="b">
        <v>1</v>
      </c>
      <c r="Y218" t="b">
        <v>0</v>
      </c>
      <c r="Z218" t="s">
        <v>62</v>
      </c>
      <c r="AA218" t="s">
        <v>41</v>
      </c>
      <c r="AB218">
        <v>1</v>
      </c>
    </row>
    <row r="219" spans="1:28" x14ac:dyDescent="0.25">
      <c r="A219" t="s">
        <v>523</v>
      </c>
      <c r="B219">
        <v>28</v>
      </c>
      <c r="C219" t="s">
        <v>43</v>
      </c>
      <c r="D219" t="s">
        <v>30</v>
      </c>
      <c r="E219" t="s">
        <v>76</v>
      </c>
      <c r="F219" t="s">
        <v>56</v>
      </c>
      <c r="G219" t="s">
        <v>44</v>
      </c>
      <c r="H219" t="s">
        <v>524</v>
      </c>
      <c r="I219" t="s">
        <v>194</v>
      </c>
      <c r="J219">
        <v>255.42</v>
      </c>
      <c r="K219">
        <v>9</v>
      </c>
      <c r="L219" t="s">
        <v>35</v>
      </c>
      <c r="M219">
        <v>5</v>
      </c>
      <c r="N219">
        <v>5</v>
      </c>
      <c r="O219">
        <v>2</v>
      </c>
      <c r="P219" t="s">
        <v>36</v>
      </c>
      <c r="Q219" t="s">
        <v>37</v>
      </c>
      <c r="R219">
        <v>1</v>
      </c>
      <c r="S219">
        <v>9</v>
      </c>
      <c r="T219" t="s">
        <v>36</v>
      </c>
      <c r="U219" t="s">
        <v>38</v>
      </c>
      <c r="V219" t="s">
        <v>51</v>
      </c>
      <c r="W219" s="1">
        <v>45474</v>
      </c>
      <c r="X219" t="b">
        <v>1</v>
      </c>
      <c r="Y219" t="b">
        <v>1</v>
      </c>
      <c r="Z219" t="s">
        <v>62</v>
      </c>
      <c r="AA219" t="s">
        <v>53</v>
      </c>
      <c r="AB219">
        <v>11</v>
      </c>
    </row>
    <row r="220" spans="1:28" x14ac:dyDescent="0.25">
      <c r="A220" t="s">
        <v>525</v>
      </c>
      <c r="B220">
        <v>48</v>
      </c>
      <c r="C220" t="s">
        <v>29</v>
      </c>
      <c r="D220" t="s">
        <v>30</v>
      </c>
      <c r="E220" t="s">
        <v>55</v>
      </c>
      <c r="F220" t="s">
        <v>45</v>
      </c>
      <c r="G220" t="s">
        <v>44</v>
      </c>
      <c r="H220" t="s">
        <v>526</v>
      </c>
      <c r="I220" t="s">
        <v>126</v>
      </c>
      <c r="J220">
        <v>423.23</v>
      </c>
      <c r="K220">
        <v>12</v>
      </c>
      <c r="L220" t="s">
        <v>48</v>
      </c>
      <c r="M220">
        <v>3</v>
      </c>
      <c r="N220">
        <v>3</v>
      </c>
      <c r="O220">
        <v>2</v>
      </c>
      <c r="P220" t="s">
        <v>44</v>
      </c>
      <c r="Q220" t="s">
        <v>37</v>
      </c>
      <c r="R220">
        <v>0</v>
      </c>
      <c r="S220">
        <v>7</v>
      </c>
      <c r="T220" t="s">
        <v>59</v>
      </c>
      <c r="U220" t="s">
        <v>38</v>
      </c>
      <c r="V220" t="s">
        <v>61</v>
      </c>
      <c r="W220" s="1">
        <v>45601</v>
      </c>
      <c r="X220" t="b">
        <v>0</v>
      </c>
      <c r="Y220" t="b">
        <v>0</v>
      </c>
      <c r="Z220" t="s">
        <v>74</v>
      </c>
      <c r="AA220" t="s">
        <v>53</v>
      </c>
      <c r="AB220">
        <v>6</v>
      </c>
    </row>
    <row r="221" spans="1:28" x14ac:dyDescent="0.25">
      <c r="A221" t="s">
        <v>527</v>
      </c>
      <c r="B221">
        <v>47</v>
      </c>
      <c r="C221" t="s">
        <v>43</v>
      </c>
      <c r="D221" t="s">
        <v>30</v>
      </c>
      <c r="E221" t="s">
        <v>55</v>
      </c>
      <c r="F221" t="s">
        <v>45</v>
      </c>
      <c r="G221" t="s">
        <v>44</v>
      </c>
      <c r="H221" t="s">
        <v>528</v>
      </c>
      <c r="I221" t="s">
        <v>188</v>
      </c>
      <c r="J221">
        <v>276.08</v>
      </c>
      <c r="K221">
        <v>4</v>
      </c>
      <c r="L221" t="s">
        <v>35</v>
      </c>
      <c r="M221">
        <v>4</v>
      </c>
      <c r="N221">
        <v>5</v>
      </c>
      <c r="O221">
        <v>0.3</v>
      </c>
      <c r="P221" t="s">
        <v>44</v>
      </c>
      <c r="Q221" t="s">
        <v>37</v>
      </c>
      <c r="R221">
        <v>2</v>
      </c>
      <c r="S221">
        <v>10</v>
      </c>
      <c r="T221" t="s">
        <v>59</v>
      </c>
      <c r="U221" t="s">
        <v>60</v>
      </c>
      <c r="V221" t="s">
        <v>39</v>
      </c>
      <c r="W221" s="1">
        <v>45320</v>
      </c>
      <c r="X221" t="b">
        <v>0</v>
      </c>
      <c r="Y221" t="b">
        <v>1</v>
      </c>
      <c r="Z221" t="s">
        <v>40</v>
      </c>
      <c r="AA221" t="s">
        <v>41</v>
      </c>
      <c r="AB221">
        <v>10</v>
      </c>
    </row>
    <row r="222" spans="1:28" x14ac:dyDescent="0.25">
      <c r="A222" t="s">
        <v>529</v>
      </c>
      <c r="B222">
        <v>25</v>
      </c>
      <c r="C222" t="s">
        <v>43</v>
      </c>
      <c r="D222" t="s">
        <v>30</v>
      </c>
      <c r="E222" t="s">
        <v>69</v>
      </c>
      <c r="F222" t="s">
        <v>32</v>
      </c>
      <c r="G222" t="s">
        <v>30</v>
      </c>
      <c r="H222" t="s">
        <v>530</v>
      </c>
      <c r="I222" t="s">
        <v>82</v>
      </c>
      <c r="J222">
        <v>333.56</v>
      </c>
      <c r="K222">
        <v>3</v>
      </c>
      <c r="L222" t="s">
        <v>35</v>
      </c>
      <c r="M222">
        <v>4</v>
      </c>
      <c r="N222">
        <v>5</v>
      </c>
      <c r="O222">
        <v>1</v>
      </c>
      <c r="P222" t="s">
        <v>59</v>
      </c>
      <c r="Q222" t="s">
        <v>50</v>
      </c>
      <c r="R222">
        <v>2</v>
      </c>
      <c r="S222">
        <v>2</v>
      </c>
      <c r="T222" t="s">
        <v>44</v>
      </c>
      <c r="U222" t="s">
        <v>60</v>
      </c>
      <c r="V222" t="s">
        <v>66</v>
      </c>
      <c r="W222" s="1">
        <v>45590</v>
      </c>
      <c r="X222" t="b">
        <v>1</v>
      </c>
      <c r="Y222" t="b">
        <v>1</v>
      </c>
      <c r="Z222" t="s">
        <v>62</v>
      </c>
      <c r="AA222" t="s">
        <v>41</v>
      </c>
      <c r="AB222">
        <v>14</v>
      </c>
    </row>
    <row r="223" spans="1:28" x14ac:dyDescent="0.25">
      <c r="A223" t="s">
        <v>531</v>
      </c>
      <c r="B223">
        <v>39</v>
      </c>
      <c r="C223" t="s">
        <v>43</v>
      </c>
      <c r="D223" t="s">
        <v>44</v>
      </c>
      <c r="E223" t="s">
        <v>76</v>
      </c>
      <c r="F223" t="s">
        <v>32</v>
      </c>
      <c r="G223" t="s">
        <v>30</v>
      </c>
      <c r="H223" t="s">
        <v>532</v>
      </c>
      <c r="I223" t="s">
        <v>158</v>
      </c>
      <c r="J223">
        <v>129.82</v>
      </c>
      <c r="K223">
        <v>12</v>
      </c>
      <c r="L223" t="s">
        <v>35</v>
      </c>
      <c r="M223">
        <v>1</v>
      </c>
      <c r="N223">
        <v>2</v>
      </c>
      <c r="O223">
        <v>0</v>
      </c>
      <c r="P223" t="s">
        <v>44</v>
      </c>
      <c r="Q223" t="s">
        <v>50</v>
      </c>
      <c r="R223">
        <v>2</v>
      </c>
      <c r="S223">
        <v>1</v>
      </c>
      <c r="T223" t="s">
        <v>44</v>
      </c>
      <c r="U223" t="s">
        <v>38</v>
      </c>
      <c r="V223" t="s">
        <v>86</v>
      </c>
      <c r="W223" s="1">
        <v>45446</v>
      </c>
      <c r="X223" t="b">
        <v>0</v>
      </c>
      <c r="Y223" t="b">
        <v>0</v>
      </c>
      <c r="Z223" t="s">
        <v>62</v>
      </c>
      <c r="AA223" t="s">
        <v>53</v>
      </c>
      <c r="AB223">
        <v>8</v>
      </c>
    </row>
    <row r="224" spans="1:28" x14ac:dyDescent="0.25">
      <c r="A224" t="s">
        <v>533</v>
      </c>
      <c r="B224">
        <v>41</v>
      </c>
      <c r="C224" t="s">
        <v>29</v>
      </c>
      <c r="D224" t="s">
        <v>44</v>
      </c>
      <c r="E224" t="s">
        <v>69</v>
      </c>
      <c r="F224" t="s">
        <v>45</v>
      </c>
      <c r="G224" t="s">
        <v>44</v>
      </c>
      <c r="H224" t="s">
        <v>534</v>
      </c>
      <c r="I224" t="s">
        <v>183</v>
      </c>
      <c r="J224">
        <v>278.77999999999997</v>
      </c>
      <c r="K224">
        <v>3</v>
      </c>
      <c r="L224" t="s">
        <v>35</v>
      </c>
      <c r="M224">
        <v>5</v>
      </c>
      <c r="N224">
        <v>2</v>
      </c>
      <c r="O224">
        <v>0</v>
      </c>
      <c r="P224" t="s">
        <v>49</v>
      </c>
      <c r="Q224" t="s">
        <v>50</v>
      </c>
      <c r="R224">
        <v>0</v>
      </c>
      <c r="S224">
        <v>1</v>
      </c>
      <c r="T224" t="s">
        <v>59</v>
      </c>
      <c r="U224" t="s">
        <v>79</v>
      </c>
      <c r="V224" t="s">
        <v>39</v>
      </c>
      <c r="W224" s="1">
        <v>45457</v>
      </c>
      <c r="X224" t="b">
        <v>1</v>
      </c>
      <c r="Y224" t="b">
        <v>0</v>
      </c>
      <c r="Z224" t="s">
        <v>52</v>
      </c>
      <c r="AA224" t="s">
        <v>53</v>
      </c>
      <c r="AB224">
        <v>2</v>
      </c>
    </row>
    <row r="225" spans="1:28" x14ac:dyDescent="0.25">
      <c r="A225" t="s">
        <v>535</v>
      </c>
      <c r="B225">
        <v>37</v>
      </c>
      <c r="C225" t="s">
        <v>43</v>
      </c>
      <c r="D225" t="s">
        <v>30</v>
      </c>
      <c r="E225" t="s">
        <v>31</v>
      </c>
      <c r="F225" t="s">
        <v>32</v>
      </c>
      <c r="G225" t="s">
        <v>44</v>
      </c>
      <c r="H225" t="s">
        <v>536</v>
      </c>
      <c r="I225" t="s">
        <v>34</v>
      </c>
      <c r="J225">
        <v>112.55</v>
      </c>
      <c r="K225">
        <v>5</v>
      </c>
      <c r="L225" t="s">
        <v>48</v>
      </c>
      <c r="M225">
        <v>1</v>
      </c>
      <c r="N225">
        <v>4</v>
      </c>
      <c r="O225">
        <v>2</v>
      </c>
      <c r="P225" t="s">
        <v>36</v>
      </c>
      <c r="Q225" t="s">
        <v>85</v>
      </c>
      <c r="R225">
        <v>2</v>
      </c>
      <c r="S225">
        <v>1</v>
      </c>
      <c r="T225" t="s">
        <v>59</v>
      </c>
      <c r="U225" t="s">
        <v>79</v>
      </c>
      <c r="V225" t="s">
        <v>39</v>
      </c>
      <c r="W225" s="1">
        <v>45587</v>
      </c>
      <c r="X225" t="b">
        <v>1</v>
      </c>
      <c r="Y225" t="b">
        <v>0</v>
      </c>
      <c r="Z225" t="s">
        <v>74</v>
      </c>
      <c r="AA225" t="s">
        <v>53</v>
      </c>
      <c r="AB225">
        <v>2</v>
      </c>
    </row>
    <row r="226" spans="1:28" x14ac:dyDescent="0.25">
      <c r="A226" t="s">
        <v>537</v>
      </c>
      <c r="B226">
        <v>50</v>
      </c>
      <c r="C226" t="s">
        <v>29</v>
      </c>
      <c r="D226" t="s">
        <v>30</v>
      </c>
      <c r="E226" t="s">
        <v>76</v>
      </c>
      <c r="F226" t="s">
        <v>32</v>
      </c>
      <c r="G226" t="s">
        <v>44</v>
      </c>
      <c r="H226" t="s">
        <v>538</v>
      </c>
      <c r="I226" t="s">
        <v>126</v>
      </c>
      <c r="J226">
        <v>142.02000000000001</v>
      </c>
      <c r="K226">
        <v>7</v>
      </c>
      <c r="L226" t="s">
        <v>48</v>
      </c>
      <c r="M226">
        <v>1</v>
      </c>
      <c r="N226">
        <v>5</v>
      </c>
      <c r="O226">
        <v>0</v>
      </c>
      <c r="P226" t="s">
        <v>59</v>
      </c>
      <c r="Q226" t="s">
        <v>85</v>
      </c>
      <c r="R226">
        <v>1</v>
      </c>
      <c r="S226">
        <v>9</v>
      </c>
      <c r="T226" t="s">
        <v>49</v>
      </c>
      <c r="U226" t="s">
        <v>79</v>
      </c>
      <c r="V226" t="s">
        <v>86</v>
      </c>
      <c r="W226" s="1">
        <v>45482</v>
      </c>
      <c r="X226" t="b">
        <v>1</v>
      </c>
      <c r="Y226" t="b">
        <v>0</v>
      </c>
      <c r="Z226" t="s">
        <v>62</v>
      </c>
      <c r="AA226" t="s">
        <v>53</v>
      </c>
      <c r="AB226">
        <v>3</v>
      </c>
    </row>
    <row r="227" spans="1:28" x14ac:dyDescent="0.25">
      <c r="A227" t="s">
        <v>539</v>
      </c>
      <c r="B227">
        <v>33</v>
      </c>
      <c r="C227" t="s">
        <v>29</v>
      </c>
      <c r="D227" t="s">
        <v>44</v>
      </c>
      <c r="E227" t="s">
        <v>69</v>
      </c>
      <c r="F227" t="s">
        <v>45</v>
      </c>
      <c r="G227" t="s">
        <v>44</v>
      </c>
      <c r="H227" t="s">
        <v>540</v>
      </c>
      <c r="I227" t="s">
        <v>114</v>
      </c>
      <c r="J227">
        <v>481.84</v>
      </c>
      <c r="K227">
        <v>10</v>
      </c>
      <c r="L227" t="s">
        <v>48</v>
      </c>
      <c r="M227">
        <v>1</v>
      </c>
      <c r="N227">
        <v>4</v>
      </c>
      <c r="O227">
        <v>2</v>
      </c>
      <c r="P227" t="s">
        <v>44</v>
      </c>
      <c r="Q227" t="s">
        <v>37</v>
      </c>
      <c r="R227">
        <v>1</v>
      </c>
      <c r="S227">
        <v>1</v>
      </c>
      <c r="T227" t="s">
        <v>49</v>
      </c>
      <c r="U227" t="s">
        <v>38</v>
      </c>
      <c r="V227" t="s">
        <v>86</v>
      </c>
      <c r="W227" s="1">
        <v>45518</v>
      </c>
      <c r="X227" t="b">
        <v>0</v>
      </c>
      <c r="Y227" t="b">
        <v>0</v>
      </c>
      <c r="Z227" t="s">
        <v>52</v>
      </c>
      <c r="AA227" t="s">
        <v>67</v>
      </c>
      <c r="AB227">
        <v>9</v>
      </c>
    </row>
    <row r="228" spans="1:28" x14ac:dyDescent="0.25">
      <c r="A228" t="s">
        <v>541</v>
      </c>
      <c r="B228">
        <v>50</v>
      </c>
      <c r="C228" t="s">
        <v>274</v>
      </c>
      <c r="D228" t="s">
        <v>44</v>
      </c>
      <c r="E228" t="s">
        <v>76</v>
      </c>
      <c r="F228" t="s">
        <v>56</v>
      </c>
      <c r="G228" t="s">
        <v>30</v>
      </c>
      <c r="H228" t="s">
        <v>542</v>
      </c>
      <c r="I228" t="s">
        <v>114</v>
      </c>
      <c r="J228">
        <v>165.01</v>
      </c>
      <c r="K228">
        <v>10</v>
      </c>
      <c r="L228" t="s">
        <v>35</v>
      </c>
      <c r="M228">
        <v>1</v>
      </c>
      <c r="N228">
        <v>2</v>
      </c>
      <c r="O228">
        <v>1</v>
      </c>
      <c r="P228" t="s">
        <v>49</v>
      </c>
      <c r="Q228" t="s">
        <v>37</v>
      </c>
      <c r="R228">
        <v>1</v>
      </c>
      <c r="S228">
        <v>5</v>
      </c>
      <c r="T228" t="s">
        <v>49</v>
      </c>
      <c r="U228" t="s">
        <v>79</v>
      </c>
      <c r="V228" t="s">
        <v>51</v>
      </c>
      <c r="W228" s="1">
        <v>45399</v>
      </c>
      <c r="X228" t="b">
        <v>1</v>
      </c>
      <c r="Y228" t="b">
        <v>0</v>
      </c>
      <c r="Z228" t="s">
        <v>62</v>
      </c>
      <c r="AA228" t="s">
        <v>41</v>
      </c>
      <c r="AB228">
        <v>10</v>
      </c>
    </row>
    <row r="229" spans="1:28" x14ac:dyDescent="0.25">
      <c r="A229" t="s">
        <v>543</v>
      </c>
      <c r="B229">
        <v>25</v>
      </c>
      <c r="C229" t="s">
        <v>43</v>
      </c>
      <c r="D229" t="s">
        <v>30</v>
      </c>
      <c r="E229" t="s">
        <v>76</v>
      </c>
      <c r="F229" t="s">
        <v>45</v>
      </c>
      <c r="G229" t="s">
        <v>30</v>
      </c>
      <c r="H229" t="s">
        <v>544</v>
      </c>
      <c r="I229" t="s">
        <v>123</v>
      </c>
      <c r="J229">
        <v>56.85</v>
      </c>
      <c r="K229">
        <v>5</v>
      </c>
      <c r="L229" t="s">
        <v>78</v>
      </c>
      <c r="M229">
        <v>2</v>
      </c>
      <c r="N229">
        <v>1</v>
      </c>
      <c r="O229">
        <v>2</v>
      </c>
      <c r="P229" t="s">
        <v>36</v>
      </c>
      <c r="Q229" t="s">
        <v>85</v>
      </c>
      <c r="R229">
        <v>0</v>
      </c>
      <c r="S229">
        <v>1</v>
      </c>
      <c r="T229" t="s">
        <v>44</v>
      </c>
      <c r="U229" t="s">
        <v>60</v>
      </c>
      <c r="V229" t="s">
        <v>86</v>
      </c>
      <c r="W229" s="1">
        <v>45612</v>
      </c>
      <c r="X229" t="b">
        <v>1</v>
      </c>
      <c r="Y229" t="b">
        <v>0</v>
      </c>
      <c r="Z229" t="s">
        <v>52</v>
      </c>
      <c r="AA229" t="s">
        <v>53</v>
      </c>
      <c r="AB229">
        <v>14</v>
      </c>
    </row>
    <row r="230" spans="1:28" x14ac:dyDescent="0.25">
      <c r="A230" t="s">
        <v>545</v>
      </c>
      <c r="B230">
        <v>34</v>
      </c>
      <c r="C230" t="s">
        <v>274</v>
      </c>
      <c r="D230" t="s">
        <v>44</v>
      </c>
      <c r="E230" t="s">
        <v>55</v>
      </c>
      <c r="F230" t="s">
        <v>32</v>
      </c>
      <c r="G230" t="s">
        <v>44</v>
      </c>
      <c r="H230" t="s">
        <v>546</v>
      </c>
      <c r="I230" t="s">
        <v>107</v>
      </c>
      <c r="J230">
        <v>182.89</v>
      </c>
      <c r="K230">
        <v>2</v>
      </c>
      <c r="L230" t="s">
        <v>35</v>
      </c>
      <c r="M230">
        <v>5</v>
      </c>
      <c r="N230">
        <v>3</v>
      </c>
      <c r="O230">
        <v>1</v>
      </c>
      <c r="P230" t="s">
        <v>59</v>
      </c>
      <c r="Q230" t="s">
        <v>50</v>
      </c>
      <c r="R230">
        <v>1</v>
      </c>
      <c r="S230">
        <v>9</v>
      </c>
      <c r="T230" t="s">
        <v>59</v>
      </c>
      <c r="U230" t="s">
        <v>60</v>
      </c>
      <c r="V230" t="s">
        <v>51</v>
      </c>
      <c r="W230" s="1">
        <v>45516</v>
      </c>
      <c r="X230" t="b">
        <v>0</v>
      </c>
      <c r="Y230" t="b">
        <v>0</v>
      </c>
      <c r="Z230" t="s">
        <v>52</v>
      </c>
      <c r="AA230" t="s">
        <v>67</v>
      </c>
      <c r="AB230">
        <v>5</v>
      </c>
    </row>
    <row r="231" spans="1:28" x14ac:dyDescent="0.25">
      <c r="A231" t="s">
        <v>547</v>
      </c>
      <c r="B231">
        <v>39</v>
      </c>
      <c r="C231" t="s">
        <v>43</v>
      </c>
      <c r="D231" t="s">
        <v>44</v>
      </c>
      <c r="E231" t="s">
        <v>69</v>
      </c>
      <c r="F231" t="s">
        <v>45</v>
      </c>
      <c r="G231" t="s">
        <v>44</v>
      </c>
      <c r="H231" t="s">
        <v>548</v>
      </c>
      <c r="I231" t="s">
        <v>82</v>
      </c>
      <c r="J231">
        <v>373.01</v>
      </c>
      <c r="K231">
        <v>5</v>
      </c>
      <c r="L231" t="s">
        <v>48</v>
      </c>
      <c r="M231">
        <v>5</v>
      </c>
      <c r="N231">
        <v>5</v>
      </c>
      <c r="O231">
        <v>1</v>
      </c>
      <c r="P231" t="s">
        <v>59</v>
      </c>
      <c r="Q231" t="s">
        <v>37</v>
      </c>
      <c r="R231">
        <v>1</v>
      </c>
      <c r="S231">
        <v>4</v>
      </c>
      <c r="T231" t="s">
        <v>49</v>
      </c>
      <c r="U231" t="s">
        <v>60</v>
      </c>
      <c r="V231" t="s">
        <v>51</v>
      </c>
      <c r="W231" s="1">
        <v>45500</v>
      </c>
      <c r="X231" t="b">
        <v>0</v>
      </c>
      <c r="Y231" t="b">
        <v>1</v>
      </c>
      <c r="Z231" t="s">
        <v>62</v>
      </c>
      <c r="AA231" t="s">
        <v>67</v>
      </c>
      <c r="AB231">
        <v>8</v>
      </c>
    </row>
    <row r="232" spans="1:28" x14ac:dyDescent="0.25">
      <c r="A232" t="s">
        <v>549</v>
      </c>
      <c r="B232">
        <v>41</v>
      </c>
      <c r="C232" t="s">
        <v>43</v>
      </c>
      <c r="D232" t="s">
        <v>30</v>
      </c>
      <c r="E232" t="s">
        <v>55</v>
      </c>
      <c r="F232" t="s">
        <v>56</v>
      </c>
      <c r="G232" t="s">
        <v>30</v>
      </c>
      <c r="H232" t="s">
        <v>550</v>
      </c>
      <c r="I232" t="s">
        <v>65</v>
      </c>
      <c r="J232">
        <v>220.77</v>
      </c>
      <c r="K232">
        <v>7</v>
      </c>
      <c r="L232" t="s">
        <v>78</v>
      </c>
      <c r="M232">
        <v>4</v>
      </c>
      <c r="N232">
        <v>2</v>
      </c>
      <c r="O232">
        <v>2</v>
      </c>
      <c r="P232" t="s">
        <v>59</v>
      </c>
      <c r="Q232" t="s">
        <v>50</v>
      </c>
      <c r="R232">
        <v>2</v>
      </c>
      <c r="S232">
        <v>1</v>
      </c>
      <c r="T232" t="s">
        <v>36</v>
      </c>
      <c r="U232" t="s">
        <v>60</v>
      </c>
      <c r="V232" t="s">
        <v>61</v>
      </c>
      <c r="W232" s="1">
        <v>45397</v>
      </c>
      <c r="X232" t="b">
        <v>1</v>
      </c>
      <c r="Y232" t="b">
        <v>1</v>
      </c>
      <c r="Z232" t="s">
        <v>40</v>
      </c>
      <c r="AA232" t="s">
        <v>53</v>
      </c>
      <c r="AB232">
        <v>11</v>
      </c>
    </row>
    <row r="233" spans="1:28" x14ac:dyDescent="0.25">
      <c r="A233" t="s">
        <v>551</v>
      </c>
      <c r="B233">
        <v>27</v>
      </c>
      <c r="C233" t="s">
        <v>43</v>
      </c>
      <c r="D233" t="s">
        <v>30</v>
      </c>
      <c r="E233" t="s">
        <v>31</v>
      </c>
      <c r="F233" t="s">
        <v>56</v>
      </c>
      <c r="G233" t="s">
        <v>44</v>
      </c>
      <c r="H233" t="s">
        <v>552</v>
      </c>
      <c r="I233" t="s">
        <v>107</v>
      </c>
      <c r="J233">
        <v>291.08999999999997</v>
      </c>
      <c r="K233">
        <v>11</v>
      </c>
      <c r="L233" t="s">
        <v>78</v>
      </c>
      <c r="M233">
        <v>2</v>
      </c>
      <c r="N233">
        <v>2</v>
      </c>
      <c r="O233">
        <v>2</v>
      </c>
      <c r="P233" t="s">
        <v>36</v>
      </c>
      <c r="Q233" t="s">
        <v>37</v>
      </c>
      <c r="R233">
        <v>0</v>
      </c>
      <c r="S233">
        <v>9</v>
      </c>
      <c r="T233" t="s">
        <v>44</v>
      </c>
      <c r="U233" t="s">
        <v>60</v>
      </c>
      <c r="V233" t="s">
        <v>51</v>
      </c>
      <c r="W233" s="1">
        <v>45571</v>
      </c>
      <c r="X233" t="b">
        <v>1</v>
      </c>
      <c r="Y233" t="b">
        <v>0</v>
      </c>
      <c r="Z233" t="s">
        <v>40</v>
      </c>
      <c r="AA233" t="s">
        <v>41</v>
      </c>
      <c r="AB233">
        <v>1</v>
      </c>
    </row>
    <row r="234" spans="1:28" x14ac:dyDescent="0.25">
      <c r="A234" t="s">
        <v>553</v>
      </c>
      <c r="B234">
        <v>23</v>
      </c>
      <c r="C234" t="s">
        <v>274</v>
      </c>
      <c r="D234" t="s">
        <v>44</v>
      </c>
      <c r="E234" t="s">
        <v>31</v>
      </c>
      <c r="F234" t="s">
        <v>32</v>
      </c>
      <c r="G234" t="s">
        <v>30</v>
      </c>
      <c r="H234" t="s">
        <v>554</v>
      </c>
      <c r="I234" t="s">
        <v>120</v>
      </c>
      <c r="J234">
        <v>414.06</v>
      </c>
      <c r="K234">
        <v>9</v>
      </c>
      <c r="L234" t="s">
        <v>35</v>
      </c>
      <c r="M234">
        <v>1</v>
      </c>
      <c r="N234">
        <v>4</v>
      </c>
      <c r="O234">
        <v>2</v>
      </c>
      <c r="P234" t="s">
        <v>49</v>
      </c>
      <c r="Q234" t="s">
        <v>37</v>
      </c>
      <c r="R234">
        <v>2</v>
      </c>
      <c r="S234">
        <v>4</v>
      </c>
      <c r="T234" t="s">
        <v>44</v>
      </c>
      <c r="U234" t="s">
        <v>79</v>
      </c>
      <c r="V234" t="s">
        <v>51</v>
      </c>
      <c r="W234" s="1">
        <v>45622</v>
      </c>
      <c r="X234" t="b">
        <v>1</v>
      </c>
      <c r="Y234" t="b">
        <v>0</v>
      </c>
      <c r="Z234" t="s">
        <v>74</v>
      </c>
      <c r="AA234" t="s">
        <v>67</v>
      </c>
      <c r="AB234">
        <v>2</v>
      </c>
    </row>
    <row r="235" spans="1:28" x14ac:dyDescent="0.25">
      <c r="A235" t="s">
        <v>555</v>
      </c>
      <c r="B235">
        <v>37</v>
      </c>
      <c r="C235" t="s">
        <v>43</v>
      </c>
      <c r="D235" t="s">
        <v>30</v>
      </c>
      <c r="E235" t="s">
        <v>69</v>
      </c>
      <c r="F235" t="s">
        <v>32</v>
      </c>
      <c r="G235" t="s">
        <v>30</v>
      </c>
      <c r="H235" t="s">
        <v>556</v>
      </c>
      <c r="I235" t="s">
        <v>101</v>
      </c>
      <c r="J235">
        <v>408.51</v>
      </c>
      <c r="K235">
        <v>9</v>
      </c>
      <c r="L235" t="s">
        <v>78</v>
      </c>
      <c r="M235">
        <v>2</v>
      </c>
      <c r="N235">
        <v>1</v>
      </c>
      <c r="O235">
        <v>2</v>
      </c>
      <c r="P235" t="s">
        <v>44</v>
      </c>
      <c r="Q235" t="s">
        <v>85</v>
      </c>
      <c r="R235">
        <v>0</v>
      </c>
      <c r="S235">
        <v>7</v>
      </c>
      <c r="T235" t="s">
        <v>49</v>
      </c>
      <c r="U235" t="s">
        <v>60</v>
      </c>
      <c r="V235" t="s">
        <v>39</v>
      </c>
      <c r="W235" s="1">
        <v>45438</v>
      </c>
      <c r="X235" t="b">
        <v>1</v>
      </c>
      <c r="Y235" t="b">
        <v>0</v>
      </c>
      <c r="Z235" t="s">
        <v>52</v>
      </c>
      <c r="AA235" t="s">
        <v>67</v>
      </c>
      <c r="AB235">
        <v>1</v>
      </c>
    </row>
    <row r="236" spans="1:28" x14ac:dyDescent="0.25">
      <c r="A236" t="s">
        <v>557</v>
      </c>
      <c r="B236">
        <v>21</v>
      </c>
      <c r="C236" t="s">
        <v>43</v>
      </c>
      <c r="D236" t="s">
        <v>30</v>
      </c>
      <c r="E236" t="s">
        <v>31</v>
      </c>
      <c r="F236" t="s">
        <v>45</v>
      </c>
      <c r="G236" t="s">
        <v>44</v>
      </c>
      <c r="H236" t="s">
        <v>558</v>
      </c>
      <c r="I236" t="s">
        <v>71</v>
      </c>
      <c r="J236">
        <v>103.4</v>
      </c>
      <c r="K236">
        <v>9</v>
      </c>
      <c r="L236" t="s">
        <v>48</v>
      </c>
      <c r="M236">
        <v>4</v>
      </c>
      <c r="N236">
        <v>1</v>
      </c>
      <c r="O236">
        <v>2</v>
      </c>
      <c r="P236" t="s">
        <v>44</v>
      </c>
      <c r="Q236" t="s">
        <v>50</v>
      </c>
      <c r="R236">
        <v>1</v>
      </c>
      <c r="S236">
        <v>9</v>
      </c>
      <c r="T236" t="s">
        <v>49</v>
      </c>
      <c r="U236" t="s">
        <v>60</v>
      </c>
      <c r="V236" t="s">
        <v>61</v>
      </c>
      <c r="W236" s="1">
        <v>45600</v>
      </c>
      <c r="X236" t="b">
        <v>1</v>
      </c>
      <c r="Y236" t="b">
        <v>0</v>
      </c>
      <c r="Z236" t="s">
        <v>74</v>
      </c>
      <c r="AA236" t="s">
        <v>53</v>
      </c>
      <c r="AB236">
        <v>9</v>
      </c>
    </row>
    <row r="237" spans="1:28" x14ac:dyDescent="0.25">
      <c r="A237" t="s">
        <v>559</v>
      </c>
      <c r="B237">
        <v>47</v>
      </c>
      <c r="C237" t="s">
        <v>43</v>
      </c>
      <c r="D237" t="s">
        <v>30</v>
      </c>
      <c r="E237" t="s">
        <v>55</v>
      </c>
      <c r="F237" t="s">
        <v>45</v>
      </c>
      <c r="G237" t="s">
        <v>44</v>
      </c>
      <c r="H237" t="s">
        <v>560</v>
      </c>
      <c r="I237" t="s">
        <v>71</v>
      </c>
      <c r="J237">
        <v>67.92</v>
      </c>
      <c r="K237">
        <v>3</v>
      </c>
      <c r="L237" t="s">
        <v>48</v>
      </c>
      <c r="M237">
        <v>1</v>
      </c>
      <c r="N237">
        <v>3</v>
      </c>
      <c r="O237">
        <v>0</v>
      </c>
      <c r="P237" t="s">
        <v>59</v>
      </c>
      <c r="Q237" t="s">
        <v>50</v>
      </c>
      <c r="R237">
        <v>1</v>
      </c>
      <c r="S237">
        <v>8</v>
      </c>
      <c r="T237" t="s">
        <v>59</v>
      </c>
      <c r="U237" t="s">
        <v>38</v>
      </c>
      <c r="V237" t="s">
        <v>86</v>
      </c>
      <c r="W237" s="1">
        <v>45583</v>
      </c>
      <c r="X237" t="b">
        <v>0</v>
      </c>
      <c r="Y237" t="b">
        <v>1</v>
      </c>
      <c r="Z237" t="s">
        <v>62</v>
      </c>
      <c r="AA237" t="s">
        <v>67</v>
      </c>
      <c r="AB237">
        <v>10</v>
      </c>
    </row>
    <row r="238" spans="1:28" x14ac:dyDescent="0.25">
      <c r="A238" t="s">
        <v>561</v>
      </c>
      <c r="B238">
        <v>42</v>
      </c>
      <c r="C238" t="s">
        <v>274</v>
      </c>
      <c r="D238" t="s">
        <v>30</v>
      </c>
      <c r="E238" t="s">
        <v>55</v>
      </c>
      <c r="F238" t="s">
        <v>45</v>
      </c>
      <c r="G238" t="s">
        <v>30</v>
      </c>
      <c r="H238" t="s">
        <v>562</v>
      </c>
      <c r="I238" t="s">
        <v>142</v>
      </c>
      <c r="J238">
        <v>354.16</v>
      </c>
      <c r="K238">
        <v>8</v>
      </c>
      <c r="L238" t="s">
        <v>48</v>
      </c>
      <c r="M238">
        <v>1</v>
      </c>
      <c r="N238">
        <v>1</v>
      </c>
      <c r="O238">
        <v>1</v>
      </c>
      <c r="P238" t="s">
        <v>59</v>
      </c>
      <c r="Q238" t="s">
        <v>50</v>
      </c>
      <c r="R238">
        <v>2</v>
      </c>
      <c r="S238">
        <v>3</v>
      </c>
      <c r="T238" t="s">
        <v>59</v>
      </c>
      <c r="U238" t="s">
        <v>79</v>
      </c>
      <c r="V238" t="s">
        <v>39</v>
      </c>
      <c r="W238" s="1">
        <v>45456</v>
      </c>
      <c r="X238" t="b">
        <v>1</v>
      </c>
      <c r="Y238" t="b">
        <v>0</v>
      </c>
      <c r="Z238" t="s">
        <v>74</v>
      </c>
      <c r="AA238" t="s">
        <v>67</v>
      </c>
      <c r="AB238">
        <v>5</v>
      </c>
    </row>
    <row r="239" spans="1:28" x14ac:dyDescent="0.25">
      <c r="A239" t="s">
        <v>563</v>
      </c>
      <c r="B239">
        <v>30</v>
      </c>
      <c r="C239" t="s">
        <v>43</v>
      </c>
      <c r="D239" t="s">
        <v>30</v>
      </c>
      <c r="E239" t="s">
        <v>69</v>
      </c>
      <c r="F239" t="s">
        <v>32</v>
      </c>
      <c r="G239" t="s">
        <v>30</v>
      </c>
      <c r="H239" t="s">
        <v>564</v>
      </c>
      <c r="I239" t="s">
        <v>82</v>
      </c>
      <c r="J239">
        <v>276.77</v>
      </c>
      <c r="K239">
        <v>2</v>
      </c>
      <c r="L239" t="s">
        <v>35</v>
      </c>
      <c r="M239">
        <v>1</v>
      </c>
      <c r="N239">
        <v>1</v>
      </c>
      <c r="O239">
        <v>2</v>
      </c>
      <c r="P239" t="s">
        <v>59</v>
      </c>
      <c r="Q239" t="s">
        <v>85</v>
      </c>
      <c r="R239">
        <v>1</v>
      </c>
      <c r="S239">
        <v>2</v>
      </c>
      <c r="T239" t="s">
        <v>44</v>
      </c>
      <c r="U239" t="s">
        <v>60</v>
      </c>
      <c r="V239" t="s">
        <v>86</v>
      </c>
      <c r="W239" s="1">
        <v>45354</v>
      </c>
      <c r="X239" t="b">
        <v>1</v>
      </c>
      <c r="Y239" t="b">
        <v>1</v>
      </c>
      <c r="Z239" t="s">
        <v>52</v>
      </c>
      <c r="AA239" t="s">
        <v>41</v>
      </c>
      <c r="AB239">
        <v>4</v>
      </c>
    </row>
    <row r="240" spans="1:28" x14ac:dyDescent="0.25">
      <c r="A240" t="s">
        <v>565</v>
      </c>
      <c r="B240">
        <v>49</v>
      </c>
      <c r="C240" t="s">
        <v>43</v>
      </c>
      <c r="D240" t="s">
        <v>30</v>
      </c>
      <c r="E240" t="s">
        <v>55</v>
      </c>
      <c r="F240" t="s">
        <v>45</v>
      </c>
      <c r="G240" t="s">
        <v>30</v>
      </c>
      <c r="H240" t="s">
        <v>566</v>
      </c>
      <c r="I240" t="s">
        <v>104</v>
      </c>
      <c r="J240">
        <v>190.25</v>
      </c>
      <c r="K240">
        <v>6</v>
      </c>
      <c r="L240" t="s">
        <v>35</v>
      </c>
      <c r="M240">
        <v>4</v>
      </c>
      <c r="N240">
        <v>2</v>
      </c>
      <c r="O240">
        <v>2</v>
      </c>
      <c r="P240" t="s">
        <v>36</v>
      </c>
      <c r="Q240" t="s">
        <v>85</v>
      </c>
      <c r="R240">
        <v>2</v>
      </c>
      <c r="S240">
        <v>9</v>
      </c>
      <c r="T240" t="s">
        <v>36</v>
      </c>
      <c r="U240" t="s">
        <v>38</v>
      </c>
      <c r="V240" t="s">
        <v>51</v>
      </c>
      <c r="W240" s="1">
        <v>45446</v>
      </c>
      <c r="X240" t="b">
        <v>0</v>
      </c>
      <c r="Y240" t="b">
        <v>0</v>
      </c>
      <c r="Z240" t="s">
        <v>74</v>
      </c>
      <c r="AA240" t="s">
        <v>67</v>
      </c>
      <c r="AB240">
        <v>13</v>
      </c>
    </row>
    <row r="241" spans="1:28" x14ac:dyDescent="0.25">
      <c r="A241" t="s">
        <v>567</v>
      </c>
      <c r="B241">
        <v>28</v>
      </c>
      <c r="C241" t="s">
        <v>29</v>
      </c>
      <c r="D241" t="s">
        <v>30</v>
      </c>
      <c r="E241" t="s">
        <v>31</v>
      </c>
      <c r="F241" t="s">
        <v>56</v>
      </c>
      <c r="G241" t="s">
        <v>30</v>
      </c>
      <c r="H241" t="s">
        <v>568</v>
      </c>
      <c r="I241" t="s">
        <v>101</v>
      </c>
      <c r="J241">
        <v>203.49</v>
      </c>
      <c r="K241">
        <v>7</v>
      </c>
      <c r="L241" t="s">
        <v>48</v>
      </c>
      <c r="M241">
        <v>4</v>
      </c>
      <c r="N241">
        <v>1</v>
      </c>
      <c r="O241">
        <v>2</v>
      </c>
      <c r="P241" t="s">
        <v>49</v>
      </c>
      <c r="Q241" t="s">
        <v>50</v>
      </c>
      <c r="R241">
        <v>1</v>
      </c>
      <c r="S241">
        <v>8</v>
      </c>
      <c r="T241" t="s">
        <v>44</v>
      </c>
      <c r="U241" t="s">
        <v>38</v>
      </c>
      <c r="V241" t="s">
        <v>86</v>
      </c>
      <c r="W241" s="1">
        <v>45514</v>
      </c>
      <c r="X241" t="b">
        <v>0</v>
      </c>
      <c r="Y241" t="b">
        <v>1</v>
      </c>
      <c r="Z241" t="s">
        <v>40</v>
      </c>
      <c r="AA241" t="s">
        <v>67</v>
      </c>
      <c r="AB241">
        <v>11</v>
      </c>
    </row>
    <row r="242" spans="1:28" x14ac:dyDescent="0.25">
      <c r="A242" t="s">
        <v>569</v>
      </c>
      <c r="B242">
        <v>24</v>
      </c>
      <c r="C242" t="s">
        <v>43</v>
      </c>
      <c r="D242" t="s">
        <v>30</v>
      </c>
      <c r="E242" t="s">
        <v>55</v>
      </c>
      <c r="F242" t="s">
        <v>45</v>
      </c>
      <c r="G242" t="s">
        <v>44</v>
      </c>
      <c r="H242" t="s">
        <v>570</v>
      </c>
      <c r="I242" t="s">
        <v>142</v>
      </c>
      <c r="J242">
        <v>263.5</v>
      </c>
      <c r="K242">
        <v>6</v>
      </c>
      <c r="L242" t="s">
        <v>35</v>
      </c>
      <c r="M242">
        <v>3</v>
      </c>
      <c r="N242">
        <v>2</v>
      </c>
      <c r="O242">
        <v>2</v>
      </c>
      <c r="P242" t="s">
        <v>36</v>
      </c>
      <c r="Q242" t="s">
        <v>50</v>
      </c>
      <c r="R242">
        <v>0</v>
      </c>
      <c r="S242">
        <v>8</v>
      </c>
      <c r="T242" t="s">
        <v>59</v>
      </c>
      <c r="U242" t="s">
        <v>38</v>
      </c>
      <c r="V242" t="s">
        <v>61</v>
      </c>
      <c r="W242" s="1">
        <v>45614</v>
      </c>
      <c r="X242" t="b">
        <v>0</v>
      </c>
      <c r="Y242" t="b">
        <v>0</v>
      </c>
      <c r="Z242" t="s">
        <v>74</v>
      </c>
      <c r="AA242" t="s">
        <v>53</v>
      </c>
      <c r="AB242">
        <v>1</v>
      </c>
    </row>
    <row r="243" spans="1:28" x14ac:dyDescent="0.25">
      <c r="A243" t="s">
        <v>571</v>
      </c>
      <c r="B243">
        <v>40</v>
      </c>
      <c r="C243" t="s">
        <v>29</v>
      </c>
      <c r="D243" t="s">
        <v>44</v>
      </c>
      <c r="E243" t="s">
        <v>76</v>
      </c>
      <c r="F243" t="s">
        <v>32</v>
      </c>
      <c r="G243" t="s">
        <v>30</v>
      </c>
      <c r="H243" t="s">
        <v>572</v>
      </c>
      <c r="I243" t="s">
        <v>135</v>
      </c>
      <c r="J243">
        <v>247.3</v>
      </c>
      <c r="K243">
        <v>2</v>
      </c>
      <c r="L243" t="s">
        <v>48</v>
      </c>
      <c r="M243">
        <v>4</v>
      </c>
      <c r="N243">
        <v>4</v>
      </c>
      <c r="O243">
        <v>2</v>
      </c>
      <c r="P243" t="s">
        <v>59</v>
      </c>
      <c r="Q243" t="s">
        <v>85</v>
      </c>
      <c r="R243">
        <v>0</v>
      </c>
      <c r="S243">
        <v>1</v>
      </c>
      <c r="T243" t="s">
        <v>49</v>
      </c>
      <c r="U243" t="s">
        <v>79</v>
      </c>
      <c r="V243" t="s">
        <v>39</v>
      </c>
      <c r="W243" s="1">
        <v>45330</v>
      </c>
      <c r="X243" t="b">
        <v>1</v>
      </c>
      <c r="Y243" t="b">
        <v>1</v>
      </c>
      <c r="Z243" t="s">
        <v>52</v>
      </c>
      <c r="AA243" t="s">
        <v>41</v>
      </c>
      <c r="AB243">
        <v>11</v>
      </c>
    </row>
    <row r="244" spans="1:28" x14ac:dyDescent="0.25">
      <c r="A244" t="s">
        <v>573</v>
      </c>
      <c r="B244">
        <v>18</v>
      </c>
      <c r="C244" t="s">
        <v>43</v>
      </c>
      <c r="D244" t="s">
        <v>44</v>
      </c>
      <c r="E244" t="s">
        <v>31</v>
      </c>
      <c r="F244" t="s">
        <v>32</v>
      </c>
      <c r="G244" t="s">
        <v>30</v>
      </c>
      <c r="H244" t="s">
        <v>574</v>
      </c>
      <c r="I244" t="s">
        <v>126</v>
      </c>
      <c r="J244">
        <v>50.71</v>
      </c>
      <c r="K244">
        <v>12</v>
      </c>
      <c r="L244" t="s">
        <v>78</v>
      </c>
      <c r="M244">
        <v>4</v>
      </c>
      <c r="N244">
        <v>3</v>
      </c>
      <c r="O244">
        <v>0.3</v>
      </c>
      <c r="P244" t="s">
        <v>36</v>
      </c>
      <c r="Q244" t="s">
        <v>50</v>
      </c>
      <c r="R244">
        <v>0</v>
      </c>
      <c r="S244">
        <v>9</v>
      </c>
      <c r="T244" t="s">
        <v>49</v>
      </c>
      <c r="U244" t="s">
        <v>60</v>
      </c>
      <c r="V244" t="s">
        <v>61</v>
      </c>
      <c r="W244" s="1">
        <v>45368</v>
      </c>
      <c r="X244" t="b">
        <v>1</v>
      </c>
      <c r="Y244" t="b">
        <v>1</v>
      </c>
      <c r="Z244" t="s">
        <v>52</v>
      </c>
      <c r="AA244" t="s">
        <v>41</v>
      </c>
      <c r="AB244">
        <v>8</v>
      </c>
    </row>
    <row r="245" spans="1:28" x14ac:dyDescent="0.25">
      <c r="A245" t="s">
        <v>575</v>
      </c>
      <c r="B245">
        <v>42</v>
      </c>
      <c r="C245" t="s">
        <v>43</v>
      </c>
      <c r="D245" t="s">
        <v>44</v>
      </c>
      <c r="E245" t="s">
        <v>31</v>
      </c>
      <c r="F245" t="s">
        <v>45</v>
      </c>
      <c r="G245" t="s">
        <v>30</v>
      </c>
      <c r="H245" t="s">
        <v>576</v>
      </c>
      <c r="I245" t="s">
        <v>58</v>
      </c>
      <c r="J245">
        <v>131.85</v>
      </c>
      <c r="K245">
        <v>4</v>
      </c>
      <c r="L245" t="s">
        <v>35</v>
      </c>
      <c r="M245">
        <v>5</v>
      </c>
      <c r="N245">
        <v>4</v>
      </c>
      <c r="O245">
        <v>2</v>
      </c>
      <c r="P245" t="s">
        <v>59</v>
      </c>
      <c r="Q245" t="s">
        <v>37</v>
      </c>
      <c r="R245">
        <v>1</v>
      </c>
      <c r="S245">
        <v>5</v>
      </c>
      <c r="T245" t="s">
        <v>49</v>
      </c>
      <c r="U245" t="s">
        <v>60</v>
      </c>
      <c r="V245" t="s">
        <v>61</v>
      </c>
      <c r="W245" s="1">
        <v>45295</v>
      </c>
      <c r="X245" t="b">
        <v>1</v>
      </c>
      <c r="Y245" t="b">
        <v>0</v>
      </c>
      <c r="Z245" t="s">
        <v>40</v>
      </c>
      <c r="AA245" t="s">
        <v>41</v>
      </c>
      <c r="AB245">
        <v>6</v>
      </c>
    </row>
    <row r="246" spans="1:28" x14ac:dyDescent="0.25">
      <c r="A246" t="s">
        <v>577</v>
      </c>
      <c r="B246">
        <v>19</v>
      </c>
      <c r="C246" t="s">
        <v>43</v>
      </c>
      <c r="D246" t="s">
        <v>44</v>
      </c>
      <c r="E246" t="s">
        <v>31</v>
      </c>
      <c r="F246" t="s">
        <v>56</v>
      </c>
      <c r="G246" t="s">
        <v>44</v>
      </c>
      <c r="H246" t="s">
        <v>578</v>
      </c>
      <c r="I246" t="s">
        <v>188</v>
      </c>
      <c r="J246">
        <v>459.39</v>
      </c>
      <c r="K246">
        <v>6</v>
      </c>
      <c r="L246" t="s">
        <v>35</v>
      </c>
      <c r="M246">
        <v>2</v>
      </c>
      <c r="N246">
        <v>2</v>
      </c>
      <c r="O246">
        <v>0.3</v>
      </c>
      <c r="P246" t="s">
        <v>59</v>
      </c>
      <c r="Q246" t="s">
        <v>85</v>
      </c>
      <c r="R246">
        <v>2</v>
      </c>
      <c r="S246">
        <v>4</v>
      </c>
      <c r="T246" t="s">
        <v>44</v>
      </c>
      <c r="U246" t="s">
        <v>38</v>
      </c>
      <c r="V246" t="s">
        <v>39</v>
      </c>
      <c r="W246" s="1">
        <v>45564</v>
      </c>
      <c r="X246" t="b">
        <v>0</v>
      </c>
      <c r="Y246" t="b">
        <v>0</v>
      </c>
      <c r="Z246" t="s">
        <v>74</v>
      </c>
      <c r="AA246" t="s">
        <v>41</v>
      </c>
      <c r="AB246">
        <v>14</v>
      </c>
    </row>
    <row r="247" spans="1:28" x14ac:dyDescent="0.25">
      <c r="A247" t="s">
        <v>579</v>
      </c>
      <c r="B247">
        <v>36</v>
      </c>
      <c r="C247" t="s">
        <v>29</v>
      </c>
      <c r="D247" t="s">
        <v>44</v>
      </c>
      <c r="E247" t="s">
        <v>76</v>
      </c>
      <c r="F247" t="s">
        <v>45</v>
      </c>
      <c r="G247" t="s">
        <v>30</v>
      </c>
      <c r="H247" t="s">
        <v>580</v>
      </c>
      <c r="I247" t="s">
        <v>58</v>
      </c>
      <c r="J247">
        <v>383.33</v>
      </c>
      <c r="K247">
        <v>6</v>
      </c>
      <c r="L247" t="s">
        <v>78</v>
      </c>
      <c r="M247">
        <v>3</v>
      </c>
      <c r="N247">
        <v>4</v>
      </c>
      <c r="O247">
        <v>2</v>
      </c>
      <c r="P247" t="s">
        <v>49</v>
      </c>
      <c r="Q247" t="s">
        <v>85</v>
      </c>
      <c r="R247">
        <v>1</v>
      </c>
      <c r="S247">
        <v>3</v>
      </c>
      <c r="T247" t="s">
        <v>36</v>
      </c>
      <c r="U247" t="s">
        <v>60</v>
      </c>
      <c r="V247" t="s">
        <v>39</v>
      </c>
      <c r="W247" s="1">
        <v>45509</v>
      </c>
      <c r="X247" t="b">
        <v>0</v>
      </c>
      <c r="Y247" t="b">
        <v>0</v>
      </c>
      <c r="Z247" t="s">
        <v>74</v>
      </c>
      <c r="AA247" t="s">
        <v>53</v>
      </c>
      <c r="AB247">
        <v>12</v>
      </c>
    </row>
    <row r="248" spans="1:28" x14ac:dyDescent="0.25">
      <c r="A248" t="s">
        <v>581</v>
      </c>
      <c r="B248">
        <v>26</v>
      </c>
      <c r="C248" t="s">
        <v>29</v>
      </c>
      <c r="D248" t="s">
        <v>44</v>
      </c>
      <c r="E248" t="s">
        <v>69</v>
      </c>
      <c r="F248" t="s">
        <v>32</v>
      </c>
      <c r="G248" t="s">
        <v>44</v>
      </c>
      <c r="H248" t="s">
        <v>582</v>
      </c>
      <c r="I248" t="s">
        <v>126</v>
      </c>
      <c r="J248">
        <v>212.08</v>
      </c>
      <c r="K248">
        <v>8</v>
      </c>
      <c r="L248" t="s">
        <v>48</v>
      </c>
      <c r="M248">
        <v>5</v>
      </c>
      <c r="N248">
        <v>5</v>
      </c>
      <c r="O248">
        <v>2</v>
      </c>
      <c r="P248" t="s">
        <v>59</v>
      </c>
      <c r="Q248" t="s">
        <v>85</v>
      </c>
      <c r="R248">
        <v>1</v>
      </c>
      <c r="S248">
        <v>9</v>
      </c>
      <c r="T248" t="s">
        <v>36</v>
      </c>
      <c r="U248" t="s">
        <v>38</v>
      </c>
      <c r="V248" t="s">
        <v>39</v>
      </c>
      <c r="W248" s="1">
        <v>45419</v>
      </c>
      <c r="X248" t="b">
        <v>0</v>
      </c>
      <c r="Y248" t="b">
        <v>0</v>
      </c>
      <c r="Z248" t="s">
        <v>40</v>
      </c>
      <c r="AA248" t="s">
        <v>53</v>
      </c>
      <c r="AB248">
        <v>13</v>
      </c>
    </row>
    <row r="249" spans="1:28" x14ac:dyDescent="0.25">
      <c r="A249" t="s">
        <v>583</v>
      </c>
      <c r="B249">
        <v>35</v>
      </c>
      <c r="C249" t="s">
        <v>29</v>
      </c>
      <c r="D249" t="s">
        <v>44</v>
      </c>
      <c r="E249" t="s">
        <v>31</v>
      </c>
      <c r="F249" t="s">
        <v>56</v>
      </c>
      <c r="G249" t="s">
        <v>44</v>
      </c>
      <c r="H249" t="s">
        <v>584</v>
      </c>
      <c r="I249" t="s">
        <v>135</v>
      </c>
      <c r="J249">
        <v>370.73</v>
      </c>
      <c r="K249">
        <v>7</v>
      </c>
      <c r="L249" t="s">
        <v>78</v>
      </c>
      <c r="M249">
        <v>3</v>
      </c>
      <c r="N249">
        <v>2</v>
      </c>
      <c r="O249">
        <v>1</v>
      </c>
      <c r="P249" t="s">
        <v>44</v>
      </c>
      <c r="Q249" t="s">
        <v>50</v>
      </c>
      <c r="R249">
        <v>0</v>
      </c>
      <c r="S249">
        <v>9</v>
      </c>
      <c r="T249" t="s">
        <v>44</v>
      </c>
      <c r="U249" t="s">
        <v>60</v>
      </c>
      <c r="V249" t="s">
        <v>61</v>
      </c>
      <c r="W249" s="1">
        <v>45522</v>
      </c>
      <c r="X249" t="b">
        <v>0</v>
      </c>
      <c r="Y249" t="b">
        <v>1</v>
      </c>
      <c r="Z249" t="s">
        <v>40</v>
      </c>
      <c r="AA249" t="s">
        <v>41</v>
      </c>
      <c r="AB249">
        <v>7</v>
      </c>
    </row>
    <row r="250" spans="1:28" x14ac:dyDescent="0.25">
      <c r="A250" t="s">
        <v>585</v>
      </c>
      <c r="B250">
        <v>39</v>
      </c>
      <c r="C250" t="s">
        <v>43</v>
      </c>
      <c r="D250" t="s">
        <v>44</v>
      </c>
      <c r="E250" t="s">
        <v>76</v>
      </c>
      <c r="F250" t="s">
        <v>56</v>
      </c>
      <c r="G250" t="s">
        <v>30</v>
      </c>
      <c r="H250" t="s">
        <v>586</v>
      </c>
      <c r="I250" t="s">
        <v>183</v>
      </c>
      <c r="J250">
        <v>319.66000000000003</v>
      </c>
      <c r="K250">
        <v>7</v>
      </c>
      <c r="L250" t="s">
        <v>35</v>
      </c>
      <c r="M250">
        <v>4</v>
      </c>
      <c r="N250">
        <v>2</v>
      </c>
      <c r="O250">
        <v>1</v>
      </c>
      <c r="P250" t="s">
        <v>44</v>
      </c>
      <c r="Q250" t="s">
        <v>50</v>
      </c>
      <c r="R250">
        <v>1</v>
      </c>
      <c r="S250">
        <v>10</v>
      </c>
      <c r="T250" t="s">
        <v>36</v>
      </c>
      <c r="U250" t="s">
        <v>79</v>
      </c>
      <c r="V250" t="s">
        <v>61</v>
      </c>
      <c r="W250" s="1">
        <v>45340</v>
      </c>
      <c r="X250" t="b">
        <v>0</v>
      </c>
      <c r="Y250" t="b">
        <v>0</v>
      </c>
      <c r="Z250" t="s">
        <v>52</v>
      </c>
      <c r="AA250" t="s">
        <v>67</v>
      </c>
      <c r="AB250">
        <v>3</v>
      </c>
    </row>
    <row r="251" spans="1:28" x14ac:dyDescent="0.25">
      <c r="A251" t="s">
        <v>587</v>
      </c>
      <c r="B251">
        <v>44</v>
      </c>
      <c r="C251" t="s">
        <v>29</v>
      </c>
      <c r="D251" t="s">
        <v>30</v>
      </c>
      <c r="E251" t="s">
        <v>69</v>
      </c>
      <c r="F251" t="s">
        <v>32</v>
      </c>
      <c r="G251" t="s">
        <v>44</v>
      </c>
      <c r="H251" t="s">
        <v>588</v>
      </c>
      <c r="I251" t="s">
        <v>246</v>
      </c>
      <c r="J251">
        <v>373.05</v>
      </c>
      <c r="K251">
        <v>3</v>
      </c>
      <c r="L251" t="s">
        <v>48</v>
      </c>
      <c r="M251">
        <v>3</v>
      </c>
      <c r="N251">
        <v>4</v>
      </c>
      <c r="O251">
        <v>0.3</v>
      </c>
      <c r="P251" t="s">
        <v>59</v>
      </c>
      <c r="Q251" t="s">
        <v>50</v>
      </c>
      <c r="R251">
        <v>1</v>
      </c>
      <c r="S251">
        <v>10</v>
      </c>
      <c r="T251" t="s">
        <v>49</v>
      </c>
      <c r="U251" t="s">
        <v>38</v>
      </c>
      <c r="V251" t="s">
        <v>86</v>
      </c>
      <c r="W251" s="1">
        <v>45365</v>
      </c>
      <c r="X251" t="b">
        <v>0</v>
      </c>
      <c r="Y251" t="b">
        <v>1</v>
      </c>
      <c r="Z251" t="s">
        <v>74</v>
      </c>
      <c r="AA251" t="s">
        <v>53</v>
      </c>
      <c r="AB251">
        <v>7</v>
      </c>
    </row>
    <row r="252" spans="1:28" x14ac:dyDescent="0.25">
      <c r="A252" t="s">
        <v>589</v>
      </c>
      <c r="B252">
        <v>19</v>
      </c>
      <c r="C252" t="s">
        <v>29</v>
      </c>
      <c r="D252" t="s">
        <v>44</v>
      </c>
      <c r="E252" t="s">
        <v>31</v>
      </c>
      <c r="F252" t="s">
        <v>32</v>
      </c>
      <c r="G252" t="s">
        <v>44</v>
      </c>
      <c r="H252" t="s">
        <v>590</v>
      </c>
      <c r="I252" t="s">
        <v>90</v>
      </c>
      <c r="J252">
        <v>393.78</v>
      </c>
      <c r="K252">
        <v>6</v>
      </c>
      <c r="L252" t="s">
        <v>78</v>
      </c>
      <c r="M252">
        <v>3</v>
      </c>
      <c r="N252">
        <v>4</v>
      </c>
      <c r="O252">
        <v>1</v>
      </c>
      <c r="P252" t="s">
        <v>49</v>
      </c>
      <c r="Q252" t="s">
        <v>85</v>
      </c>
      <c r="R252">
        <v>0</v>
      </c>
      <c r="S252">
        <v>5</v>
      </c>
      <c r="T252" t="s">
        <v>59</v>
      </c>
      <c r="U252" t="s">
        <v>38</v>
      </c>
      <c r="V252" t="s">
        <v>66</v>
      </c>
      <c r="W252" s="1">
        <v>45376</v>
      </c>
      <c r="X252" t="b">
        <v>1</v>
      </c>
      <c r="Y252" t="b">
        <v>0</v>
      </c>
      <c r="Z252" t="s">
        <v>40</v>
      </c>
      <c r="AA252" t="s">
        <v>41</v>
      </c>
      <c r="AB252">
        <v>14</v>
      </c>
    </row>
    <row r="253" spans="1:28" x14ac:dyDescent="0.25">
      <c r="A253" t="s">
        <v>591</v>
      </c>
      <c r="B253">
        <v>27</v>
      </c>
      <c r="C253" t="s">
        <v>29</v>
      </c>
      <c r="D253" t="s">
        <v>44</v>
      </c>
      <c r="E253" t="s">
        <v>69</v>
      </c>
      <c r="F253" t="s">
        <v>56</v>
      </c>
      <c r="G253" t="s">
        <v>44</v>
      </c>
      <c r="H253" t="s">
        <v>592</v>
      </c>
      <c r="I253" t="s">
        <v>183</v>
      </c>
      <c r="J253">
        <v>245.04</v>
      </c>
      <c r="K253">
        <v>4</v>
      </c>
      <c r="L253" t="s">
        <v>78</v>
      </c>
      <c r="M253">
        <v>3</v>
      </c>
      <c r="N253">
        <v>2</v>
      </c>
      <c r="O253">
        <v>0</v>
      </c>
      <c r="P253" t="s">
        <v>44</v>
      </c>
      <c r="Q253" t="s">
        <v>50</v>
      </c>
      <c r="R253">
        <v>2</v>
      </c>
      <c r="S253">
        <v>6</v>
      </c>
      <c r="T253" t="s">
        <v>44</v>
      </c>
      <c r="U253" t="s">
        <v>38</v>
      </c>
      <c r="V253" t="s">
        <v>66</v>
      </c>
      <c r="W253" s="1">
        <v>45629</v>
      </c>
      <c r="X253" t="b">
        <v>1</v>
      </c>
      <c r="Y253" t="b">
        <v>1</v>
      </c>
      <c r="Z253" t="s">
        <v>40</v>
      </c>
      <c r="AA253" t="s">
        <v>53</v>
      </c>
      <c r="AB253">
        <v>10</v>
      </c>
    </row>
    <row r="254" spans="1:28" x14ac:dyDescent="0.25">
      <c r="A254" t="s">
        <v>593</v>
      </c>
      <c r="B254">
        <v>26</v>
      </c>
      <c r="C254" t="s">
        <v>29</v>
      </c>
      <c r="D254" t="s">
        <v>44</v>
      </c>
      <c r="E254" t="s">
        <v>76</v>
      </c>
      <c r="F254" t="s">
        <v>56</v>
      </c>
      <c r="G254" t="s">
        <v>30</v>
      </c>
      <c r="H254" t="s">
        <v>594</v>
      </c>
      <c r="I254" t="s">
        <v>188</v>
      </c>
      <c r="J254">
        <v>111.27</v>
      </c>
      <c r="K254">
        <v>3</v>
      </c>
      <c r="L254" t="s">
        <v>78</v>
      </c>
      <c r="M254">
        <v>1</v>
      </c>
      <c r="N254">
        <v>3</v>
      </c>
      <c r="O254">
        <v>1</v>
      </c>
      <c r="P254" t="s">
        <v>44</v>
      </c>
      <c r="Q254" t="s">
        <v>85</v>
      </c>
      <c r="R254">
        <v>2</v>
      </c>
      <c r="S254">
        <v>10</v>
      </c>
      <c r="T254" t="s">
        <v>36</v>
      </c>
      <c r="U254" t="s">
        <v>60</v>
      </c>
      <c r="V254" t="s">
        <v>51</v>
      </c>
      <c r="W254" s="1">
        <v>45425</v>
      </c>
      <c r="X254" t="b">
        <v>0</v>
      </c>
      <c r="Y254" t="b">
        <v>0</v>
      </c>
      <c r="Z254" t="s">
        <v>62</v>
      </c>
      <c r="AA254" t="s">
        <v>41</v>
      </c>
      <c r="AB254">
        <v>12</v>
      </c>
    </row>
    <row r="255" spans="1:28" x14ac:dyDescent="0.25">
      <c r="A255" t="s">
        <v>595</v>
      </c>
      <c r="B255">
        <v>26</v>
      </c>
      <c r="C255" t="s">
        <v>29</v>
      </c>
      <c r="D255" t="s">
        <v>44</v>
      </c>
      <c r="E255" t="s">
        <v>55</v>
      </c>
      <c r="F255" t="s">
        <v>32</v>
      </c>
      <c r="G255" t="s">
        <v>30</v>
      </c>
      <c r="H255" t="s">
        <v>596</v>
      </c>
      <c r="I255" t="s">
        <v>123</v>
      </c>
      <c r="J255">
        <v>93.29</v>
      </c>
      <c r="K255">
        <v>11</v>
      </c>
      <c r="L255" t="s">
        <v>78</v>
      </c>
      <c r="M255">
        <v>2</v>
      </c>
      <c r="N255">
        <v>2</v>
      </c>
      <c r="O255">
        <v>0</v>
      </c>
      <c r="P255" t="s">
        <v>44</v>
      </c>
      <c r="Q255" t="s">
        <v>85</v>
      </c>
      <c r="R255">
        <v>0</v>
      </c>
      <c r="S255">
        <v>7</v>
      </c>
      <c r="T255" t="s">
        <v>59</v>
      </c>
      <c r="U255" t="s">
        <v>38</v>
      </c>
      <c r="V255" t="s">
        <v>66</v>
      </c>
      <c r="W255" s="1">
        <v>45498</v>
      </c>
      <c r="X255" t="b">
        <v>1</v>
      </c>
      <c r="Y255" t="b">
        <v>0</v>
      </c>
      <c r="Z255" t="s">
        <v>62</v>
      </c>
      <c r="AA255" t="s">
        <v>41</v>
      </c>
      <c r="AB255">
        <v>9</v>
      </c>
    </row>
    <row r="256" spans="1:28" x14ac:dyDescent="0.25">
      <c r="A256" t="s">
        <v>597</v>
      </c>
      <c r="B256">
        <v>27</v>
      </c>
      <c r="C256" t="s">
        <v>29</v>
      </c>
      <c r="D256" t="s">
        <v>44</v>
      </c>
      <c r="E256" t="s">
        <v>31</v>
      </c>
      <c r="F256" t="s">
        <v>45</v>
      </c>
      <c r="G256" t="s">
        <v>30</v>
      </c>
      <c r="H256" t="s">
        <v>598</v>
      </c>
      <c r="I256" t="s">
        <v>107</v>
      </c>
      <c r="J256">
        <v>156.5</v>
      </c>
      <c r="K256">
        <v>5</v>
      </c>
      <c r="L256" t="s">
        <v>35</v>
      </c>
      <c r="M256">
        <v>1</v>
      </c>
      <c r="N256">
        <v>1</v>
      </c>
      <c r="O256">
        <v>1</v>
      </c>
      <c r="P256" t="s">
        <v>44</v>
      </c>
      <c r="Q256" t="s">
        <v>85</v>
      </c>
      <c r="R256">
        <v>0</v>
      </c>
      <c r="S256">
        <v>3</v>
      </c>
      <c r="T256" t="s">
        <v>44</v>
      </c>
      <c r="U256" t="s">
        <v>79</v>
      </c>
      <c r="V256" t="s">
        <v>66</v>
      </c>
      <c r="W256" s="1">
        <v>45301</v>
      </c>
      <c r="X256" t="b">
        <v>1</v>
      </c>
      <c r="Y256" t="b">
        <v>0</v>
      </c>
      <c r="Z256" t="s">
        <v>52</v>
      </c>
      <c r="AA256" t="s">
        <v>53</v>
      </c>
      <c r="AB256">
        <v>14</v>
      </c>
    </row>
    <row r="257" spans="1:28" x14ac:dyDescent="0.25">
      <c r="A257" t="s">
        <v>599</v>
      </c>
      <c r="B257">
        <v>37</v>
      </c>
      <c r="C257" t="s">
        <v>43</v>
      </c>
      <c r="D257" t="s">
        <v>30</v>
      </c>
      <c r="E257" t="s">
        <v>55</v>
      </c>
      <c r="F257" t="s">
        <v>56</v>
      </c>
      <c r="G257" t="s">
        <v>30</v>
      </c>
      <c r="H257" t="s">
        <v>600</v>
      </c>
      <c r="I257" t="s">
        <v>114</v>
      </c>
      <c r="J257">
        <v>290.11</v>
      </c>
      <c r="K257">
        <v>8</v>
      </c>
      <c r="L257" t="s">
        <v>35</v>
      </c>
      <c r="M257">
        <v>4</v>
      </c>
      <c r="N257">
        <v>4</v>
      </c>
      <c r="O257">
        <v>1</v>
      </c>
      <c r="P257" t="s">
        <v>49</v>
      </c>
      <c r="Q257" t="s">
        <v>85</v>
      </c>
      <c r="R257">
        <v>1</v>
      </c>
      <c r="S257">
        <v>4</v>
      </c>
      <c r="T257" t="s">
        <v>49</v>
      </c>
      <c r="U257" t="s">
        <v>60</v>
      </c>
      <c r="V257" t="s">
        <v>51</v>
      </c>
      <c r="W257" s="1">
        <v>45595</v>
      </c>
      <c r="X257" t="b">
        <v>0</v>
      </c>
      <c r="Y257" t="b">
        <v>0</v>
      </c>
      <c r="Z257" t="s">
        <v>62</v>
      </c>
      <c r="AA257" t="s">
        <v>41</v>
      </c>
      <c r="AB257">
        <v>14</v>
      </c>
    </row>
    <row r="258" spans="1:28" x14ac:dyDescent="0.25">
      <c r="A258" t="s">
        <v>601</v>
      </c>
      <c r="B258">
        <v>23</v>
      </c>
      <c r="C258" t="s">
        <v>29</v>
      </c>
      <c r="D258" t="s">
        <v>30</v>
      </c>
      <c r="E258" t="s">
        <v>55</v>
      </c>
      <c r="F258" t="s">
        <v>32</v>
      </c>
      <c r="G258" t="s">
        <v>30</v>
      </c>
      <c r="H258" t="s">
        <v>289</v>
      </c>
      <c r="I258" t="s">
        <v>120</v>
      </c>
      <c r="J258">
        <v>355.28</v>
      </c>
      <c r="K258">
        <v>3</v>
      </c>
      <c r="L258" t="s">
        <v>35</v>
      </c>
      <c r="M258">
        <v>5</v>
      </c>
      <c r="N258">
        <v>5</v>
      </c>
      <c r="O258">
        <v>0</v>
      </c>
      <c r="P258" t="s">
        <v>59</v>
      </c>
      <c r="Q258" t="s">
        <v>85</v>
      </c>
      <c r="R258">
        <v>1</v>
      </c>
      <c r="S258">
        <v>4</v>
      </c>
      <c r="T258" t="s">
        <v>59</v>
      </c>
      <c r="U258" t="s">
        <v>60</v>
      </c>
      <c r="V258" t="s">
        <v>39</v>
      </c>
      <c r="W258" s="1">
        <v>45552</v>
      </c>
      <c r="X258" t="b">
        <v>1</v>
      </c>
      <c r="Y258" t="b">
        <v>1</v>
      </c>
      <c r="Z258" t="s">
        <v>74</v>
      </c>
      <c r="AA258" t="s">
        <v>41</v>
      </c>
      <c r="AB258">
        <v>5</v>
      </c>
    </row>
    <row r="259" spans="1:28" x14ac:dyDescent="0.25">
      <c r="A259" t="s">
        <v>602</v>
      </c>
      <c r="B259">
        <v>31</v>
      </c>
      <c r="C259" t="s">
        <v>88</v>
      </c>
      <c r="D259" t="s">
        <v>30</v>
      </c>
      <c r="E259" t="s">
        <v>55</v>
      </c>
      <c r="F259" t="s">
        <v>32</v>
      </c>
      <c r="G259" t="s">
        <v>44</v>
      </c>
      <c r="H259" t="s">
        <v>603</v>
      </c>
      <c r="I259" t="s">
        <v>34</v>
      </c>
      <c r="J259">
        <v>73.739999999999995</v>
      </c>
      <c r="K259">
        <v>7</v>
      </c>
      <c r="L259" t="s">
        <v>78</v>
      </c>
      <c r="M259">
        <v>4</v>
      </c>
      <c r="N259">
        <v>2</v>
      </c>
      <c r="O259">
        <v>0.3</v>
      </c>
      <c r="P259" t="s">
        <v>44</v>
      </c>
      <c r="Q259" t="s">
        <v>50</v>
      </c>
      <c r="R259">
        <v>1</v>
      </c>
      <c r="S259">
        <v>3</v>
      </c>
      <c r="T259" t="s">
        <v>49</v>
      </c>
      <c r="U259" t="s">
        <v>60</v>
      </c>
      <c r="V259" t="s">
        <v>66</v>
      </c>
      <c r="W259" s="1">
        <v>45521</v>
      </c>
      <c r="X259" t="b">
        <v>0</v>
      </c>
      <c r="Y259" t="b">
        <v>0</v>
      </c>
      <c r="Z259" t="s">
        <v>52</v>
      </c>
      <c r="AA259" t="s">
        <v>53</v>
      </c>
      <c r="AB259">
        <v>13</v>
      </c>
    </row>
    <row r="260" spans="1:28" x14ac:dyDescent="0.25">
      <c r="A260" t="s">
        <v>604</v>
      </c>
      <c r="B260">
        <v>21</v>
      </c>
      <c r="C260" t="s">
        <v>29</v>
      </c>
      <c r="D260" t="s">
        <v>30</v>
      </c>
      <c r="E260" t="s">
        <v>69</v>
      </c>
      <c r="F260" t="s">
        <v>56</v>
      </c>
      <c r="G260" t="s">
        <v>30</v>
      </c>
      <c r="H260" t="s">
        <v>605</v>
      </c>
      <c r="I260" t="s">
        <v>90</v>
      </c>
      <c r="J260">
        <v>170.35</v>
      </c>
      <c r="K260">
        <v>10</v>
      </c>
      <c r="L260" t="s">
        <v>48</v>
      </c>
      <c r="M260">
        <v>2</v>
      </c>
      <c r="N260">
        <v>1</v>
      </c>
      <c r="O260">
        <v>1</v>
      </c>
      <c r="P260" t="s">
        <v>49</v>
      </c>
      <c r="Q260" t="s">
        <v>85</v>
      </c>
      <c r="R260">
        <v>1</v>
      </c>
      <c r="S260">
        <v>10</v>
      </c>
      <c r="T260" t="s">
        <v>59</v>
      </c>
      <c r="U260" t="s">
        <v>79</v>
      </c>
      <c r="V260" t="s">
        <v>86</v>
      </c>
      <c r="W260" s="1">
        <v>45446</v>
      </c>
      <c r="X260" t="b">
        <v>1</v>
      </c>
      <c r="Y260" t="b">
        <v>1</v>
      </c>
      <c r="Z260" t="s">
        <v>40</v>
      </c>
      <c r="AA260" t="s">
        <v>53</v>
      </c>
      <c r="AB260">
        <v>1</v>
      </c>
    </row>
    <row r="261" spans="1:28" x14ac:dyDescent="0.25">
      <c r="A261" t="s">
        <v>606</v>
      </c>
      <c r="B261">
        <v>36</v>
      </c>
      <c r="C261" t="s">
        <v>29</v>
      </c>
      <c r="D261" t="s">
        <v>44</v>
      </c>
      <c r="E261" t="s">
        <v>55</v>
      </c>
      <c r="F261" t="s">
        <v>56</v>
      </c>
      <c r="G261" t="s">
        <v>30</v>
      </c>
      <c r="H261" t="s">
        <v>607</v>
      </c>
      <c r="I261" t="s">
        <v>65</v>
      </c>
      <c r="J261">
        <v>123.7</v>
      </c>
      <c r="K261">
        <v>6</v>
      </c>
      <c r="L261" t="s">
        <v>78</v>
      </c>
      <c r="M261">
        <v>2</v>
      </c>
      <c r="N261">
        <v>5</v>
      </c>
      <c r="O261">
        <v>0</v>
      </c>
      <c r="P261" t="s">
        <v>44</v>
      </c>
      <c r="Q261" t="s">
        <v>85</v>
      </c>
      <c r="R261">
        <v>1</v>
      </c>
      <c r="S261">
        <v>5</v>
      </c>
      <c r="T261" t="s">
        <v>36</v>
      </c>
      <c r="U261" t="s">
        <v>60</v>
      </c>
      <c r="V261" t="s">
        <v>66</v>
      </c>
      <c r="W261" s="1">
        <v>45501</v>
      </c>
      <c r="X261" t="b">
        <v>0</v>
      </c>
      <c r="Y261" t="b">
        <v>0</v>
      </c>
      <c r="Z261" t="s">
        <v>62</v>
      </c>
      <c r="AA261" t="s">
        <v>67</v>
      </c>
      <c r="AB261">
        <v>2</v>
      </c>
    </row>
    <row r="262" spans="1:28" x14ac:dyDescent="0.25">
      <c r="A262" t="s">
        <v>608</v>
      </c>
      <c r="B262">
        <v>21</v>
      </c>
      <c r="C262" t="s">
        <v>29</v>
      </c>
      <c r="D262" t="s">
        <v>30</v>
      </c>
      <c r="E262" t="s">
        <v>55</v>
      </c>
      <c r="F262" t="s">
        <v>56</v>
      </c>
      <c r="G262" t="s">
        <v>44</v>
      </c>
      <c r="H262" t="s">
        <v>609</v>
      </c>
      <c r="I262" t="s">
        <v>34</v>
      </c>
      <c r="J262">
        <v>201.6</v>
      </c>
      <c r="K262">
        <v>9</v>
      </c>
      <c r="L262" t="s">
        <v>48</v>
      </c>
      <c r="M262">
        <v>1</v>
      </c>
      <c r="N262">
        <v>4</v>
      </c>
      <c r="O262">
        <v>2</v>
      </c>
      <c r="P262" t="s">
        <v>49</v>
      </c>
      <c r="Q262" t="s">
        <v>85</v>
      </c>
      <c r="R262">
        <v>1</v>
      </c>
      <c r="S262">
        <v>4</v>
      </c>
      <c r="T262" t="s">
        <v>44</v>
      </c>
      <c r="U262" t="s">
        <v>60</v>
      </c>
      <c r="V262" t="s">
        <v>51</v>
      </c>
      <c r="W262" s="1">
        <v>45589</v>
      </c>
      <c r="X262" t="b">
        <v>0</v>
      </c>
      <c r="Y262" t="b">
        <v>0</v>
      </c>
      <c r="Z262" t="s">
        <v>62</v>
      </c>
      <c r="AA262" t="s">
        <v>67</v>
      </c>
      <c r="AB262">
        <v>14</v>
      </c>
    </row>
    <row r="263" spans="1:28" x14ac:dyDescent="0.25">
      <c r="A263" t="s">
        <v>610</v>
      </c>
      <c r="B263">
        <v>27</v>
      </c>
      <c r="C263" t="s">
        <v>29</v>
      </c>
      <c r="D263" t="s">
        <v>30</v>
      </c>
      <c r="E263" t="s">
        <v>55</v>
      </c>
      <c r="F263" t="s">
        <v>56</v>
      </c>
      <c r="G263" t="s">
        <v>44</v>
      </c>
      <c r="H263" t="s">
        <v>611</v>
      </c>
      <c r="I263" t="s">
        <v>71</v>
      </c>
      <c r="J263">
        <v>116.14</v>
      </c>
      <c r="K263">
        <v>11</v>
      </c>
      <c r="L263" t="s">
        <v>35</v>
      </c>
      <c r="M263">
        <v>1</v>
      </c>
      <c r="N263">
        <v>4</v>
      </c>
      <c r="O263">
        <v>1</v>
      </c>
      <c r="P263" t="s">
        <v>44</v>
      </c>
      <c r="Q263" t="s">
        <v>37</v>
      </c>
      <c r="R263">
        <v>0</v>
      </c>
      <c r="S263">
        <v>8</v>
      </c>
      <c r="T263" t="s">
        <v>49</v>
      </c>
      <c r="U263" t="s">
        <v>79</v>
      </c>
      <c r="V263" t="s">
        <v>39</v>
      </c>
      <c r="W263" s="1">
        <v>45383</v>
      </c>
      <c r="X263" t="b">
        <v>0</v>
      </c>
      <c r="Y263" t="b">
        <v>1</v>
      </c>
      <c r="Z263" t="s">
        <v>52</v>
      </c>
      <c r="AA263" t="s">
        <v>67</v>
      </c>
      <c r="AB263">
        <v>14</v>
      </c>
    </row>
    <row r="264" spans="1:28" x14ac:dyDescent="0.25">
      <c r="A264" t="s">
        <v>612</v>
      </c>
      <c r="B264">
        <v>29</v>
      </c>
      <c r="C264" t="s">
        <v>29</v>
      </c>
      <c r="D264" t="s">
        <v>30</v>
      </c>
      <c r="E264" t="s">
        <v>55</v>
      </c>
      <c r="F264" t="s">
        <v>56</v>
      </c>
      <c r="G264" t="s">
        <v>44</v>
      </c>
      <c r="H264" t="s">
        <v>613</v>
      </c>
      <c r="I264" t="s">
        <v>246</v>
      </c>
      <c r="J264">
        <v>483.38</v>
      </c>
      <c r="K264">
        <v>9</v>
      </c>
      <c r="L264" t="s">
        <v>78</v>
      </c>
      <c r="M264">
        <v>2</v>
      </c>
      <c r="N264">
        <v>1</v>
      </c>
      <c r="O264">
        <v>0</v>
      </c>
      <c r="P264" t="s">
        <v>44</v>
      </c>
      <c r="Q264" t="s">
        <v>37</v>
      </c>
      <c r="R264">
        <v>2</v>
      </c>
      <c r="S264">
        <v>3</v>
      </c>
      <c r="T264" t="s">
        <v>44</v>
      </c>
      <c r="U264" t="s">
        <v>79</v>
      </c>
      <c r="V264" t="s">
        <v>66</v>
      </c>
      <c r="W264" s="1">
        <v>45452</v>
      </c>
      <c r="X264" t="b">
        <v>0</v>
      </c>
      <c r="Y264" t="b">
        <v>1</v>
      </c>
      <c r="Z264" t="s">
        <v>40</v>
      </c>
      <c r="AA264" t="s">
        <v>53</v>
      </c>
      <c r="AB264">
        <v>8</v>
      </c>
    </row>
    <row r="265" spans="1:28" x14ac:dyDescent="0.25">
      <c r="A265" t="s">
        <v>614</v>
      </c>
      <c r="B265">
        <v>24</v>
      </c>
      <c r="C265" t="s">
        <v>43</v>
      </c>
      <c r="D265" t="s">
        <v>30</v>
      </c>
      <c r="E265" t="s">
        <v>55</v>
      </c>
      <c r="F265" t="s">
        <v>45</v>
      </c>
      <c r="G265" t="s">
        <v>30</v>
      </c>
      <c r="H265" t="s">
        <v>615</v>
      </c>
      <c r="I265" t="s">
        <v>142</v>
      </c>
      <c r="J265">
        <v>418.62</v>
      </c>
      <c r="K265">
        <v>9</v>
      </c>
      <c r="L265" t="s">
        <v>48</v>
      </c>
      <c r="M265">
        <v>1</v>
      </c>
      <c r="N265">
        <v>2</v>
      </c>
      <c r="O265">
        <v>0</v>
      </c>
      <c r="P265" t="s">
        <v>59</v>
      </c>
      <c r="Q265" t="s">
        <v>50</v>
      </c>
      <c r="R265">
        <v>0</v>
      </c>
      <c r="S265">
        <v>9</v>
      </c>
      <c r="T265" t="s">
        <v>36</v>
      </c>
      <c r="U265" t="s">
        <v>60</v>
      </c>
      <c r="V265" t="s">
        <v>66</v>
      </c>
      <c r="W265" s="1">
        <v>45610</v>
      </c>
      <c r="X265" t="b">
        <v>1</v>
      </c>
      <c r="Y265" t="b">
        <v>0</v>
      </c>
      <c r="Z265" t="s">
        <v>40</v>
      </c>
      <c r="AA265" t="s">
        <v>53</v>
      </c>
      <c r="AB265">
        <v>11</v>
      </c>
    </row>
    <row r="266" spans="1:28" x14ac:dyDescent="0.25">
      <c r="A266" t="s">
        <v>616</v>
      </c>
      <c r="B266">
        <v>33</v>
      </c>
      <c r="C266" t="s">
        <v>29</v>
      </c>
      <c r="D266" t="s">
        <v>30</v>
      </c>
      <c r="E266" t="s">
        <v>76</v>
      </c>
      <c r="F266" t="s">
        <v>32</v>
      </c>
      <c r="G266" t="s">
        <v>30</v>
      </c>
      <c r="H266" t="s">
        <v>617</v>
      </c>
      <c r="I266" t="s">
        <v>82</v>
      </c>
      <c r="J266">
        <v>139.83000000000001</v>
      </c>
      <c r="K266">
        <v>12</v>
      </c>
      <c r="L266" t="s">
        <v>78</v>
      </c>
      <c r="M266">
        <v>2</v>
      </c>
      <c r="N266">
        <v>4</v>
      </c>
      <c r="O266">
        <v>2</v>
      </c>
      <c r="P266" t="s">
        <v>36</v>
      </c>
      <c r="Q266" t="s">
        <v>50</v>
      </c>
      <c r="R266">
        <v>0</v>
      </c>
      <c r="S266">
        <v>1</v>
      </c>
      <c r="T266" t="s">
        <v>36</v>
      </c>
      <c r="U266" t="s">
        <v>38</v>
      </c>
      <c r="V266" t="s">
        <v>86</v>
      </c>
      <c r="W266" s="1">
        <v>45573</v>
      </c>
      <c r="X266" t="b">
        <v>0</v>
      </c>
      <c r="Y266" t="b">
        <v>0</v>
      </c>
      <c r="Z266" t="s">
        <v>62</v>
      </c>
      <c r="AA266" t="s">
        <v>67</v>
      </c>
      <c r="AB266">
        <v>10</v>
      </c>
    </row>
    <row r="267" spans="1:28" x14ac:dyDescent="0.25">
      <c r="A267" t="s">
        <v>618</v>
      </c>
      <c r="B267">
        <v>38</v>
      </c>
      <c r="C267" t="s">
        <v>29</v>
      </c>
      <c r="D267" t="s">
        <v>44</v>
      </c>
      <c r="E267" t="s">
        <v>31</v>
      </c>
      <c r="F267" t="s">
        <v>56</v>
      </c>
      <c r="G267" t="s">
        <v>30</v>
      </c>
      <c r="H267" t="s">
        <v>619</v>
      </c>
      <c r="I267" t="s">
        <v>135</v>
      </c>
      <c r="J267">
        <v>54.17</v>
      </c>
      <c r="K267">
        <v>4</v>
      </c>
      <c r="L267" t="s">
        <v>35</v>
      </c>
      <c r="M267">
        <v>4</v>
      </c>
      <c r="N267">
        <v>5</v>
      </c>
      <c r="O267">
        <v>0</v>
      </c>
      <c r="P267" t="s">
        <v>49</v>
      </c>
      <c r="Q267" t="s">
        <v>37</v>
      </c>
      <c r="R267">
        <v>2</v>
      </c>
      <c r="S267">
        <v>2</v>
      </c>
      <c r="T267" t="s">
        <v>49</v>
      </c>
      <c r="U267" t="s">
        <v>79</v>
      </c>
      <c r="V267" t="s">
        <v>39</v>
      </c>
      <c r="W267" s="1">
        <v>45302</v>
      </c>
      <c r="X267" t="b">
        <v>0</v>
      </c>
      <c r="Y267" t="b">
        <v>1</v>
      </c>
      <c r="Z267" t="s">
        <v>74</v>
      </c>
      <c r="AA267" t="s">
        <v>41</v>
      </c>
      <c r="AB267">
        <v>7</v>
      </c>
    </row>
    <row r="268" spans="1:28" x14ac:dyDescent="0.25">
      <c r="A268" t="s">
        <v>620</v>
      </c>
      <c r="B268">
        <v>47</v>
      </c>
      <c r="C268" t="s">
        <v>43</v>
      </c>
      <c r="D268" t="s">
        <v>44</v>
      </c>
      <c r="E268" t="s">
        <v>76</v>
      </c>
      <c r="F268" t="s">
        <v>56</v>
      </c>
      <c r="G268" t="s">
        <v>44</v>
      </c>
      <c r="H268" t="s">
        <v>621</v>
      </c>
      <c r="I268" t="s">
        <v>246</v>
      </c>
      <c r="J268">
        <v>437.59</v>
      </c>
      <c r="K268">
        <v>10</v>
      </c>
      <c r="L268" t="s">
        <v>48</v>
      </c>
      <c r="M268">
        <v>1</v>
      </c>
      <c r="N268">
        <v>4</v>
      </c>
      <c r="O268">
        <v>0</v>
      </c>
      <c r="P268" t="s">
        <v>36</v>
      </c>
      <c r="Q268" t="s">
        <v>85</v>
      </c>
      <c r="R268">
        <v>0</v>
      </c>
      <c r="S268">
        <v>4</v>
      </c>
      <c r="T268" t="s">
        <v>44</v>
      </c>
      <c r="U268" t="s">
        <v>38</v>
      </c>
      <c r="V268" t="s">
        <v>39</v>
      </c>
      <c r="W268" s="1">
        <v>45348</v>
      </c>
      <c r="X268" t="b">
        <v>1</v>
      </c>
      <c r="Y268" t="b">
        <v>1</v>
      </c>
      <c r="Z268" t="s">
        <v>62</v>
      </c>
      <c r="AA268" t="s">
        <v>67</v>
      </c>
      <c r="AB268">
        <v>9</v>
      </c>
    </row>
    <row r="269" spans="1:28" x14ac:dyDescent="0.25">
      <c r="A269" t="s">
        <v>622</v>
      </c>
      <c r="B269">
        <v>32</v>
      </c>
      <c r="C269" t="s">
        <v>43</v>
      </c>
      <c r="D269" t="s">
        <v>30</v>
      </c>
      <c r="E269" t="s">
        <v>69</v>
      </c>
      <c r="F269" t="s">
        <v>32</v>
      </c>
      <c r="G269" t="s">
        <v>44</v>
      </c>
      <c r="H269" t="s">
        <v>623</v>
      </c>
      <c r="I269" t="s">
        <v>107</v>
      </c>
      <c r="J269">
        <v>113.57</v>
      </c>
      <c r="K269">
        <v>5</v>
      </c>
      <c r="L269" t="s">
        <v>78</v>
      </c>
      <c r="M269">
        <v>4</v>
      </c>
      <c r="N269">
        <v>4</v>
      </c>
      <c r="O269">
        <v>2</v>
      </c>
      <c r="P269" t="s">
        <v>49</v>
      </c>
      <c r="Q269" t="s">
        <v>85</v>
      </c>
      <c r="R269">
        <v>1</v>
      </c>
      <c r="S269">
        <v>1</v>
      </c>
      <c r="T269" t="s">
        <v>44</v>
      </c>
      <c r="U269" t="s">
        <v>38</v>
      </c>
      <c r="V269" t="s">
        <v>86</v>
      </c>
      <c r="W269" s="1">
        <v>45597</v>
      </c>
      <c r="X269" t="b">
        <v>0</v>
      </c>
      <c r="Y269" t="b">
        <v>1</v>
      </c>
      <c r="Z269" t="s">
        <v>52</v>
      </c>
      <c r="AA269" t="s">
        <v>53</v>
      </c>
      <c r="AB269">
        <v>8</v>
      </c>
    </row>
    <row r="270" spans="1:28" x14ac:dyDescent="0.25">
      <c r="A270" t="s">
        <v>624</v>
      </c>
      <c r="B270">
        <v>21</v>
      </c>
      <c r="C270" t="s">
        <v>88</v>
      </c>
      <c r="D270" t="s">
        <v>44</v>
      </c>
      <c r="E270" t="s">
        <v>55</v>
      </c>
      <c r="F270" t="s">
        <v>45</v>
      </c>
      <c r="G270" t="s">
        <v>44</v>
      </c>
      <c r="H270" t="s">
        <v>625</v>
      </c>
      <c r="I270" t="s">
        <v>114</v>
      </c>
      <c r="J270">
        <v>305.54000000000002</v>
      </c>
      <c r="K270">
        <v>6</v>
      </c>
      <c r="L270" t="s">
        <v>48</v>
      </c>
      <c r="M270">
        <v>3</v>
      </c>
      <c r="N270">
        <v>5</v>
      </c>
      <c r="O270">
        <v>0</v>
      </c>
      <c r="P270" t="s">
        <v>49</v>
      </c>
      <c r="Q270" t="s">
        <v>37</v>
      </c>
      <c r="R270">
        <v>0</v>
      </c>
      <c r="S270">
        <v>5</v>
      </c>
      <c r="T270" t="s">
        <v>49</v>
      </c>
      <c r="U270" t="s">
        <v>60</v>
      </c>
      <c r="V270" t="s">
        <v>66</v>
      </c>
      <c r="W270" s="1">
        <v>45379</v>
      </c>
      <c r="X270" t="b">
        <v>1</v>
      </c>
      <c r="Y270" t="b">
        <v>0</v>
      </c>
      <c r="Z270" t="s">
        <v>52</v>
      </c>
      <c r="AA270" t="s">
        <v>41</v>
      </c>
      <c r="AB270">
        <v>7</v>
      </c>
    </row>
    <row r="271" spans="1:28" x14ac:dyDescent="0.25">
      <c r="A271" t="s">
        <v>626</v>
      </c>
      <c r="B271">
        <v>23</v>
      </c>
      <c r="C271" t="s">
        <v>29</v>
      </c>
      <c r="D271" t="s">
        <v>44</v>
      </c>
      <c r="E271" t="s">
        <v>76</v>
      </c>
      <c r="F271" t="s">
        <v>45</v>
      </c>
      <c r="G271" t="s">
        <v>44</v>
      </c>
      <c r="H271" t="s">
        <v>627</v>
      </c>
      <c r="I271" t="s">
        <v>47</v>
      </c>
      <c r="J271">
        <v>339.12</v>
      </c>
      <c r="K271">
        <v>2</v>
      </c>
      <c r="L271" t="s">
        <v>48</v>
      </c>
      <c r="M271">
        <v>4</v>
      </c>
      <c r="N271">
        <v>4</v>
      </c>
      <c r="O271">
        <v>0</v>
      </c>
      <c r="P271" t="s">
        <v>49</v>
      </c>
      <c r="Q271" t="s">
        <v>50</v>
      </c>
      <c r="R271">
        <v>0</v>
      </c>
      <c r="S271">
        <v>5</v>
      </c>
      <c r="T271" t="s">
        <v>59</v>
      </c>
      <c r="U271" t="s">
        <v>60</v>
      </c>
      <c r="V271" t="s">
        <v>51</v>
      </c>
      <c r="W271" s="1">
        <v>45299</v>
      </c>
      <c r="X271" t="b">
        <v>0</v>
      </c>
      <c r="Y271" t="b">
        <v>0</v>
      </c>
      <c r="Z271" t="s">
        <v>62</v>
      </c>
      <c r="AA271" t="s">
        <v>41</v>
      </c>
      <c r="AB271">
        <v>1</v>
      </c>
    </row>
    <row r="272" spans="1:28" x14ac:dyDescent="0.25">
      <c r="A272" t="s">
        <v>628</v>
      </c>
      <c r="B272">
        <v>45</v>
      </c>
      <c r="C272" t="s">
        <v>190</v>
      </c>
      <c r="D272" t="s">
        <v>30</v>
      </c>
      <c r="E272" t="s">
        <v>76</v>
      </c>
      <c r="F272" t="s">
        <v>32</v>
      </c>
      <c r="G272" t="s">
        <v>44</v>
      </c>
      <c r="H272" t="s">
        <v>629</v>
      </c>
      <c r="I272" t="s">
        <v>246</v>
      </c>
      <c r="J272">
        <v>323.39999999999998</v>
      </c>
      <c r="K272">
        <v>11</v>
      </c>
      <c r="L272" t="s">
        <v>35</v>
      </c>
      <c r="M272">
        <v>2</v>
      </c>
      <c r="N272">
        <v>3</v>
      </c>
      <c r="O272">
        <v>2</v>
      </c>
      <c r="P272" t="s">
        <v>59</v>
      </c>
      <c r="Q272" t="s">
        <v>85</v>
      </c>
      <c r="R272">
        <v>0</v>
      </c>
      <c r="S272">
        <v>8</v>
      </c>
      <c r="T272" t="s">
        <v>36</v>
      </c>
      <c r="U272" t="s">
        <v>60</v>
      </c>
      <c r="V272" t="s">
        <v>39</v>
      </c>
      <c r="W272" s="1">
        <v>45350</v>
      </c>
      <c r="X272" t="b">
        <v>1</v>
      </c>
      <c r="Y272" t="b">
        <v>1</v>
      </c>
      <c r="Z272" t="s">
        <v>40</v>
      </c>
      <c r="AA272" t="s">
        <v>53</v>
      </c>
      <c r="AB272">
        <v>10</v>
      </c>
    </row>
    <row r="273" spans="1:28" x14ac:dyDescent="0.25">
      <c r="A273" t="s">
        <v>630</v>
      </c>
      <c r="B273">
        <v>24</v>
      </c>
      <c r="C273" t="s">
        <v>148</v>
      </c>
      <c r="D273" t="s">
        <v>30</v>
      </c>
      <c r="E273" t="s">
        <v>31</v>
      </c>
      <c r="F273" t="s">
        <v>45</v>
      </c>
      <c r="G273" t="s">
        <v>30</v>
      </c>
      <c r="H273" t="s">
        <v>631</v>
      </c>
      <c r="I273" t="s">
        <v>183</v>
      </c>
      <c r="J273">
        <v>472.61</v>
      </c>
      <c r="K273">
        <v>9</v>
      </c>
      <c r="L273" t="s">
        <v>48</v>
      </c>
      <c r="M273">
        <v>5</v>
      </c>
      <c r="N273">
        <v>5</v>
      </c>
      <c r="O273">
        <v>2</v>
      </c>
      <c r="P273" t="s">
        <v>36</v>
      </c>
      <c r="Q273" t="s">
        <v>85</v>
      </c>
      <c r="R273">
        <v>1</v>
      </c>
      <c r="S273">
        <v>4</v>
      </c>
      <c r="T273" t="s">
        <v>36</v>
      </c>
      <c r="U273" t="s">
        <v>60</v>
      </c>
      <c r="V273" t="s">
        <v>51</v>
      </c>
      <c r="W273" s="1">
        <v>45550</v>
      </c>
      <c r="X273" t="b">
        <v>1</v>
      </c>
      <c r="Y273" t="b">
        <v>1</v>
      </c>
      <c r="Z273" t="s">
        <v>62</v>
      </c>
      <c r="AA273" t="s">
        <v>67</v>
      </c>
      <c r="AB273">
        <v>5</v>
      </c>
    </row>
    <row r="274" spans="1:28" x14ac:dyDescent="0.25">
      <c r="A274" t="s">
        <v>632</v>
      </c>
      <c r="B274">
        <v>20</v>
      </c>
      <c r="C274" t="s">
        <v>29</v>
      </c>
      <c r="D274" t="s">
        <v>30</v>
      </c>
      <c r="E274" t="s">
        <v>69</v>
      </c>
      <c r="F274" t="s">
        <v>45</v>
      </c>
      <c r="G274" t="s">
        <v>30</v>
      </c>
      <c r="H274" t="s">
        <v>633</v>
      </c>
      <c r="I274" t="s">
        <v>71</v>
      </c>
      <c r="J274">
        <v>68.02</v>
      </c>
      <c r="K274">
        <v>10</v>
      </c>
      <c r="L274" t="s">
        <v>78</v>
      </c>
      <c r="M274">
        <v>3</v>
      </c>
      <c r="N274">
        <v>2</v>
      </c>
      <c r="O274">
        <v>1</v>
      </c>
      <c r="P274" t="s">
        <v>36</v>
      </c>
      <c r="Q274" t="s">
        <v>85</v>
      </c>
      <c r="R274">
        <v>1</v>
      </c>
      <c r="S274">
        <v>6</v>
      </c>
      <c r="T274" t="s">
        <v>36</v>
      </c>
      <c r="U274" t="s">
        <v>38</v>
      </c>
      <c r="V274" t="s">
        <v>39</v>
      </c>
      <c r="W274" s="1">
        <v>45597</v>
      </c>
      <c r="X274" t="b">
        <v>1</v>
      </c>
      <c r="Y274" t="b">
        <v>1</v>
      </c>
      <c r="Z274" t="s">
        <v>40</v>
      </c>
      <c r="AA274" t="s">
        <v>67</v>
      </c>
      <c r="AB274">
        <v>6</v>
      </c>
    </row>
    <row r="275" spans="1:28" x14ac:dyDescent="0.25">
      <c r="A275" t="s">
        <v>634</v>
      </c>
      <c r="B275">
        <v>27</v>
      </c>
      <c r="C275" t="s">
        <v>43</v>
      </c>
      <c r="D275" t="s">
        <v>44</v>
      </c>
      <c r="E275" t="s">
        <v>55</v>
      </c>
      <c r="F275" t="s">
        <v>56</v>
      </c>
      <c r="G275" t="s">
        <v>30</v>
      </c>
      <c r="H275" t="s">
        <v>635</v>
      </c>
      <c r="I275" t="s">
        <v>126</v>
      </c>
      <c r="J275">
        <v>199.44</v>
      </c>
      <c r="K275">
        <v>7</v>
      </c>
      <c r="L275" t="s">
        <v>78</v>
      </c>
      <c r="M275">
        <v>2</v>
      </c>
      <c r="N275">
        <v>1</v>
      </c>
      <c r="O275">
        <v>2</v>
      </c>
      <c r="P275" t="s">
        <v>36</v>
      </c>
      <c r="Q275" t="s">
        <v>85</v>
      </c>
      <c r="R275">
        <v>0</v>
      </c>
      <c r="S275">
        <v>3</v>
      </c>
      <c r="T275" t="s">
        <v>36</v>
      </c>
      <c r="U275" t="s">
        <v>38</v>
      </c>
      <c r="V275" t="s">
        <v>86</v>
      </c>
      <c r="W275" s="1">
        <v>45487</v>
      </c>
      <c r="X275" t="b">
        <v>0</v>
      </c>
      <c r="Y275" t="b">
        <v>1</v>
      </c>
      <c r="Z275" t="s">
        <v>40</v>
      </c>
      <c r="AA275" t="s">
        <v>53</v>
      </c>
      <c r="AB275">
        <v>1</v>
      </c>
    </row>
    <row r="276" spans="1:28" x14ac:dyDescent="0.25">
      <c r="A276" t="s">
        <v>636</v>
      </c>
      <c r="B276">
        <v>47</v>
      </c>
      <c r="C276" t="s">
        <v>43</v>
      </c>
      <c r="D276" t="s">
        <v>44</v>
      </c>
      <c r="E276" t="s">
        <v>76</v>
      </c>
      <c r="F276" t="s">
        <v>45</v>
      </c>
      <c r="G276" t="s">
        <v>30</v>
      </c>
      <c r="H276" t="s">
        <v>637</v>
      </c>
      <c r="I276" t="s">
        <v>90</v>
      </c>
      <c r="J276">
        <v>250.73</v>
      </c>
      <c r="K276">
        <v>4</v>
      </c>
      <c r="L276" t="s">
        <v>78</v>
      </c>
      <c r="M276">
        <v>3</v>
      </c>
      <c r="N276">
        <v>2</v>
      </c>
      <c r="O276">
        <v>1</v>
      </c>
      <c r="P276" t="s">
        <v>59</v>
      </c>
      <c r="Q276" t="s">
        <v>37</v>
      </c>
      <c r="R276">
        <v>1</v>
      </c>
      <c r="S276">
        <v>10</v>
      </c>
      <c r="T276" t="s">
        <v>36</v>
      </c>
      <c r="U276" t="s">
        <v>79</v>
      </c>
      <c r="V276" t="s">
        <v>86</v>
      </c>
      <c r="W276" s="1">
        <v>45406</v>
      </c>
      <c r="X276" t="b">
        <v>0</v>
      </c>
      <c r="Y276" t="b">
        <v>1</v>
      </c>
      <c r="Z276" t="s">
        <v>74</v>
      </c>
      <c r="AA276" t="s">
        <v>41</v>
      </c>
      <c r="AB276">
        <v>10</v>
      </c>
    </row>
    <row r="277" spans="1:28" x14ac:dyDescent="0.25">
      <c r="A277" t="s">
        <v>638</v>
      </c>
      <c r="B277">
        <v>34</v>
      </c>
      <c r="C277" t="s">
        <v>43</v>
      </c>
      <c r="D277" t="s">
        <v>30</v>
      </c>
      <c r="E277" t="s">
        <v>55</v>
      </c>
      <c r="F277" t="s">
        <v>45</v>
      </c>
      <c r="G277" t="s">
        <v>30</v>
      </c>
      <c r="H277" t="s">
        <v>639</v>
      </c>
      <c r="I277" t="s">
        <v>183</v>
      </c>
      <c r="J277">
        <v>372.49</v>
      </c>
      <c r="K277">
        <v>12</v>
      </c>
      <c r="L277" t="s">
        <v>78</v>
      </c>
      <c r="M277">
        <v>4</v>
      </c>
      <c r="N277">
        <v>3</v>
      </c>
      <c r="O277">
        <v>0</v>
      </c>
      <c r="P277" t="s">
        <v>44</v>
      </c>
      <c r="Q277" t="s">
        <v>85</v>
      </c>
      <c r="R277">
        <v>0</v>
      </c>
      <c r="S277">
        <v>5</v>
      </c>
      <c r="T277" t="s">
        <v>49</v>
      </c>
      <c r="U277" t="s">
        <v>79</v>
      </c>
      <c r="V277" t="s">
        <v>61</v>
      </c>
      <c r="W277" s="1">
        <v>45526</v>
      </c>
      <c r="X277" t="b">
        <v>1</v>
      </c>
      <c r="Y277" t="b">
        <v>0</v>
      </c>
      <c r="Z277" t="s">
        <v>74</v>
      </c>
      <c r="AA277" t="s">
        <v>41</v>
      </c>
      <c r="AB277">
        <v>7</v>
      </c>
    </row>
    <row r="278" spans="1:28" x14ac:dyDescent="0.25">
      <c r="A278" t="s">
        <v>640</v>
      </c>
      <c r="B278">
        <v>41</v>
      </c>
      <c r="C278" t="s">
        <v>43</v>
      </c>
      <c r="D278" t="s">
        <v>44</v>
      </c>
      <c r="E278" t="s">
        <v>69</v>
      </c>
      <c r="F278" t="s">
        <v>45</v>
      </c>
      <c r="G278" t="s">
        <v>44</v>
      </c>
      <c r="H278" t="s">
        <v>641</v>
      </c>
      <c r="I278" t="s">
        <v>82</v>
      </c>
      <c r="J278">
        <v>186.85</v>
      </c>
      <c r="K278">
        <v>2</v>
      </c>
      <c r="L278" t="s">
        <v>78</v>
      </c>
      <c r="M278">
        <v>3</v>
      </c>
      <c r="N278">
        <v>1</v>
      </c>
      <c r="O278">
        <v>2</v>
      </c>
      <c r="P278" t="s">
        <v>44</v>
      </c>
      <c r="Q278" t="s">
        <v>50</v>
      </c>
      <c r="R278">
        <v>2</v>
      </c>
      <c r="S278">
        <v>8</v>
      </c>
      <c r="T278" t="s">
        <v>59</v>
      </c>
      <c r="U278" t="s">
        <v>60</v>
      </c>
      <c r="V278" t="s">
        <v>66</v>
      </c>
      <c r="W278" s="1">
        <v>45342</v>
      </c>
      <c r="X278" t="b">
        <v>1</v>
      </c>
      <c r="Y278" t="b">
        <v>0</v>
      </c>
      <c r="Z278" t="s">
        <v>62</v>
      </c>
      <c r="AA278" t="s">
        <v>67</v>
      </c>
      <c r="AB278">
        <v>12</v>
      </c>
    </row>
    <row r="279" spans="1:28" x14ac:dyDescent="0.25">
      <c r="A279" t="s">
        <v>642</v>
      </c>
      <c r="B279">
        <v>26</v>
      </c>
      <c r="C279" t="s">
        <v>43</v>
      </c>
      <c r="D279" t="s">
        <v>44</v>
      </c>
      <c r="E279" t="s">
        <v>69</v>
      </c>
      <c r="F279" t="s">
        <v>56</v>
      </c>
      <c r="G279" t="s">
        <v>30</v>
      </c>
      <c r="H279" t="s">
        <v>643</v>
      </c>
      <c r="I279" t="s">
        <v>90</v>
      </c>
      <c r="J279">
        <v>73.319999999999993</v>
      </c>
      <c r="K279">
        <v>10</v>
      </c>
      <c r="L279" t="s">
        <v>48</v>
      </c>
      <c r="M279">
        <v>5</v>
      </c>
      <c r="N279">
        <v>1</v>
      </c>
      <c r="O279">
        <v>1</v>
      </c>
      <c r="P279" t="s">
        <v>36</v>
      </c>
      <c r="Q279" t="s">
        <v>50</v>
      </c>
      <c r="R279">
        <v>1</v>
      </c>
      <c r="S279">
        <v>1</v>
      </c>
      <c r="T279" t="s">
        <v>49</v>
      </c>
      <c r="U279" t="s">
        <v>60</v>
      </c>
      <c r="V279" t="s">
        <v>61</v>
      </c>
      <c r="W279" s="1">
        <v>45318</v>
      </c>
      <c r="X279" t="b">
        <v>1</v>
      </c>
      <c r="Y279" t="b">
        <v>0</v>
      </c>
      <c r="Z279" t="s">
        <v>52</v>
      </c>
      <c r="AA279" t="s">
        <v>53</v>
      </c>
      <c r="AB279">
        <v>14</v>
      </c>
    </row>
    <row r="280" spans="1:28" x14ac:dyDescent="0.25">
      <c r="A280" t="s">
        <v>644</v>
      </c>
      <c r="B280">
        <v>49</v>
      </c>
      <c r="C280" t="s">
        <v>43</v>
      </c>
      <c r="D280" t="s">
        <v>30</v>
      </c>
      <c r="E280" t="s">
        <v>69</v>
      </c>
      <c r="F280" t="s">
        <v>32</v>
      </c>
      <c r="G280" t="s">
        <v>30</v>
      </c>
      <c r="H280" t="s">
        <v>645</v>
      </c>
      <c r="I280" t="s">
        <v>183</v>
      </c>
      <c r="J280">
        <v>214.59</v>
      </c>
      <c r="K280">
        <v>6</v>
      </c>
      <c r="L280" t="s">
        <v>78</v>
      </c>
      <c r="M280">
        <v>1</v>
      </c>
      <c r="N280">
        <v>1</v>
      </c>
      <c r="O280">
        <v>0</v>
      </c>
      <c r="P280" t="s">
        <v>36</v>
      </c>
      <c r="Q280" t="s">
        <v>37</v>
      </c>
      <c r="R280">
        <v>1</v>
      </c>
      <c r="S280">
        <v>8</v>
      </c>
      <c r="T280" t="s">
        <v>59</v>
      </c>
      <c r="U280" t="s">
        <v>38</v>
      </c>
      <c r="V280" t="s">
        <v>66</v>
      </c>
      <c r="W280" s="1">
        <v>45331</v>
      </c>
      <c r="X280" t="b">
        <v>1</v>
      </c>
      <c r="Y280" t="b">
        <v>0</v>
      </c>
      <c r="Z280" t="s">
        <v>52</v>
      </c>
      <c r="AA280" t="s">
        <v>53</v>
      </c>
      <c r="AB280">
        <v>9</v>
      </c>
    </row>
    <row r="281" spans="1:28" x14ac:dyDescent="0.25">
      <c r="A281" t="s">
        <v>646</v>
      </c>
      <c r="B281">
        <v>47</v>
      </c>
      <c r="C281" t="s">
        <v>29</v>
      </c>
      <c r="D281" t="s">
        <v>30</v>
      </c>
      <c r="E281" t="s">
        <v>69</v>
      </c>
      <c r="F281" t="s">
        <v>45</v>
      </c>
      <c r="G281" t="s">
        <v>30</v>
      </c>
      <c r="H281" t="s">
        <v>647</v>
      </c>
      <c r="I281" t="s">
        <v>71</v>
      </c>
      <c r="J281">
        <v>467.32</v>
      </c>
      <c r="K281">
        <v>12</v>
      </c>
      <c r="L281" t="s">
        <v>48</v>
      </c>
      <c r="M281">
        <v>4</v>
      </c>
      <c r="N281">
        <v>4</v>
      </c>
      <c r="O281">
        <v>2</v>
      </c>
      <c r="P281" t="s">
        <v>49</v>
      </c>
      <c r="Q281" t="s">
        <v>37</v>
      </c>
      <c r="R281">
        <v>2</v>
      </c>
      <c r="S281">
        <v>4</v>
      </c>
      <c r="T281" t="s">
        <v>59</v>
      </c>
      <c r="U281" t="s">
        <v>60</v>
      </c>
      <c r="V281" t="s">
        <v>51</v>
      </c>
      <c r="W281" s="1">
        <v>45319</v>
      </c>
      <c r="X281" t="b">
        <v>0</v>
      </c>
      <c r="Y281" t="b">
        <v>1</v>
      </c>
      <c r="Z281" t="s">
        <v>40</v>
      </c>
      <c r="AA281" t="s">
        <v>41</v>
      </c>
      <c r="AB281">
        <v>11</v>
      </c>
    </row>
    <row r="282" spans="1:28" x14ac:dyDescent="0.25">
      <c r="A282" t="s">
        <v>648</v>
      </c>
      <c r="B282">
        <v>18</v>
      </c>
      <c r="C282" t="s">
        <v>43</v>
      </c>
      <c r="D282" t="s">
        <v>30</v>
      </c>
      <c r="E282" t="s">
        <v>31</v>
      </c>
      <c r="F282" t="s">
        <v>56</v>
      </c>
      <c r="G282" t="s">
        <v>30</v>
      </c>
      <c r="H282" t="s">
        <v>649</v>
      </c>
      <c r="I282" t="s">
        <v>194</v>
      </c>
      <c r="J282">
        <v>475.65</v>
      </c>
      <c r="K282">
        <v>4</v>
      </c>
      <c r="L282" t="s">
        <v>48</v>
      </c>
      <c r="M282">
        <v>4</v>
      </c>
      <c r="N282">
        <v>5</v>
      </c>
      <c r="O282">
        <v>0</v>
      </c>
      <c r="P282" t="s">
        <v>44</v>
      </c>
      <c r="Q282" t="s">
        <v>37</v>
      </c>
      <c r="R282">
        <v>2</v>
      </c>
      <c r="S282">
        <v>6</v>
      </c>
      <c r="T282" t="s">
        <v>59</v>
      </c>
      <c r="U282" t="s">
        <v>60</v>
      </c>
      <c r="V282" t="s">
        <v>51</v>
      </c>
      <c r="W282" s="1">
        <v>45466</v>
      </c>
      <c r="X282" t="b">
        <v>1</v>
      </c>
      <c r="Y282" t="b">
        <v>1</v>
      </c>
      <c r="Z282" t="s">
        <v>52</v>
      </c>
      <c r="AA282" t="s">
        <v>67</v>
      </c>
      <c r="AB282">
        <v>14</v>
      </c>
    </row>
    <row r="283" spans="1:28" x14ac:dyDescent="0.25">
      <c r="A283" t="s">
        <v>650</v>
      </c>
      <c r="B283">
        <v>48</v>
      </c>
      <c r="C283" t="s">
        <v>29</v>
      </c>
      <c r="D283" t="s">
        <v>30</v>
      </c>
      <c r="E283" t="s">
        <v>69</v>
      </c>
      <c r="F283" t="s">
        <v>56</v>
      </c>
      <c r="G283" t="s">
        <v>44</v>
      </c>
      <c r="H283" t="s">
        <v>651</v>
      </c>
      <c r="I283" t="s">
        <v>101</v>
      </c>
      <c r="J283">
        <v>161.38</v>
      </c>
      <c r="K283">
        <v>11</v>
      </c>
      <c r="L283" t="s">
        <v>35</v>
      </c>
      <c r="M283">
        <v>5</v>
      </c>
      <c r="N283">
        <v>3</v>
      </c>
      <c r="O283">
        <v>0</v>
      </c>
      <c r="P283" t="s">
        <v>36</v>
      </c>
      <c r="Q283" t="s">
        <v>85</v>
      </c>
      <c r="R283">
        <v>1</v>
      </c>
      <c r="S283">
        <v>10</v>
      </c>
      <c r="T283" t="s">
        <v>44</v>
      </c>
      <c r="U283" t="s">
        <v>38</v>
      </c>
      <c r="V283" t="s">
        <v>61</v>
      </c>
      <c r="W283" s="1">
        <v>45524</v>
      </c>
      <c r="X283" t="b">
        <v>1</v>
      </c>
      <c r="Y283" t="b">
        <v>1</v>
      </c>
      <c r="Z283" t="s">
        <v>62</v>
      </c>
      <c r="AA283" t="s">
        <v>53</v>
      </c>
      <c r="AB283">
        <v>10</v>
      </c>
    </row>
    <row r="284" spans="1:28" x14ac:dyDescent="0.25">
      <c r="A284" t="s">
        <v>652</v>
      </c>
      <c r="B284">
        <v>19</v>
      </c>
      <c r="C284" t="s">
        <v>43</v>
      </c>
      <c r="D284" t="s">
        <v>30</v>
      </c>
      <c r="E284" t="s">
        <v>55</v>
      </c>
      <c r="F284" t="s">
        <v>32</v>
      </c>
      <c r="G284" t="s">
        <v>30</v>
      </c>
      <c r="H284" t="s">
        <v>653</v>
      </c>
      <c r="I284" t="s">
        <v>123</v>
      </c>
      <c r="J284">
        <v>249.78</v>
      </c>
      <c r="K284">
        <v>4</v>
      </c>
      <c r="L284" t="s">
        <v>48</v>
      </c>
      <c r="M284">
        <v>5</v>
      </c>
      <c r="N284">
        <v>4</v>
      </c>
      <c r="O284">
        <v>0</v>
      </c>
      <c r="P284" t="s">
        <v>59</v>
      </c>
      <c r="Q284" t="s">
        <v>85</v>
      </c>
      <c r="R284">
        <v>0</v>
      </c>
      <c r="S284">
        <v>1</v>
      </c>
      <c r="T284" t="s">
        <v>36</v>
      </c>
      <c r="U284" t="s">
        <v>79</v>
      </c>
      <c r="V284" t="s">
        <v>51</v>
      </c>
      <c r="W284" s="1">
        <v>45620</v>
      </c>
      <c r="X284" t="b">
        <v>0</v>
      </c>
      <c r="Y284" t="b">
        <v>0</v>
      </c>
      <c r="Z284" t="s">
        <v>52</v>
      </c>
      <c r="AA284" t="s">
        <v>41</v>
      </c>
      <c r="AB284">
        <v>11</v>
      </c>
    </row>
    <row r="285" spans="1:28" x14ac:dyDescent="0.25">
      <c r="A285" t="s">
        <v>654</v>
      </c>
      <c r="B285">
        <v>39</v>
      </c>
      <c r="C285" t="s">
        <v>29</v>
      </c>
      <c r="D285" t="s">
        <v>30</v>
      </c>
      <c r="E285" t="s">
        <v>76</v>
      </c>
      <c r="F285" t="s">
        <v>45</v>
      </c>
      <c r="G285" t="s">
        <v>44</v>
      </c>
      <c r="H285" t="s">
        <v>655</v>
      </c>
      <c r="I285" t="s">
        <v>183</v>
      </c>
      <c r="J285">
        <v>149.88</v>
      </c>
      <c r="K285">
        <v>9</v>
      </c>
      <c r="L285" t="s">
        <v>35</v>
      </c>
      <c r="M285">
        <v>3</v>
      </c>
      <c r="N285">
        <v>2</v>
      </c>
      <c r="O285">
        <v>0</v>
      </c>
      <c r="P285" t="s">
        <v>59</v>
      </c>
      <c r="Q285" t="s">
        <v>37</v>
      </c>
      <c r="R285">
        <v>1</v>
      </c>
      <c r="S285">
        <v>10</v>
      </c>
      <c r="T285" t="s">
        <v>59</v>
      </c>
      <c r="U285" t="s">
        <v>60</v>
      </c>
      <c r="V285" t="s">
        <v>61</v>
      </c>
      <c r="W285" s="1">
        <v>45401</v>
      </c>
      <c r="X285" t="b">
        <v>0</v>
      </c>
      <c r="Y285" t="b">
        <v>0</v>
      </c>
      <c r="Z285" t="s">
        <v>62</v>
      </c>
      <c r="AA285" t="s">
        <v>53</v>
      </c>
      <c r="AB285">
        <v>4</v>
      </c>
    </row>
    <row r="286" spans="1:28" x14ac:dyDescent="0.25">
      <c r="A286" t="s">
        <v>656</v>
      </c>
      <c r="B286">
        <v>48</v>
      </c>
      <c r="C286" t="s">
        <v>29</v>
      </c>
      <c r="D286" t="s">
        <v>44</v>
      </c>
      <c r="E286" t="s">
        <v>76</v>
      </c>
      <c r="F286" t="s">
        <v>56</v>
      </c>
      <c r="G286" t="s">
        <v>30</v>
      </c>
      <c r="H286" t="s">
        <v>657</v>
      </c>
      <c r="I286" t="s">
        <v>246</v>
      </c>
      <c r="J286">
        <v>347.09</v>
      </c>
      <c r="K286">
        <v>5</v>
      </c>
      <c r="L286" t="s">
        <v>48</v>
      </c>
      <c r="M286">
        <v>5</v>
      </c>
      <c r="N286">
        <v>2</v>
      </c>
      <c r="O286">
        <v>0</v>
      </c>
      <c r="P286" t="s">
        <v>49</v>
      </c>
      <c r="Q286" t="s">
        <v>37</v>
      </c>
      <c r="R286">
        <v>2</v>
      </c>
      <c r="S286">
        <v>1</v>
      </c>
      <c r="T286" t="s">
        <v>36</v>
      </c>
      <c r="U286" t="s">
        <v>60</v>
      </c>
      <c r="V286" t="s">
        <v>66</v>
      </c>
      <c r="W286" s="1">
        <v>45317</v>
      </c>
      <c r="X286" t="b">
        <v>0</v>
      </c>
      <c r="Y286" t="b">
        <v>0</v>
      </c>
      <c r="Z286" t="s">
        <v>74</v>
      </c>
      <c r="AA286" t="s">
        <v>41</v>
      </c>
      <c r="AB286">
        <v>7</v>
      </c>
    </row>
    <row r="287" spans="1:28" x14ac:dyDescent="0.25">
      <c r="A287" t="s">
        <v>658</v>
      </c>
      <c r="B287">
        <v>43</v>
      </c>
      <c r="C287" t="s">
        <v>29</v>
      </c>
      <c r="D287" t="s">
        <v>44</v>
      </c>
      <c r="E287" t="s">
        <v>69</v>
      </c>
      <c r="F287" t="s">
        <v>56</v>
      </c>
      <c r="G287" t="s">
        <v>44</v>
      </c>
      <c r="H287" t="s">
        <v>659</v>
      </c>
      <c r="I287" t="s">
        <v>104</v>
      </c>
      <c r="J287">
        <v>345.49</v>
      </c>
      <c r="K287">
        <v>9</v>
      </c>
      <c r="L287" t="s">
        <v>35</v>
      </c>
      <c r="M287">
        <v>3</v>
      </c>
      <c r="N287">
        <v>1</v>
      </c>
      <c r="O287">
        <v>2</v>
      </c>
      <c r="P287" t="s">
        <v>44</v>
      </c>
      <c r="Q287" t="s">
        <v>50</v>
      </c>
      <c r="R287">
        <v>0</v>
      </c>
      <c r="S287">
        <v>10</v>
      </c>
      <c r="T287" t="s">
        <v>49</v>
      </c>
      <c r="U287" t="s">
        <v>38</v>
      </c>
      <c r="V287" t="s">
        <v>51</v>
      </c>
      <c r="W287" s="1">
        <v>45541</v>
      </c>
      <c r="X287" t="b">
        <v>1</v>
      </c>
      <c r="Y287" t="b">
        <v>0</v>
      </c>
      <c r="Z287" t="s">
        <v>62</v>
      </c>
      <c r="AA287" t="s">
        <v>67</v>
      </c>
      <c r="AB287">
        <v>3</v>
      </c>
    </row>
    <row r="288" spans="1:28" x14ac:dyDescent="0.25">
      <c r="A288" t="s">
        <v>660</v>
      </c>
      <c r="B288">
        <v>31</v>
      </c>
      <c r="C288" t="s">
        <v>29</v>
      </c>
      <c r="D288" t="s">
        <v>44</v>
      </c>
      <c r="E288" t="s">
        <v>76</v>
      </c>
      <c r="F288" t="s">
        <v>32</v>
      </c>
      <c r="G288" t="s">
        <v>44</v>
      </c>
      <c r="H288" t="s">
        <v>661</v>
      </c>
      <c r="I288" t="s">
        <v>104</v>
      </c>
      <c r="J288">
        <v>297.24</v>
      </c>
      <c r="K288">
        <v>2</v>
      </c>
      <c r="L288" t="s">
        <v>35</v>
      </c>
      <c r="M288">
        <v>1</v>
      </c>
      <c r="N288">
        <v>4</v>
      </c>
      <c r="O288">
        <v>0</v>
      </c>
      <c r="P288" t="s">
        <v>49</v>
      </c>
      <c r="Q288" t="s">
        <v>50</v>
      </c>
      <c r="R288">
        <v>0</v>
      </c>
      <c r="S288">
        <v>9</v>
      </c>
      <c r="T288" t="s">
        <v>44</v>
      </c>
      <c r="U288" t="s">
        <v>79</v>
      </c>
      <c r="V288" t="s">
        <v>51</v>
      </c>
      <c r="W288" s="1">
        <v>45472</v>
      </c>
      <c r="X288" t="b">
        <v>1</v>
      </c>
      <c r="Y288" t="b">
        <v>1</v>
      </c>
      <c r="Z288" t="s">
        <v>74</v>
      </c>
      <c r="AA288" t="s">
        <v>67</v>
      </c>
      <c r="AB288">
        <v>7</v>
      </c>
    </row>
    <row r="289" spans="1:28" x14ac:dyDescent="0.25">
      <c r="A289" t="s">
        <v>662</v>
      </c>
      <c r="B289">
        <v>28</v>
      </c>
      <c r="C289" t="s">
        <v>29</v>
      </c>
      <c r="D289" t="s">
        <v>30</v>
      </c>
      <c r="E289" t="s">
        <v>76</v>
      </c>
      <c r="F289" t="s">
        <v>32</v>
      </c>
      <c r="G289" t="s">
        <v>44</v>
      </c>
      <c r="H289" t="s">
        <v>663</v>
      </c>
      <c r="I289" t="s">
        <v>65</v>
      </c>
      <c r="J289">
        <v>494.34</v>
      </c>
      <c r="K289">
        <v>12</v>
      </c>
      <c r="L289" t="s">
        <v>78</v>
      </c>
      <c r="M289">
        <v>5</v>
      </c>
      <c r="N289">
        <v>3</v>
      </c>
      <c r="O289">
        <v>0.25</v>
      </c>
      <c r="P289" t="s">
        <v>44</v>
      </c>
      <c r="Q289" t="s">
        <v>85</v>
      </c>
      <c r="R289">
        <v>1</v>
      </c>
      <c r="S289">
        <v>8</v>
      </c>
      <c r="T289" t="s">
        <v>59</v>
      </c>
      <c r="U289" t="s">
        <v>79</v>
      </c>
      <c r="V289" t="s">
        <v>61</v>
      </c>
      <c r="W289" s="1">
        <v>45354</v>
      </c>
      <c r="X289" t="b">
        <v>0</v>
      </c>
      <c r="Y289" t="b">
        <v>0</v>
      </c>
      <c r="Z289" t="s">
        <v>52</v>
      </c>
      <c r="AA289" t="s">
        <v>67</v>
      </c>
      <c r="AB289">
        <v>3</v>
      </c>
    </row>
    <row r="290" spans="1:28" x14ac:dyDescent="0.25">
      <c r="A290" t="s">
        <v>664</v>
      </c>
      <c r="B290">
        <v>29</v>
      </c>
      <c r="C290" t="s">
        <v>352</v>
      </c>
      <c r="D290" t="s">
        <v>30</v>
      </c>
      <c r="E290" t="s">
        <v>31</v>
      </c>
      <c r="F290" t="s">
        <v>56</v>
      </c>
      <c r="G290" t="s">
        <v>44</v>
      </c>
      <c r="H290" t="s">
        <v>665</v>
      </c>
      <c r="I290" t="s">
        <v>101</v>
      </c>
      <c r="J290">
        <v>443.52</v>
      </c>
      <c r="K290">
        <v>5</v>
      </c>
      <c r="L290" t="s">
        <v>48</v>
      </c>
      <c r="M290">
        <v>5</v>
      </c>
      <c r="N290">
        <v>3</v>
      </c>
      <c r="O290">
        <v>0</v>
      </c>
      <c r="P290" t="s">
        <v>36</v>
      </c>
      <c r="Q290" t="s">
        <v>37</v>
      </c>
      <c r="R290">
        <v>0</v>
      </c>
      <c r="S290">
        <v>7</v>
      </c>
      <c r="T290" t="s">
        <v>59</v>
      </c>
      <c r="U290" t="s">
        <v>38</v>
      </c>
      <c r="V290" t="s">
        <v>86</v>
      </c>
      <c r="W290" s="1">
        <v>45422</v>
      </c>
      <c r="X290" t="b">
        <v>1</v>
      </c>
      <c r="Y290" t="b">
        <v>0</v>
      </c>
      <c r="Z290" t="s">
        <v>40</v>
      </c>
      <c r="AA290" t="s">
        <v>53</v>
      </c>
      <c r="AB290">
        <v>9</v>
      </c>
    </row>
    <row r="291" spans="1:28" x14ac:dyDescent="0.25">
      <c r="A291" t="s">
        <v>666</v>
      </c>
      <c r="B291">
        <v>45</v>
      </c>
      <c r="C291" t="s">
        <v>148</v>
      </c>
      <c r="D291" t="s">
        <v>30</v>
      </c>
      <c r="E291" t="s">
        <v>76</v>
      </c>
      <c r="F291" t="s">
        <v>45</v>
      </c>
      <c r="G291" t="s">
        <v>44</v>
      </c>
      <c r="H291" t="s">
        <v>667</v>
      </c>
      <c r="I291" t="s">
        <v>246</v>
      </c>
      <c r="J291">
        <v>457.18</v>
      </c>
      <c r="K291">
        <v>7</v>
      </c>
      <c r="L291" t="s">
        <v>48</v>
      </c>
      <c r="M291">
        <v>4</v>
      </c>
      <c r="N291">
        <v>3</v>
      </c>
      <c r="O291">
        <v>2</v>
      </c>
      <c r="P291" t="s">
        <v>44</v>
      </c>
      <c r="Q291" t="s">
        <v>85</v>
      </c>
      <c r="R291">
        <v>2</v>
      </c>
      <c r="S291">
        <v>6</v>
      </c>
      <c r="T291" t="s">
        <v>49</v>
      </c>
      <c r="U291" t="s">
        <v>60</v>
      </c>
      <c r="V291" t="s">
        <v>66</v>
      </c>
      <c r="W291" s="1">
        <v>45524</v>
      </c>
      <c r="X291" t="b">
        <v>1</v>
      </c>
      <c r="Y291" t="b">
        <v>1</v>
      </c>
      <c r="Z291" t="s">
        <v>52</v>
      </c>
      <c r="AA291" t="s">
        <v>67</v>
      </c>
      <c r="AB291">
        <v>10</v>
      </c>
    </row>
    <row r="292" spans="1:28" x14ac:dyDescent="0.25">
      <c r="A292" t="s">
        <v>668</v>
      </c>
      <c r="B292">
        <v>38</v>
      </c>
      <c r="C292" t="s">
        <v>43</v>
      </c>
      <c r="D292" t="s">
        <v>30</v>
      </c>
      <c r="E292" t="s">
        <v>55</v>
      </c>
      <c r="F292" t="s">
        <v>56</v>
      </c>
      <c r="G292" t="s">
        <v>44</v>
      </c>
      <c r="H292" t="s">
        <v>669</v>
      </c>
      <c r="I292" t="s">
        <v>82</v>
      </c>
      <c r="J292">
        <v>407.88</v>
      </c>
      <c r="K292">
        <v>4</v>
      </c>
      <c r="L292" t="s">
        <v>48</v>
      </c>
      <c r="M292">
        <v>1</v>
      </c>
      <c r="N292">
        <v>3</v>
      </c>
      <c r="O292">
        <v>1</v>
      </c>
      <c r="P292" t="s">
        <v>36</v>
      </c>
      <c r="Q292" t="s">
        <v>85</v>
      </c>
      <c r="R292">
        <v>1</v>
      </c>
      <c r="S292">
        <v>10</v>
      </c>
      <c r="T292" t="s">
        <v>49</v>
      </c>
      <c r="U292" t="s">
        <v>38</v>
      </c>
      <c r="V292" t="s">
        <v>86</v>
      </c>
      <c r="W292" s="1">
        <v>45607</v>
      </c>
      <c r="X292" t="b">
        <v>0</v>
      </c>
      <c r="Y292" t="b">
        <v>0</v>
      </c>
      <c r="Z292" t="s">
        <v>74</v>
      </c>
      <c r="AA292" t="s">
        <v>53</v>
      </c>
      <c r="AB292">
        <v>14</v>
      </c>
    </row>
    <row r="293" spans="1:28" x14ac:dyDescent="0.25">
      <c r="A293" t="s">
        <v>670</v>
      </c>
      <c r="B293">
        <v>30</v>
      </c>
      <c r="C293" t="s">
        <v>43</v>
      </c>
      <c r="D293" t="s">
        <v>30</v>
      </c>
      <c r="E293" t="s">
        <v>69</v>
      </c>
      <c r="F293" t="s">
        <v>32</v>
      </c>
      <c r="G293" t="s">
        <v>30</v>
      </c>
      <c r="H293" t="s">
        <v>671</v>
      </c>
      <c r="I293" t="s">
        <v>82</v>
      </c>
      <c r="J293">
        <v>448.68</v>
      </c>
      <c r="K293">
        <v>8</v>
      </c>
      <c r="L293" t="s">
        <v>48</v>
      </c>
      <c r="M293">
        <v>4</v>
      </c>
      <c r="N293">
        <v>4</v>
      </c>
      <c r="O293">
        <v>2</v>
      </c>
      <c r="P293" t="s">
        <v>44</v>
      </c>
      <c r="Q293" t="s">
        <v>37</v>
      </c>
      <c r="R293">
        <v>1</v>
      </c>
      <c r="S293">
        <v>3</v>
      </c>
      <c r="T293" t="s">
        <v>49</v>
      </c>
      <c r="U293" t="s">
        <v>38</v>
      </c>
      <c r="V293" t="s">
        <v>61</v>
      </c>
      <c r="W293" s="1">
        <v>45437</v>
      </c>
      <c r="X293" t="b">
        <v>1</v>
      </c>
      <c r="Y293" t="b">
        <v>0</v>
      </c>
      <c r="Z293" t="s">
        <v>52</v>
      </c>
      <c r="AA293" t="s">
        <v>67</v>
      </c>
      <c r="AB293">
        <v>8</v>
      </c>
    </row>
    <row r="294" spans="1:28" x14ac:dyDescent="0.25">
      <c r="A294" t="s">
        <v>672</v>
      </c>
      <c r="B294">
        <v>40</v>
      </c>
      <c r="C294" t="s">
        <v>29</v>
      </c>
      <c r="D294" t="s">
        <v>44</v>
      </c>
      <c r="E294" t="s">
        <v>69</v>
      </c>
      <c r="F294" t="s">
        <v>32</v>
      </c>
      <c r="G294" t="s">
        <v>44</v>
      </c>
      <c r="H294" t="s">
        <v>673</v>
      </c>
      <c r="I294" t="s">
        <v>117</v>
      </c>
      <c r="J294">
        <v>255.96</v>
      </c>
      <c r="K294">
        <v>7</v>
      </c>
      <c r="L294" t="s">
        <v>78</v>
      </c>
      <c r="M294">
        <v>5</v>
      </c>
      <c r="N294">
        <v>1</v>
      </c>
      <c r="O294">
        <v>1</v>
      </c>
      <c r="P294" t="s">
        <v>44</v>
      </c>
      <c r="Q294" t="s">
        <v>85</v>
      </c>
      <c r="R294">
        <v>0</v>
      </c>
      <c r="S294">
        <v>10</v>
      </c>
      <c r="T294" t="s">
        <v>36</v>
      </c>
      <c r="U294" t="s">
        <v>38</v>
      </c>
      <c r="V294" t="s">
        <v>86</v>
      </c>
      <c r="W294" s="1">
        <v>45649</v>
      </c>
      <c r="X294" t="b">
        <v>0</v>
      </c>
      <c r="Y294" t="b">
        <v>0</v>
      </c>
      <c r="Z294" t="s">
        <v>40</v>
      </c>
      <c r="AA294" t="s">
        <v>41</v>
      </c>
      <c r="AB294">
        <v>13</v>
      </c>
    </row>
    <row r="295" spans="1:28" x14ac:dyDescent="0.25">
      <c r="A295" t="s">
        <v>674</v>
      </c>
      <c r="B295">
        <v>45</v>
      </c>
      <c r="C295" t="s">
        <v>43</v>
      </c>
      <c r="D295" t="s">
        <v>30</v>
      </c>
      <c r="E295" t="s">
        <v>31</v>
      </c>
      <c r="F295" t="s">
        <v>45</v>
      </c>
      <c r="G295" t="s">
        <v>44</v>
      </c>
      <c r="H295" t="s">
        <v>675</v>
      </c>
      <c r="I295" t="s">
        <v>98</v>
      </c>
      <c r="J295">
        <v>146.07</v>
      </c>
      <c r="K295">
        <v>7</v>
      </c>
      <c r="L295" t="s">
        <v>48</v>
      </c>
      <c r="M295">
        <v>4</v>
      </c>
      <c r="N295">
        <v>2</v>
      </c>
      <c r="O295">
        <v>1</v>
      </c>
      <c r="P295" t="s">
        <v>59</v>
      </c>
      <c r="Q295" t="s">
        <v>85</v>
      </c>
      <c r="R295">
        <v>1</v>
      </c>
      <c r="S295">
        <v>6</v>
      </c>
      <c r="T295" t="s">
        <v>36</v>
      </c>
      <c r="U295" t="s">
        <v>38</v>
      </c>
      <c r="V295" t="s">
        <v>39</v>
      </c>
      <c r="W295" s="1">
        <v>45480</v>
      </c>
      <c r="X295" t="b">
        <v>1</v>
      </c>
      <c r="Y295" t="b">
        <v>1</v>
      </c>
      <c r="Z295" t="s">
        <v>40</v>
      </c>
      <c r="AA295" t="s">
        <v>53</v>
      </c>
      <c r="AB295">
        <v>1</v>
      </c>
    </row>
    <row r="296" spans="1:28" x14ac:dyDescent="0.25">
      <c r="A296" t="s">
        <v>676</v>
      </c>
      <c r="B296">
        <v>44</v>
      </c>
      <c r="C296" t="s">
        <v>29</v>
      </c>
      <c r="D296" t="s">
        <v>44</v>
      </c>
      <c r="E296" t="s">
        <v>55</v>
      </c>
      <c r="F296" t="s">
        <v>45</v>
      </c>
      <c r="G296" t="s">
        <v>30</v>
      </c>
      <c r="H296" t="s">
        <v>677</v>
      </c>
      <c r="I296" t="s">
        <v>142</v>
      </c>
      <c r="J296">
        <v>311.89999999999998</v>
      </c>
      <c r="K296">
        <v>4</v>
      </c>
      <c r="L296" t="s">
        <v>48</v>
      </c>
      <c r="M296">
        <v>2</v>
      </c>
      <c r="N296">
        <v>4</v>
      </c>
      <c r="O296">
        <v>2</v>
      </c>
      <c r="P296" t="s">
        <v>59</v>
      </c>
      <c r="Q296" t="s">
        <v>85</v>
      </c>
      <c r="R296">
        <v>0</v>
      </c>
      <c r="S296">
        <v>6</v>
      </c>
      <c r="T296" t="s">
        <v>44</v>
      </c>
      <c r="U296" t="s">
        <v>60</v>
      </c>
      <c r="V296" t="s">
        <v>39</v>
      </c>
      <c r="W296" s="1">
        <v>45656</v>
      </c>
      <c r="X296" t="b">
        <v>0</v>
      </c>
      <c r="Y296" t="b">
        <v>1</v>
      </c>
      <c r="Z296" t="s">
        <v>74</v>
      </c>
      <c r="AA296" t="s">
        <v>41</v>
      </c>
      <c r="AB296">
        <v>2</v>
      </c>
    </row>
    <row r="297" spans="1:28" x14ac:dyDescent="0.25">
      <c r="A297" t="s">
        <v>678</v>
      </c>
      <c r="B297">
        <v>38</v>
      </c>
      <c r="C297" t="s">
        <v>29</v>
      </c>
      <c r="D297" t="s">
        <v>30</v>
      </c>
      <c r="E297" t="s">
        <v>69</v>
      </c>
      <c r="F297" t="s">
        <v>45</v>
      </c>
      <c r="G297" t="s">
        <v>30</v>
      </c>
      <c r="H297" t="s">
        <v>679</v>
      </c>
      <c r="I297" t="s">
        <v>34</v>
      </c>
      <c r="J297">
        <v>301.60000000000002</v>
      </c>
      <c r="K297">
        <v>4</v>
      </c>
      <c r="L297" t="s">
        <v>35</v>
      </c>
      <c r="M297">
        <v>4</v>
      </c>
      <c r="N297">
        <v>5</v>
      </c>
      <c r="O297">
        <v>1</v>
      </c>
      <c r="P297" t="s">
        <v>59</v>
      </c>
      <c r="Q297" t="s">
        <v>50</v>
      </c>
      <c r="R297">
        <v>2</v>
      </c>
      <c r="S297">
        <v>10</v>
      </c>
      <c r="T297" t="s">
        <v>44</v>
      </c>
      <c r="U297" t="s">
        <v>79</v>
      </c>
      <c r="V297" t="s">
        <v>39</v>
      </c>
      <c r="W297" s="1">
        <v>45362</v>
      </c>
      <c r="X297" t="b">
        <v>0</v>
      </c>
      <c r="Y297" t="b">
        <v>0</v>
      </c>
      <c r="Z297" t="s">
        <v>62</v>
      </c>
      <c r="AA297" t="s">
        <v>53</v>
      </c>
      <c r="AB297">
        <v>13</v>
      </c>
    </row>
    <row r="298" spans="1:28" x14ac:dyDescent="0.25">
      <c r="A298" t="s">
        <v>680</v>
      </c>
      <c r="B298">
        <v>23</v>
      </c>
      <c r="C298" t="s">
        <v>212</v>
      </c>
      <c r="D298" t="s">
        <v>30</v>
      </c>
      <c r="E298" t="s">
        <v>69</v>
      </c>
      <c r="F298" t="s">
        <v>32</v>
      </c>
      <c r="G298" t="s">
        <v>44</v>
      </c>
      <c r="H298" t="s">
        <v>681</v>
      </c>
      <c r="I298" t="s">
        <v>120</v>
      </c>
      <c r="J298">
        <v>297.45</v>
      </c>
      <c r="K298">
        <v>3</v>
      </c>
      <c r="L298" t="s">
        <v>35</v>
      </c>
      <c r="M298">
        <v>1</v>
      </c>
      <c r="N298">
        <v>5</v>
      </c>
      <c r="O298">
        <v>0</v>
      </c>
      <c r="P298" t="s">
        <v>49</v>
      </c>
      <c r="Q298" t="s">
        <v>85</v>
      </c>
      <c r="R298">
        <v>0</v>
      </c>
      <c r="S298">
        <v>7</v>
      </c>
      <c r="T298" t="s">
        <v>59</v>
      </c>
      <c r="U298" t="s">
        <v>38</v>
      </c>
      <c r="V298" t="s">
        <v>61</v>
      </c>
      <c r="W298" s="1">
        <v>45480</v>
      </c>
      <c r="X298" t="b">
        <v>0</v>
      </c>
      <c r="Y298" t="b">
        <v>0</v>
      </c>
      <c r="Z298" t="s">
        <v>74</v>
      </c>
      <c r="AA298" t="s">
        <v>41</v>
      </c>
      <c r="AB298">
        <v>4</v>
      </c>
    </row>
    <row r="299" spans="1:28" x14ac:dyDescent="0.25">
      <c r="A299" t="s">
        <v>682</v>
      </c>
      <c r="B299">
        <v>30</v>
      </c>
      <c r="C299" t="s">
        <v>352</v>
      </c>
      <c r="D299" t="s">
        <v>44</v>
      </c>
      <c r="E299" t="s">
        <v>69</v>
      </c>
      <c r="F299" t="s">
        <v>32</v>
      </c>
      <c r="G299" t="s">
        <v>44</v>
      </c>
      <c r="H299" t="s">
        <v>683</v>
      </c>
      <c r="I299" t="s">
        <v>90</v>
      </c>
      <c r="J299">
        <v>157.26</v>
      </c>
      <c r="K299">
        <v>3</v>
      </c>
      <c r="L299" t="s">
        <v>78</v>
      </c>
      <c r="M299">
        <v>1</v>
      </c>
      <c r="N299">
        <v>3</v>
      </c>
      <c r="O299">
        <v>1</v>
      </c>
      <c r="P299" t="s">
        <v>49</v>
      </c>
      <c r="Q299" t="s">
        <v>50</v>
      </c>
      <c r="R299">
        <v>1</v>
      </c>
      <c r="S299">
        <v>1</v>
      </c>
      <c r="T299" t="s">
        <v>36</v>
      </c>
      <c r="U299" t="s">
        <v>79</v>
      </c>
      <c r="V299" t="s">
        <v>86</v>
      </c>
      <c r="W299" s="1">
        <v>45497</v>
      </c>
      <c r="X299" t="b">
        <v>0</v>
      </c>
      <c r="Y299" t="b">
        <v>0</v>
      </c>
      <c r="Z299" t="s">
        <v>40</v>
      </c>
      <c r="AA299" t="s">
        <v>53</v>
      </c>
      <c r="AB299">
        <v>8</v>
      </c>
    </row>
    <row r="300" spans="1:28" x14ac:dyDescent="0.25">
      <c r="A300" t="s">
        <v>684</v>
      </c>
      <c r="B300">
        <v>42</v>
      </c>
      <c r="C300" t="s">
        <v>43</v>
      </c>
      <c r="D300" t="s">
        <v>44</v>
      </c>
      <c r="E300" t="s">
        <v>69</v>
      </c>
      <c r="F300" t="s">
        <v>56</v>
      </c>
      <c r="G300" t="s">
        <v>30</v>
      </c>
      <c r="H300" t="s">
        <v>685</v>
      </c>
      <c r="I300" t="s">
        <v>142</v>
      </c>
      <c r="J300">
        <v>239.46</v>
      </c>
      <c r="K300">
        <v>3</v>
      </c>
      <c r="L300" t="s">
        <v>35</v>
      </c>
      <c r="M300">
        <v>3</v>
      </c>
      <c r="N300">
        <v>1</v>
      </c>
      <c r="O300">
        <v>0</v>
      </c>
      <c r="P300" t="s">
        <v>59</v>
      </c>
      <c r="Q300" t="s">
        <v>50</v>
      </c>
      <c r="R300">
        <v>2</v>
      </c>
      <c r="S300">
        <v>8</v>
      </c>
      <c r="T300" t="s">
        <v>44</v>
      </c>
      <c r="U300" t="s">
        <v>79</v>
      </c>
      <c r="V300" t="s">
        <v>66</v>
      </c>
      <c r="W300" s="1">
        <v>45508</v>
      </c>
      <c r="X300" t="b">
        <v>1</v>
      </c>
      <c r="Y300" t="b">
        <v>1</v>
      </c>
      <c r="Z300" t="s">
        <v>74</v>
      </c>
      <c r="AA300" t="s">
        <v>53</v>
      </c>
      <c r="AB300">
        <v>7</v>
      </c>
    </row>
    <row r="301" spans="1:28" x14ac:dyDescent="0.25">
      <c r="A301" t="s">
        <v>686</v>
      </c>
      <c r="B301">
        <v>28</v>
      </c>
      <c r="C301" t="s">
        <v>29</v>
      </c>
      <c r="D301" t="s">
        <v>44</v>
      </c>
      <c r="E301" t="s">
        <v>69</v>
      </c>
      <c r="F301" t="s">
        <v>45</v>
      </c>
      <c r="G301" t="s">
        <v>44</v>
      </c>
      <c r="H301" t="s">
        <v>687</v>
      </c>
      <c r="I301" t="s">
        <v>34</v>
      </c>
      <c r="J301">
        <v>240.82</v>
      </c>
      <c r="K301">
        <v>10</v>
      </c>
      <c r="L301" t="s">
        <v>35</v>
      </c>
      <c r="M301">
        <v>1</v>
      </c>
      <c r="N301">
        <v>3</v>
      </c>
      <c r="O301">
        <v>2</v>
      </c>
      <c r="P301" t="s">
        <v>44</v>
      </c>
      <c r="Q301" t="s">
        <v>37</v>
      </c>
      <c r="R301">
        <v>0</v>
      </c>
      <c r="S301">
        <v>3</v>
      </c>
      <c r="T301" t="s">
        <v>49</v>
      </c>
      <c r="U301" t="s">
        <v>38</v>
      </c>
      <c r="V301" t="s">
        <v>51</v>
      </c>
      <c r="W301" s="1">
        <v>45293</v>
      </c>
      <c r="X301" t="b">
        <v>1</v>
      </c>
      <c r="Y301" t="b">
        <v>0</v>
      </c>
      <c r="Z301" t="s">
        <v>74</v>
      </c>
      <c r="AA301" t="s">
        <v>41</v>
      </c>
      <c r="AB301">
        <v>8</v>
      </c>
    </row>
    <row r="302" spans="1:28" x14ac:dyDescent="0.25">
      <c r="A302" t="s">
        <v>688</v>
      </c>
      <c r="B302">
        <v>44</v>
      </c>
      <c r="C302" t="s">
        <v>29</v>
      </c>
      <c r="D302" t="s">
        <v>30</v>
      </c>
      <c r="E302" t="s">
        <v>55</v>
      </c>
      <c r="F302" t="s">
        <v>56</v>
      </c>
      <c r="G302" t="s">
        <v>44</v>
      </c>
      <c r="H302" t="s">
        <v>689</v>
      </c>
      <c r="I302" t="s">
        <v>90</v>
      </c>
      <c r="J302">
        <v>302.07</v>
      </c>
      <c r="K302">
        <v>6</v>
      </c>
      <c r="L302" t="s">
        <v>35</v>
      </c>
      <c r="M302">
        <v>1</v>
      </c>
      <c r="N302">
        <v>5</v>
      </c>
      <c r="O302">
        <v>1</v>
      </c>
      <c r="P302" t="s">
        <v>49</v>
      </c>
      <c r="Q302" t="s">
        <v>50</v>
      </c>
      <c r="R302">
        <v>2</v>
      </c>
      <c r="S302">
        <v>5</v>
      </c>
      <c r="T302" t="s">
        <v>49</v>
      </c>
      <c r="U302" t="s">
        <v>79</v>
      </c>
      <c r="V302" t="s">
        <v>66</v>
      </c>
      <c r="W302" s="1">
        <v>45391</v>
      </c>
      <c r="X302" t="b">
        <v>1</v>
      </c>
      <c r="Y302" t="b">
        <v>0</v>
      </c>
      <c r="Z302" t="s">
        <v>74</v>
      </c>
      <c r="AA302" t="s">
        <v>67</v>
      </c>
      <c r="AB302">
        <v>13</v>
      </c>
    </row>
    <row r="303" spans="1:28" x14ac:dyDescent="0.25">
      <c r="A303" t="s">
        <v>690</v>
      </c>
      <c r="B303">
        <v>45</v>
      </c>
      <c r="C303" t="s">
        <v>43</v>
      </c>
      <c r="D303" t="s">
        <v>30</v>
      </c>
      <c r="E303" t="s">
        <v>69</v>
      </c>
      <c r="F303" t="s">
        <v>32</v>
      </c>
      <c r="G303" t="s">
        <v>30</v>
      </c>
      <c r="H303" t="s">
        <v>691</v>
      </c>
      <c r="I303" t="s">
        <v>120</v>
      </c>
      <c r="J303">
        <v>367.99</v>
      </c>
      <c r="K303">
        <v>2</v>
      </c>
      <c r="L303" t="s">
        <v>78</v>
      </c>
      <c r="M303">
        <v>2</v>
      </c>
      <c r="N303">
        <v>5</v>
      </c>
      <c r="O303">
        <v>1</v>
      </c>
      <c r="P303" t="s">
        <v>36</v>
      </c>
      <c r="Q303" t="s">
        <v>50</v>
      </c>
      <c r="R303">
        <v>2</v>
      </c>
      <c r="S303">
        <v>2</v>
      </c>
      <c r="T303" t="s">
        <v>44</v>
      </c>
      <c r="U303" t="s">
        <v>60</v>
      </c>
      <c r="V303" t="s">
        <v>61</v>
      </c>
      <c r="W303" s="1">
        <v>45580</v>
      </c>
      <c r="X303" t="b">
        <v>0</v>
      </c>
      <c r="Y303" t="b">
        <v>0</v>
      </c>
      <c r="Z303" t="s">
        <v>74</v>
      </c>
      <c r="AA303" t="s">
        <v>67</v>
      </c>
      <c r="AB303">
        <v>8</v>
      </c>
    </row>
    <row r="304" spans="1:28" x14ac:dyDescent="0.25">
      <c r="A304" t="s">
        <v>692</v>
      </c>
      <c r="B304">
        <v>46</v>
      </c>
      <c r="C304" t="s">
        <v>29</v>
      </c>
      <c r="D304" t="s">
        <v>44</v>
      </c>
      <c r="E304" t="s">
        <v>31</v>
      </c>
      <c r="F304" t="s">
        <v>56</v>
      </c>
      <c r="G304" t="s">
        <v>30</v>
      </c>
      <c r="H304" t="s">
        <v>693</v>
      </c>
      <c r="I304" t="s">
        <v>158</v>
      </c>
      <c r="J304">
        <v>359.75</v>
      </c>
      <c r="K304">
        <v>7</v>
      </c>
      <c r="L304" t="s">
        <v>48</v>
      </c>
      <c r="M304">
        <v>5</v>
      </c>
      <c r="N304">
        <v>1</v>
      </c>
      <c r="O304">
        <v>1</v>
      </c>
      <c r="P304" t="s">
        <v>44</v>
      </c>
      <c r="Q304" t="s">
        <v>50</v>
      </c>
      <c r="R304">
        <v>1</v>
      </c>
      <c r="S304">
        <v>6</v>
      </c>
      <c r="T304" t="s">
        <v>59</v>
      </c>
      <c r="U304" t="s">
        <v>38</v>
      </c>
      <c r="V304" t="s">
        <v>66</v>
      </c>
      <c r="W304" s="1">
        <v>45314</v>
      </c>
      <c r="X304" t="b">
        <v>0</v>
      </c>
      <c r="Y304" t="b">
        <v>0</v>
      </c>
      <c r="Z304" t="s">
        <v>52</v>
      </c>
      <c r="AA304" t="s">
        <v>53</v>
      </c>
      <c r="AB304">
        <v>3</v>
      </c>
    </row>
    <row r="305" spans="1:28" x14ac:dyDescent="0.25">
      <c r="A305" t="s">
        <v>694</v>
      </c>
      <c r="B305">
        <v>28</v>
      </c>
      <c r="C305" t="s">
        <v>29</v>
      </c>
      <c r="D305" t="s">
        <v>30</v>
      </c>
      <c r="E305" t="s">
        <v>76</v>
      </c>
      <c r="F305" t="s">
        <v>32</v>
      </c>
      <c r="G305" t="s">
        <v>44</v>
      </c>
      <c r="H305" t="s">
        <v>695</v>
      </c>
      <c r="I305" t="s">
        <v>114</v>
      </c>
      <c r="J305">
        <v>204.44</v>
      </c>
      <c r="K305">
        <v>2</v>
      </c>
      <c r="L305" t="s">
        <v>35</v>
      </c>
      <c r="M305">
        <v>5</v>
      </c>
      <c r="N305">
        <v>3</v>
      </c>
      <c r="O305">
        <v>2</v>
      </c>
      <c r="P305" t="s">
        <v>36</v>
      </c>
      <c r="Q305" t="s">
        <v>37</v>
      </c>
      <c r="R305">
        <v>1</v>
      </c>
      <c r="S305">
        <v>3</v>
      </c>
      <c r="T305" t="s">
        <v>44</v>
      </c>
      <c r="U305" t="s">
        <v>79</v>
      </c>
      <c r="V305" t="s">
        <v>61</v>
      </c>
      <c r="W305" s="1">
        <v>45627</v>
      </c>
      <c r="X305" t="b">
        <v>0</v>
      </c>
      <c r="Y305" t="b">
        <v>1</v>
      </c>
      <c r="Z305" t="s">
        <v>62</v>
      </c>
      <c r="AA305" t="s">
        <v>53</v>
      </c>
      <c r="AB305">
        <v>13</v>
      </c>
    </row>
    <row r="306" spans="1:28" x14ac:dyDescent="0.25">
      <c r="A306" t="s">
        <v>696</v>
      </c>
      <c r="B306">
        <v>27</v>
      </c>
      <c r="C306" t="s">
        <v>43</v>
      </c>
      <c r="D306" t="s">
        <v>44</v>
      </c>
      <c r="E306" t="s">
        <v>55</v>
      </c>
      <c r="F306" t="s">
        <v>56</v>
      </c>
      <c r="G306" t="s">
        <v>44</v>
      </c>
      <c r="H306" t="s">
        <v>697</v>
      </c>
      <c r="I306" t="s">
        <v>34</v>
      </c>
      <c r="J306">
        <v>228.93</v>
      </c>
      <c r="K306">
        <v>7</v>
      </c>
      <c r="L306" t="s">
        <v>78</v>
      </c>
      <c r="M306">
        <v>1</v>
      </c>
      <c r="N306">
        <v>1</v>
      </c>
      <c r="O306">
        <v>2</v>
      </c>
      <c r="P306" t="s">
        <v>59</v>
      </c>
      <c r="Q306" t="s">
        <v>50</v>
      </c>
      <c r="R306">
        <v>2</v>
      </c>
      <c r="S306">
        <v>2</v>
      </c>
      <c r="T306" t="s">
        <v>49</v>
      </c>
      <c r="U306" t="s">
        <v>79</v>
      </c>
      <c r="V306" t="s">
        <v>51</v>
      </c>
      <c r="W306" s="1">
        <v>45341</v>
      </c>
      <c r="X306" t="b">
        <v>1</v>
      </c>
      <c r="Y306" t="b">
        <v>1</v>
      </c>
      <c r="Z306" t="s">
        <v>62</v>
      </c>
      <c r="AA306" t="s">
        <v>67</v>
      </c>
      <c r="AB306">
        <v>11</v>
      </c>
    </row>
    <row r="307" spans="1:28" x14ac:dyDescent="0.25">
      <c r="A307" t="s">
        <v>698</v>
      </c>
      <c r="B307">
        <v>20</v>
      </c>
      <c r="C307" t="s">
        <v>29</v>
      </c>
      <c r="D307" t="s">
        <v>44</v>
      </c>
      <c r="E307" t="s">
        <v>55</v>
      </c>
      <c r="F307" t="s">
        <v>45</v>
      </c>
      <c r="G307" t="s">
        <v>30</v>
      </c>
      <c r="H307" t="s">
        <v>546</v>
      </c>
      <c r="I307" t="s">
        <v>58</v>
      </c>
      <c r="J307">
        <v>355.31</v>
      </c>
      <c r="K307">
        <v>11</v>
      </c>
      <c r="L307" t="s">
        <v>78</v>
      </c>
      <c r="M307">
        <v>1</v>
      </c>
      <c r="N307">
        <v>1</v>
      </c>
      <c r="O307">
        <v>0</v>
      </c>
      <c r="P307" t="s">
        <v>44</v>
      </c>
      <c r="Q307" t="s">
        <v>50</v>
      </c>
      <c r="R307">
        <v>1</v>
      </c>
      <c r="S307">
        <v>2</v>
      </c>
      <c r="T307" t="s">
        <v>49</v>
      </c>
      <c r="U307" t="s">
        <v>79</v>
      </c>
      <c r="V307" t="s">
        <v>61</v>
      </c>
      <c r="W307" s="1">
        <v>45523</v>
      </c>
      <c r="X307" t="b">
        <v>0</v>
      </c>
      <c r="Y307" t="b">
        <v>1</v>
      </c>
      <c r="Z307" t="s">
        <v>62</v>
      </c>
      <c r="AA307" t="s">
        <v>67</v>
      </c>
      <c r="AB307">
        <v>12</v>
      </c>
    </row>
    <row r="308" spans="1:28" x14ac:dyDescent="0.25">
      <c r="A308" t="s">
        <v>699</v>
      </c>
      <c r="B308">
        <v>40</v>
      </c>
      <c r="C308" t="s">
        <v>43</v>
      </c>
      <c r="D308" t="s">
        <v>44</v>
      </c>
      <c r="E308" t="s">
        <v>31</v>
      </c>
      <c r="F308" t="s">
        <v>45</v>
      </c>
      <c r="G308" t="s">
        <v>44</v>
      </c>
      <c r="H308" t="s">
        <v>700</v>
      </c>
      <c r="I308" t="s">
        <v>101</v>
      </c>
      <c r="J308">
        <v>334.67</v>
      </c>
      <c r="K308">
        <v>12</v>
      </c>
      <c r="L308" t="s">
        <v>48</v>
      </c>
      <c r="M308">
        <v>2</v>
      </c>
      <c r="N308">
        <v>1</v>
      </c>
      <c r="O308">
        <v>2</v>
      </c>
      <c r="P308" t="s">
        <v>36</v>
      </c>
      <c r="Q308" t="s">
        <v>37</v>
      </c>
      <c r="R308">
        <v>2</v>
      </c>
      <c r="S308">
        <v>5</v>
      </c>
      <c r="T308" t="s">
        <v>36</v>
      </c>
      <c r="U308" t="s">
        <v>38</v>
      </c>
      <c r="V308" t="s">
        <v>61</v>
      </c>
      <c r="W308" s="1">
        <v>45614</v>
      </c>
      <c r="X308" t="b">
        <v>1</v>
      </c>
      <c r="Y308" t="b">
        <v>0</v>
      </c>
      <c r="Z308" t="s">
        <v>40</v>
      </c>
      <c r="AA308" t="s">
        <v>53</v>
      </c>
      <c r="AB308">
        <v>13</v>
      </c>
    </row>
    <row r="309" spans="1:28" x14ac:dyDescent="0.25">
      <c r="A309" t="s">
        <v>701</v>
      </c>
      <c r="B309">
        <v>36</v>
      </c>
      <c r="C309" t="s">
        <v>43</v>
      </c>
      <c r="D309" t="s">
        <v>30</v>
      </c>
      <c r="E309" t="s">
        <v>69</v>
      </c>
      <c r="F309" t="s">
        <v>56</v>
      </c>
      <c r="G309" t="s">
        <v>30</v>
      </c>
      <c r="H309" t="s">
        <v>702</v>
      </c>
      <c r="I309" t="s">
        <v>82</v>
      </c>
      <c r="J309">
        <v>182.72</v>
      </c>
      <c r="K309">
        <v>5</v>
      </c>
      <c r="L309" t="s">
        <v>78</v>
      </c>
      <c r="M309">
        <v>2</v>
      </c>
      <c r="N309">
        <v>1</v>
      </c>
      <c r="O309">
        <v>2</v>
      </c>
      <c r="P309" t="s">
        <v>44</v>
      </c>
      <c r="Q309" t="s">
        <v>85</v>
      </c>
      <c r="R309">
        <v>1</v>
      </c>
      <c r="S309">
        <v>7</v>
      </c>
      <c r="T309" t="s">
        <v>36</v>
      </c>
      <c r="U309" t="s">
        <v>79</v>
      </c>
      <c r="V309" t="s">
        <v>66</v>
      </c>
      <c r="W309" s="1">
        <v>45447</v>
      </c>
      <c r="X309" t="b">
        <v>0</v>
      </c>
      <c r="Y309" t="b">
        <v>0</v>
      </c>
      <c r="Z309" t="s">
        <v>62</v>
      </c>
      <c r="AA309" t="s">
        <v>41</v>
      </c>
      <c r="AB309">
        <v>13</v>
      </c>
    </row>
    <row r="310" spans="1:28" x14ac:dyDescent="0.25">
      <c r="A310" t="s">
        <v>703</v>
      </c>
      <c r="B310">
        <v>43</v>
      </c>
      <c r="C310" t="s">
        <v>43</v>
      </c>
      <c r="D310" t="s">
        <v>44</v>
      </c>
      <c r="E310" t="s">
        <v>69</v>
      </c>
      <c r="F310" t="s">
        <v>45</v>
      </c>
      <c r="G310" t="s">
        <v>30</v>
      </c>
      <c r="H310" t="s">
        <v>704</v>
      </c>
      <c r="I310" t="s">
        <v>246</v>
      </c>
      <c r="J310">
        <v>260.22000000000003</v>
      </c>
      <c r="K310">
        <v>11</v>
      </c>
      <c r="L310" t="s">
        <v>48</v>
      </c>
      <c r="M310">
        <v>4</v>
      </c>
      <c r="N310">
        <v>3</v>
      </c>
      <c r="O310">
        <v>0</v>
      </c>
      <c r="P310" t="s">
        <v>36</v>
      </c>
      <c r="Q310" t="s">
        <v>50</v>
      </c>
      <c r="R310">
        <v>2</v>
      </c>
      <c r="S310">
        <v>5</v>
      </c>
      <c r="T310" t="s">
        <v>44</v>
      </c>
      <c r="U310" t="s">
        <v>79</v>
      </c>
      <c r="V310" t="s">
        <v>39</v>
      </c>
      <c r="W310" s="1">
        <v>45616</v>
      </c>
      <c r="X310" t="b">
        <v>0</v>
      </c>
      <c r="Y310" t="b">
        <v>1</v>
      </c>
      <c r="Z310" t="s">
        <v>40</v>
      </c>
      <c r="AA310" t="s">
        <v>67</v>
      </c>
      <c r="AB310">
        <v>13</v>
      </c>
    </row>
    <row r="311" spans="1:28" x14ac:dyDescent="0.25">
      <c r="A311" t="s">
        <v>705</v>
      </c>
      <c r="B311">
        <v>26</v>
      </c>
      <c r="C311" t="s">
        <v>29</v>
      </c>
      <c r="D311" t="s">
        <v>44</v>
      </c>
      <c r="E311" t="s">
        <v>55</v>
      </c>
      <c r="F311" t="s">
        <v>45</v>
      </c>
      <c r="G311" t="s">
        <v>30</v>
      </c>
      <c r="H311" t="s">
        <v>706</v>
      </c>
      <c r="I311" t="s">
        <v>47</v>
      </c>
      <c r="J311">
        <v>454.93</v>
      </c>
      <c r="K311">
        <v>8</v>
      </c>
      <c r="L311" t="s">
        <v>78</v>
      </c>
      <c r="M311">
        <v>3</v>
      </c>
      <c r="N311">
        <v>5</v>
      </c>
      <c r="O311">
        <v>0</v>
      </c>
      <c r="P311" t="s">
        <v>59</v>
      </c>
      <c r="Q311" t="s">
        <v>37</v>
      </c>
      <c r="R311">
        <v>2</v>
      </c>
      <c r="S311">
        <v>7</v>
      </c>
      <c r="T311" t="s">
        <v>49</v>
      </c>
      <c r="U311" t="s">
        <v>79</v>
      </c>
      <c r="V311" t="s">
        <v>61</v>
      </c>
      <c r="W311" s="1">
        <v>45403</v>
      </c>
      <c r="X311" t="b">
        <v>0</v>
      </c>
      <c r="Y311" t="b">
        <v>0</v>
      </c>
      <c r="Z311" t="s">
        <v>52</v>
      </c>
      <c r="AA311" t="s">
        <v>41</v>
      </c>
      <c r="AB311">
        <v>11</v>
      </c>
    </row>
    <row r="312" spans="1:28" x14ac:dyDescent="0.25">
      <c r="A312" t="s">
        <v>707</v>
      </c>
      <c r="B312">
        <v>29</v>
      </c>
      <c r="C312" t="s">
        <v>43</v>
      </c>
      <c r="D312" t="s">
        <v>30</v>
      </c>
      <c r="E312" t="s">
        <v>69</v>
      </c>
      <c r="F312" t="s">
        <v>32</v>
      </c>
      <c r="G312" t="s">
        <v>44</v>
      </c>
      <c r="H312" t="s">
        <v>708</v>
      </c>
      <c r="I312" t="s">
        <v>188</v>
      </c>
      <c r="J312">
        <v>325.42</v>
      </c>
      <c r="K312">
        <v>11</v>
      </c>
      <c r="L312" t="s">
        <v>48</v>
      </c>
      <c r="M312">
        <v>2</v>
      </c>
      <c r="N312">
        <v>4</v>
      </c>
      <c r="O312">
        <v>2</v>
      </c>
      <c r="P312" t="s">
        <v>59</v>
      </c>
      <c r="Q312" t="s">
        <v>50</v>
      </c>
      <c r="R312">
        <v>1</v>
      </c>
      <c r="S312">
        <v>1</v>
      </c>
      <c r="T312" t="s">
        <v>44</v>
      </c>
      <c r="U312" t="s">
        <v>79</v>
      </c>
      <c r="V312" t="s">
        <v>66</v>
      </c>
      <c r="W312" s="1">
        <v>45585</v>
      </c>
      <c r="X312" t="b">
        <v>1</v>
      </c>
      <c r="Y312" t="b">
        <v>0</v>
      </c>
      <c r="Z312" t="s">
        <v>62</v>
      </c>
      <c r="AA312" t="s">
        <v>67</v>
      </c>
      <c r="AB312">
        <v>7</v>
      </c>
    </row>
    <row r="313" spans="1:28" x14ac:dyDescent="0.25">
      <c r="A313" t="s">
        <v>709</v>
      </c>
      <c r="B313">
        <v>34</v>
      </c>
      <c r="C313" t="s">
        <v>29</v>
      </c>
      <c r="D313" t="s">
        <v>30</v>
      </c>
      <c r="E313" t="s">
        <v>69</v>
      </c>
      <c r="F313" t="s">
        <v>45</v>
      </c>
      <c r="G313" t="s">
        <v>44</v>
      </c>
      <c r="H313" t="s">
        <v>710</v>
      </c>
      <c r="I313" t="s">
        <v>246</v>
      </c>
      <c r="J313">
        <v>351.36</v>
      </c>
      <c r="K313">
        <v>2</v>
      </c>
      <c r="L313" t="s">
        <v>48</v>
      </c>
      <c r="M313">
        <v>5</v>
      </c>
      <c r="N313">
        <v>3</v>
      </c>
      <c r="O313">
        <v>2</v>
      </c>
      <c r="P313" t="s">
        <v>44</v>
      </c>
      <c r="Q313" t="s">
        <v>85</v>
      </c>
      <c r="R313">
        <v>2</v>
      </c>
      <c r="S313">
        <v>6</v>
      </c>
      <c r="T313" t="s">
        <v>36</v>
      </c>
      <c r="U313" t="s">
        <v>79</v>
      </c>
      <c r="V313" t="s">
        <v>66</v>
      </c>
      <c r="W313" s="1">
        <v>45331</v>
      </c>
      <c r="X313" t="b">
        <v>0</v>
      </c>
      <c r="Y313" t="b">
        <v>1</v>
      </c>
      <c r="Z313" t="s">
        <v>40</v>
      </c>
      <c r="AA313" t="s">
        <v>53</v>
      </c>
      <c r="AB313">
        <v>7</v>
      </c>
    </row>
    <row r="314" spans="1:28" x14ac:dyDescent="0.25">
      <c r="A314" t="s">
        <v>711</v>
      </c>
      <c r="B314">
        <v>40</v>
      </c>
      <c r="C314" t="s">
        <v>43</v>
      </c>
      <c r="D314" t="s">
        <v>44</v>
      </c>
      <c r="E314" t="s">
        <v>55</v>
      </c>
      <c r="F314" t="s">
        <v>32</v>
      </c>
      <c r="G314" t="s">
        <v>30</v>
      </c>
      <c r="H314" t="s">
        <v>712</v>
      </c>
      <c r="I314" t="s">
        <v>123</v>
      </c>
      <c r="J314">
        <v>333.63</v>
      </c>
      <c r="K314">
        <v>8</v>
      </c>
      <c r="L314" t="s">
        <v>35</v>
      </c>
      <c r="M314">
        <v>4</v>
      </c>
      <c r="N314">
        <v>5</v>
      </c>
      <c r="O314">
        <v>2</v>
      </c>
      <c r="P314" t="s">
        <v>36</v>
      </c>
      <c r="Q314" t="s">
        <v>85</v>
      </c>
      <c r="R314">
        <v>2</v>
      </c>
      <c r="S314">
        <v>2</v>
      </c>
      <c r="T314" t="s">
        <v>44</v>
      </c>
      <c r="U314" t="s">
        <v>60</v>
      </c>
      <c r="V314" t="s">
        <v>66</v>
      </c>
      <c r="W314" s="1">
        <v>45631</v>
      </c>
      <c r="X314" t="b">
        <v>0</v>
      </c>
      <c r="Y314" t="b">
        <v>0</v>
      </c>
      <c r="Z314" t="s">
        <v>40</v>
      </c>
      <c r="AA314" t="s">
        <v>67</v>
      </c>
      <c r="AB314">
        <v>14</v>
      </c>
    </row>
    <row r="315" spans="1:28" x14ac:dyDescent="0.25">
      <c r="A315" t="s">
        <v>713</v>
      </c>
      <c r="B315">
        <v>42</v>
      </c>
      <c r="C315" t="s">
        <v>29</v>
      </c>
      <c r="D315" t="s">
        <v>44</v>
      </c>
      <c r="E315" t="s">
        <v>31</v>
      </c>
      <c r="F315" t="s">
        <v>32</v>
      </c>
      <c r="G315" t="s">
        <v>30</v>
      </c>
      <c r="H315" t="s">
        <v>714</v>
      </c>
      <c r="I315" t="s">
        <v>188</v>
      </c>
      <c r="J315">
        <v>469.9</v>
      </c>
      <c r="K315">
        <v>4</v>
      </c>
      <c r="L315" t="s">
        <v>35</v>
      </c>
      <c r="M315">
        <v>2</v>
      </c>
      <c r="N315">
        <v>5</v>
      </c>
      <c r="O315">
        <v>1</v>
      </c>
      <c r="P315" t="s">
        <v>59</v>
      </c>
      <c r="Q315" t="s">
        <v>50</v>
      </c>
      <c r="R315">
        <v>1</v>
      </c>
      <c r="S315">
        <v>7</v>
      </c>
      <c r="T315" t="s">
        <v>36</v>
      </c>
      <c r="U315" t="s">
        <v>79</v>
      </c>
      <c r="V315" t="s">
        <v>86</v>
      </c>
      <c r="W315" s="1">
        <v>45471</v>
      </c>
      <c r="X315" t="b">
        <v>0</v>
      </c>
      <c r="Y315" t="b">
        <v>0</v>
      </c>
      <c r="Z315" t="s">
        <v>74</v>
      </c>
      <c r="AA315" t="s">
        <v>41</v>
      </c>
      <c r="AB315">
        <v>7</v>
      </c>
    </row>
    <row r="316" spans="1:28" x14ac:dyDescent="0.25">
      <c r="A316" t="s">
        <v>715</v>
      </c>
      <c r="B316">
        <v>28</v>
      </c>
      <c r="C316" t="s">
        <v>43</v>
      </c>
      <c r="D316" t="s">
        <v>44</v>
      </c>
      <c r="E316" t="s">
        <v>31</v>
      </c>
      <c r="F316" t="s">
        <v>32</v>
      </c>
      <c r="G316" t="s">
        <v>44</v>
      </c>
      <c r="H316" t="s">
        <v>716</v>
      </c>
      <c r="I316" t="s">
        <v>93</v>
      </c>
      <c r="J316">
        <v>207.52</v>
      </c>
      <c r="K316">
        <v>4</v>
      </c>
      <c r="L316" t="s">
        <v>48</v>
      </c>
      <c r="M316">
        <v>3</v>
      </c>
      <c r="N316">
        <v>4</v>
      </c>
      <c r="O316">
        <v>1</v>
      </c>
      <c r="P316" t="s">
        <v>59</v>
      </c>
      <c r="Q316" t="s">
        <v>50</v>
      </c>
      <c r="R316">
        <v>1</v>
      </c>
      <c r="S316">
        <v>8</v>
      </c>
      <c r="T316" t="s">
        <v>44</v>
      </c>
      <c r="U316" t="s">
        <v>79</v>
      </c>
      <c r="V316" t="s">
        <v>61</v>
      </c>
      <c r="W316" s="1">
        <v>45510</v>
      </c>
      <c r="X316" t="b">
        <v>0</v>
      </c>
      <c r="Y316" t="b">
        <v>0</v>
      </c>
      <c r="Z316" t="s">
        <v>62</v>
      </c>
      <c r="AA316" t="s">
        <v>41</v>
      </c>
      <c r="AB316">
        <v>2</v>
      </c>
    </row>
    <row r="317" spans="1:28" x14ac:dyDescent="0.25">
      <c r="A317" t="s">
        <v>717</v>
      </c>
      <c r="B317">
        <v>49</v>
      </c>
      <c r="C317" t="s">
        <v>43</v>
      </c>
      <c r="D317" t="s">
        <v>44</v>
      </c>
      <c r="E317" t="s">
        <v>55</v>
      </c>
      <c r="F317" t="s">
        <v>32</v>
      </c>
      <c r="G317" t="s">
        <v>44</v>
      </c>
      <c r="H317" t="s">
        <v>718</v>
      </c>
      <c r="I317" t="s">
        <v>126</v>
      </c>
      <c r="J317">
        <v>125.89</v>
      </c>
      <c r="K317">
        <v>7</v>
      </c>
      <c r="L317" t="s">
        <v>48</v>
      </c>
      <c r="M317">
        <v>3</v>
      </c>
      <c r="N317">
        <v>3</v>
      </c>
      <c r="O317">
        <v>2</v>
      </c>
      <c r="P317" t="s">
        <v>59</v>
      </c>
      <c r="Q317" t="s">
        <v>50</v>
      </c>
      <c r="R317">
        <v>1</v>
      </c>
      <c r="S317">
        <v>6</v>
      </c>
      <c r="T317" t="s">
        <v>49</v>
      </c>
      <c r="U317" t="s">
        <v>79</v>
      </c>
      <c r="V317" t="s">
        <v>61</v>
      </c>
      <c r="W317" s="1">
        <v>45618</v>
      </c>
      <c r="X317" t="b">
        <v>0</v>
      </c>
      <c r="Y317" t="b">
        <v>0</v>
      </c>
      <c r="Z317" t="s">
        <v>52</v>
      </c>
      <c r="AA317" t="s">
        <v>41</v>
      </c>
      <c r="AB317">
        <v>13</v>
      </c>
    </row>
    <row r="318" spans="1:28" x14ac:dyDescent="0.25">
      <c r="A318" t="s">
        <v>719</v>
      </c>
      <c r="B318">
        <v>46</v>
      </c>
      <c r="C318" t="s">
        <v>29</v>
      </c>
      <c r="D318" t="s">
        <v>44</v>
      </c>
      <c r="E318" t="s">
        <v>55</v>
      </c>
      <c r="F318" t="s">
        <v>56</v>
      </c>
      <c r="G318" t="s">
        <v>30</v>
      </c>
      <c r="H318" t="s">
        <v>720</v>
      </c>
      <c r="I318" t="s">
        <v>117</v>
      </c>
      <c r="J318">
        <v>170.77</v>
      </c>
      <c r="K318">
        <v>9</v>
      </c>
      <c r="L318" t="s">
        <v>78</v>
      </c>
      <c r="M318">
        <v>5</v>
      </c>
      <c r="N318">
        <v>2</v>
      </c>
      <c r="O318">
        <v>1</v>
      </c>
      <c r="P318" t="s">
        <v>49</v>
      </c>
      <c r="Q318" t="s">
        <v>37</v>
      </c>
      <c r="R318">
        <v>2</v>
      </c>
      <c r="S318">
        <v>1</v>
      </c>
      <c r="T318" t="s">
        <v>59</v>
      </c>
      <c r="U318" t="s">
        <v>60</v>
      </c>
      <c r="V318" t="s">
        <v>39</v>
      </c>
      <c r="W318" s="1">
        <v>45508</v>
      </c>
      <c r="X318" t="b">
        <v>0</v>
      </c>
      <c r="Y318" t="b">
        <v>0</v>
      </c>
      <c r="Z318" t="s">
        <v>62</v>
      </c>
      <c r="AA318" t="s">
        <v>41</v>
      </c>
      <c r="AB318">
        <v>4</v>
      </c>
    </row>
    <row r="319" spans="1:28" x14ac:dyDescent="0.25">
      <c r="A319" t="s">
        <v>721</v>
      </c>
      <c r="B319">
        <v>44</v>
      </c>
      <c r="C319" t="s">
        <v>29</v>
      </c>
      <c r="D319" t="s">
        <v>44</v>
      </c>
      <c r="E319" t="s">
        <v>76</v>
      </c>
      <c r="F319" t="s">
        <v>56</v>
      </c>
      <c r="G319" t="s">
        <v>44</v>
      </c>
      <c r="H319" t="s">
        <v>722</v>
      </c>
      <c r="I319" t="s">
        <v>117</v>
      </c>
      <c r="J319">
        <v>63.91</v>
      </c>
      <c r="K319">
        <v>2</v>
      </c>
      <c r="L319" t="s">
        <v>78</v>
      </c>
      <c r="M319">
        <v>1</v>
      </c>
      <c r="N319">
        <v>4</v>
      </c>
      <c r="O319">
        <v>2</v>
      </c>
      <c r="P319" t="s">
        <v>36</v>
      </c>
      <c r="Q319" t="s">
        <v>50</v>
      </c>
      <c r="R319">
        <v>0</v>
      </c>
      <c r="S319">
        <v>6</v>
      </c>
      <c r="T319" t="s">
        <v>49</v>
      </c>
      <c r="U319" t="s">
        <v>60</v>
      </c>
      <c r="V319" t="s">
        <v>86</v>
      </c>
      <c r="W319" s="1">
        <v>45303</v>
      </c>
      <c r="X319" t="b">
        <v>0</v>
      </c>
      <c r="Y319" t="b">
        <v>1</v>
      </c>
      <c r="Z319" t="s">
        <v>74</v>
      </c>
      <c r="AA319" t="s">
        <v>41</v>
      </c>
      <c r="AB319">
        <v>12</v>
      </c>
    </row>
    <row r="320" spans="1:28" x14ac:dyDescent="0.25">
      <c r="A320" t="s">
        <v>723</v>
      </c>
      <c r="B320">
        <v>29</v>
      </c>
      <c r="C320" t="s">
        <v>43</v>
      </c>
      <c r="D320" t="s">
        <v>44</v>
      </c>
      <c r="E320" t="s">
        <v>31</v>
      </c>
      <c r="F320" t="s">
        <v>45</v>
      </c>
      <c r="G320" t="s">
        <v>30</v>
      </c>
      <c r="H320" t="s">
        <v>724</v>
      </c>
      <c r="I320" t="s">
        <v>183</v>
      </c>
      <c r="J320">
        <v>340.55</v>
      </c>
      <c r="K320">
        <v>7</v>
      </c>
      <c r="L320" t="s">
        <v>48</v>
      </c>
      <c r="M320">
        <v>4</v>
      </c>
      <c r="N320">
        <v>5</v>
      </c>
      <c r="O320">
        <v>0</v>
      </c>
      <c r="P320" t="s">
        <v>59</v>
      </c>
      <c r="Q320" t="s">
        <v>50</v>
      </c>
      <c r="R320">
        <v>0</v>
      </c>
      <c r="S320">
        <v>7</v>
      </c>
      <c r="T320" t="s">
        <v>36</v>
      </c>
      <c r="U320" t="s">
        <v>79</v>
      </c>
      <c r="V320" t="s">
        <v>39</v>
      </c>
      <c r="W320" s="1">
        <v>45615</v>
      </c>
      <c r="X320" t="b">
        <v>0</v>
      </c>
      <c r="Y320" t="b">
        <v>1</v>
      </c>
      <c r="Z320" t="s">
        <v>74</v>
      </c>
      <c r="AA320" t="s">
        <v>67</v>
      </c>
      <c r="AB320">
        <v>1</v>
      </c>
    </row>
    <row r="321" spans="1:28" x14ac:dyDescent="0.25">
      <c r="A321" t="s">
        <v>725</v>
      </c>
      <c r="B321">
        <v>47</v>
      </c>
      <c r="C321" t="s">
        <v>43</v>
      </c>
      <c r="D321" t="s">
        <v>30</v>
      </c>
      <c r="E321" t="s">
        <v>76</v>
      </c>
      <c r="F321" t="s">
        <v>32</v>
      </c>
      <c r="G321" t="s">
        <v>44</v>
      </c>
      <c r="H321" t="s">
        <v>726</v>
      </c>
      <c r="I321" t="s">
        <v>120</v>
      </c>
      <c r="J321">
        <v>378.14</v>
      </c>
      <c r="K321">
        <v>6</v>
      </c>
      <c r="L321" t="s">
        <v>35</v>
      </c>
      <c r="M321">
        <v>2</v>
      </c>
      <c r="N321">
        <v>2</v>
      </c>
      <c r="O321">
        <v>1</v>
      </c>
      <c r="P321" t="s">
        <v>49</v>
      </c>
      <c r="Q321" t="s">
        <v>85</v>
      </c>
      <c r="R321">
        <v>1</v>
      </c>
      <c r="S321">
        <v>6</v>
      </c>
      <c r="T321" t="s">
        <v>44</v>
      </c>
      <c r="U321" t="s">
        <v>60</v>
      </c>
      <c r="V321" t="s">
        <v>51</v>
      </c>
      <c r="W321" s="1">
        <v>45539</v>
      </c>
      <c r="X321" t="b">
        <v>0</v>
      </c>
      <c r="Y321" t="b">
        <v>0</v>
      </c>
      <c r="Z321" t="s">
        <v>52</v>
      </c>
      <c r="AA321" t="s">
        <v>53</v>
      </c>
      <c r="AB321">
        <v>7</v>
      </c>
    </row>
    <row r="322" spans="1:28" x14ac:dyDescent="0.25">
      <c r="A322" t="s">
        <v>727</v>
      </c>
      <c r="B322">
        <v>37</v>
      </c>
      <c r="C322" t="s">
        <v>29</v>
      </c>
      <c r="D322" t="s">
        <v>30</v>
      </c>
      <c r="E322" t="s">
        <v>31</v>
      </c>
      <c r="F322" t="s">
        <v>32</v>
      </c>
      <c r="G322" t="s">
        <v>30</v>
      </c>
      <c r="H322" t="s">
        <v>254</v>
      </c>
      <c r="I322" t="s">
        <v>126</v>
      </c>
      <c r="J322">
        <v>235.84</v>
      </c>
      <c r="K322">
        <v>9</v>
      </c>
      <c r="L322" t="s">
        <v>35</v>
      </c>
      <c r="M322">
        <v>5</v>
      </c>
      <c r="N322">
        <v>2</v>
      </c>
      <c r="O322">
        <v>0</v>
      </c>
      <c r="P322" t="s">
        <v>36</v>
      </c>
      <c r="Q322" t="s">
        <v>85</v>
      </c>
      <c r="R322">
        <v>2</v>
      </c>
      <c r="S322">
        <v>3</v>
      </c>
      <c r="T322" t="s">
        <v>36</v>
      </c>
      <c r="U322" t="s">
        <v>79</v>
      </c>
      <c r="V322" t="s">
        <v>86</v>
      </c>
      <c r="W322" s="1">
        <v>45507</v>
      </c>
      <c r="X322" t="b">
        <v>0</v>
      </c>
      <c r="Y322" t="b">
        <v>0</v>
      </c>
      <c r="Z322" t="s">
        <v>74</v>
      </c>
      <c r="AA322" t="s">
        <v>41</v>
      </c>
      <c r="AB322">
        <v>14</v>
      </c>
    </row>
    <row r="323" spans="1:28" x14ac:dyDescent="0.25">
      <c r="A323" t="s">
        <v>728</v>
      </c>
      <c r="B323">
        <v>47</v>
      </c>
      <c r="C323" t="s">
        <v>43</v>
      </c>
      <c r="D323" t="s">
        <v>44</v>
      </c>
      <c r="E323" t="s">
        <v>69</v>
      </c>
      <c r="F323" t="s">
        <v>45</v>
      </c>
      <c r="G323" t="s">
        <v>30</v>
      </c>
      <c r="H323" t="s">
        <v>729</v>
      </c>
      <c r="I323" t="s">
        <v>135</v>
      </c>
      <c r="J323">
        <v>164.44</v>
      </c>
      <c r="K323">
        <v>5</v>
      </c>
      <c r="L323" t="s">
        <v>48</v>
      </c>
      <c r="M323">
        <v>5</v>
      </c>
      <c r="N323">
        <v>1</v>
      </c>
      <c r="O323">
        <v>2</v>
      </c>
      <c r="P323" t="s">
        <v>59</v>
      </c>
      <c r="Q323" t="s">
        <v>37</v>
      </c>
      <c r="R323">
        <v>1</v>
      </c>
      <c r="S323">
        <v>10</v>
      </c>
      <c r="T323" t="s">
        <v>44</v>
      </c>
      <c r="U323" t="s">
        <v>60</v>
      </c>
      <c r="V323" t="s">
        <v>66</v>
      </c>
      <c r="W323" s="1">
        <v>45390</v>
      </c>
      <c r="X323" t="b">
        <v>0</v>
      </c>
      <c r="Y323" t="b">
        <v>0</v>
      </c>
      <c r="Z323" t="s">
        <v>62</v>
      </c>
      <c r="AA323" t="s">
        <v>41</v>
      </c>
      <c r="AB323">
        <v>5</v>
      </c>
    </row>
    <row r="324" spans="1:28" x14ac:dyDescent="0.25">
      <c r="A324" t="s">
        <v>730</v>
      </c>
      <c r="B324">
        <v>24</v>
      </c>
      <c r="C324" t="s">
        <v>43</v>
      </c>
      <c r="D324" t="s">
        <v>44</v>
      </c>
      <c r="E324" t="s">
        <v>31</v>
      </c>
      <c r="F324" t="s">
        <v>32</v>
      </c>
      <c r="G324" t="s">
        <v>44</v>
      </c>
      <c r="H324" t="s">
        <v>731</v>
      </c>
      <c r="I324" t="s">
        <v>90</v>
      </c>
      <c r="J324">
        <v>455.81</v>
      </c>
      <c r="K324">
        <v>3</v>
      </c>
      <c r="L324" t="s">
        <v>78</v>
      </c>
      <c r="M324">
        <v>2</v>
      </c>
      <c r="N324">
        <v>3</v>
      </c>
      <c r="O324">
        <v>1</v>
      </c>
      <c r="P324" t="s">
        <v>59</v>
      </c>
      <c r="Q324" t="s">
        <v>37</v>
      </c>
      <c r="R324">
        <v>1</v>
      </c>
      <c r="S324">
        <v>6</v>
      </c>
      <c r="T324" t="s">
        <v>49</v>
      </c>
      <c r="U324" t="s">
        <v>60</v>
      </c>
      <c r="V324" t="s">
        <v>61</v>
      </c>
      <c r="W324" s="1">
        <v>45403</v>
      </c>
      <c r="X324" t="b">
        <v>0</v>
      </c>
      <c r="Y324" t="b">
        <v>0</v>
      </c>
      <c r="Z324" t="s">
        <v>52</v>
      </c>
      <c r="AA324" t="s">
        <v>67</v>
      </c>
      <c r="AB324">
        <v>6</v>
      </c>
    </row>
    <row r="325" spans="1:28" x14ac:dyDescent="0.25">
      <c r="A325" t="s">
        <v>732</v>
      </c>
      <c r="B325">
        <v>36</v>
      </c>
      <c r="C325" t="s">
        <v>43</v>
      </c>
      <c r="D325" t="s">
        <v>44</v>
      </c>
      <c r="E325" t="s">
        <v>69</v>
      </c>
      <c r="F325" t="s">
        <v>56</v>
      </c>
      <c r="G325" t="s">
        <v>44</v>
      </c>
      <c r="H325" t="s">
        <v>733</v>
      </c>
      <c r="I325" t="s">
        <v>104</v>
      </c>
      <c r="J325">
        <v>298.32</v>
      </c>
      <c r="K325">
        <v>7</v>
      </c>
      <c r="L325" t="s">
        <v>48</v>
      </c>
      <c r="M325">
        <v>3</v>
      </c>
      <c r="N325">
        <v>5</v>
      </c>
      <c r="O325">
        <v>1</v>
      </c>
      <c r="P325" t="s">
        <v>59</v>
      </c>
      <c r="Q325" t="s">
        <v>37</v>
      </c>
      <c r="R325">
        <v>2</v>
      </c>
      <c r="S325">
        <v>8</v>
      </c>
      <c r="T325" t="s">
        <v>36</v>
      </c>
      <c r="U325" t="s">
        <v>38</v>
      </c>
      <c r="V325" t="s">
        <v>66</v>
      </c>
      <c r="W325" s="1">
        <v>45460</v>
      </c>
      <c r="X325" t="b">
        <v>1</v>
      </c>
      <c r="Y325" t="b">
        <v>0</v>
      </c>
      <c r="Z325" t="s">
        <v>52</v>
      </c>
      <c r="AA325" t="s">
        <v>53</v>
      </c>
      <c r="AB325">
        <v>12</v>
      </c>
    </row>
    <row r="326" spans="1:28" x14ac:dyDescent="0.25">
      <c r="A326" t="s">
        <v>734</v>
      </c>
      <c r="B326">
        <v>36</v>
      </c>
      <c r="C326" t="s">
        <v>29</v>
      </c>
      <c r="D326" t="s">
        <v>44</v>
      </c>
      <c r="E326" t="s">
        <v>55</v>
      </c>
      <c r="F326" t="s">
        <v>32</v>
      </c>
      <c r="G326" t="s">
        <v>44</v>
      </c>
      <c r="H326" t="s">
        <v>735</v>
      </c>
      <c r="I326" t="s">
        <v>107</v>
      </c>
      <c r="J326">
        <v>351.71</v>
      </c>
      <c r="K326">
        <v>7</v>
      </c>
      <c r="L326" t="s">
        <v>48</v>
      </c>
      <c r="M326">
        <v>2</v>
      </c>
      <c r="N326">
        <v>2</v>
      </c>
      <c r="O326">
        <v>0</v>
      </c>
      <c r="P326" t="s">
        <v>49</v>
      </c>
      <c r="Q326" t="s">
        <v>85</v>
      </c>
      <c r="R326">
        <v>1</v>
      </c>
      <c r="S326">
        <v>6</v>
      </c>
      <c r="T326" t="s">
        <v>49</v>
      </c>
      <c r="U326" t="s">
        <v>38</v>
      </c>
      <c r="V326" t="s">
        <v>66</v>
      </c>
      <c r="W326" s="1">
        <v>45370</v>
      </c>
      <c r="X326" t="b">
        <v>1</v>
      </c>
      <c r="Y326" t="b">
        <v>0</v>
      </c>
      <c r="Z326" t="s">
        <v>40</v>
      </c>
      <c r="AA326" t="s">
        <v>53</v>
      </c>
      <c r="AB326">
        <v>8</v>
      </c>
    </row>
    <row r="327" spans="1:28" x14ac:dyDescent="0.25">
      <c r="A327" t="s">
        <v>736</v>
      </c>
      <c r="B327">
        <v>49</v>
      </c>
      <c r="C327" t="s">
        <v>43</v>
      </c>
      <c r="D327" t="s">
        <v>30</v>
      </c>
      <c r="E327" t="s">
        <v>76</v>
      </c>
      <c r="F327" t="s">
        <v>32</v>
      </c>
      <c r="G327" t="s">
        <v>30</v>
      </c>
      <c r="H327" t="s">
        <v>737</v>
      </c>
      <c r="I327" t="s">
        <v>126</v>
      </c>
      <c r="J327">
        <v>393.48</v>
      </c>
      <c r="K327">
        <v>11</v>
      </c>
      <c r="L327" t="s">
        <v>48</v>
      </c>
      <c r="M327">
        <v>2</v>
      </c>
      <c r="N327">
        <v>2</v>
      </c>
      <c r="O327">
        <v>0</v>
      </c>
      <c r="P327" t="s">
        <v>44</v>
      </c>
      <c r="Q327" t="s">
        <v>85</v>
      </c>
      <c r="R327">
        <v>1</v>
      </c>
      <c r="S327">
        <v>10</v>
      </c>
      <c r="T327" t="s">
        <v>36</v>
      </c>
      <c r="U327" t="s">
        <v>38</v>
      </c>
      <c r="V327" t="s">
        <v>66</v>
      </c>
      <c r="W327" s="1">
        <v>45517</v>
      </c>
      <c r="X327" t="b">
        <v>1</v>
      </c>
      <c r="Y327" t="b">
        <v>1</v>
      </c>
      <c r="Z327" t="s">
        <v>40</v>
      </c>
      <c r="AA327" t="s">
        <v>53</v>
      </c>
      <c r="AB327">
        <v>3</v>
      </c>
    </row>
    <row r="328" spans="1:28" x14ac:dyDescent="0.25">
      <c r="A328" t="s">
        <v>738</v>
      </c>
      <c r="B328">
        <v>19</v>
      </c>
      <c r="C328" t="s">
        <v>148</v>
      </c>
      <c r="D328" t="s">
        <v>44</v>
      </c>
      <c r="E328" t="s">
        <v>55</v>
      </c>
      <c r="F328" t="s">
        <v>45</v>
      </c>
      <c r="G328" t="s">
        <v>44</v>
      </c>
      <c r="H328" t="s">
        <v>739</v>
      </c>
      <c r="I328" t="s">
        <v>58</v>
      </c>
      <c r="J328">
        <v>241.72</v>
      </c>
      <c r="K328">
        <v>6</v>
      </c>
      <c r="L328" t="s">
        <v>35</v>
      </c>
      <c r="M328">
        <v>5</v>
      </c>
      <c r="N328">
        <v>2</v>
      </c>
      <c r="O328">
        <v>1</v>
      </c>
      <c r="P328" t="s">
        <v>49</v>
      </c>
      <c r="Q328" t="s">
        <v>50</v>
      </c>
      <c r="R328">
        <v>0</v>
      </c>
      <c r="S328">
        <v>8</v>
      </c>
      <c r="T328" t="s">
        <v>44</v>
      </c>
      <c r="U328" t="s">
        <v>79</v>
      </c>
      <c r="V328" t="s">
        <v>61</v>
      </c>
      <c r="W328" s="1">
        <v>45441</v>
      </c>
      <c r="X328" t="b">
        <v>0</v>
      </c>
      <c r="Y328" t="b">
        <v>1</v>
      </c>
      <c r="Z328" t="s">
        <v>74</v>
      </c>
      <c r="AA328" t="s">
        <v>67</v>
      </c>
      <c r="AB328">
        <v>2</v>
      </c>
    </row>
    <row r="329" spans="1:28" x14ac:dyDescent="0.25">
      <c r="A329" t="s">
        <v>740</v>
      </c>
      <c r="B329">
        <v>27</v>
      </c>
      <c r="C329" t="s">
        <v>29</v>
      </c>
      <c r="D329" t="s">
        <v>44</v>
      </c>
      <c r="E329" t="s">
        <v>55</v>
      </c>
      <c r="F329" t="s">
        <v>32</v>
      </c>
      <c r="G329" t="s">
        <v>44</v>
      </c>
      <c r="H329" t="s">
        <v>645</v>
      </c>
      <c r="I329" t="s">
        <v>120</v>
      </c>
      <c r="J329">
        <v>280.2</v>
      </c>
      <c r="K329">
        <v>3</v>
      </c>
      <c r="L329" t="s">
        <v>48</v>
      </c>
      <c r="M329">
        <v>4</v>
      </c>
      <c r="N329">
        <v>2</v>
      </c>
      <c r="O329">
        <v>0</v>
      </c>
      <c r="P329" t="s">
        <v>49</v>
      </c>
      <c r="Q329" t="s">
        <v>37</v>
      </c>
      <c r="R329">
        <v>2</v>
      </c>
      <c r="S329">
        <v>7</v>
      </c>
      <c r="T329" t="s">
        <v>36</v>
      </c>
      <c r="U329" t="s">
        <v>79</v>
      </c>
      <c r="V329" t="s">
        <v>66</v>
      </c>
      <c r="W329" s="1">
        <v>45629</v>
      </c>
      <c r="X329" t="b">
        <v>0</v>
      </c>
      <c r="Y329" t="b">
        <v>0</v>
      </c>
      <c r="Z329" t="s">
        <v>40</v>
      </c>
      <c r="AA329" t="s">
        <v>41</v>
      </c>
      <c r="AB329">
        <v>13</v>
      </c>
    </row>
    <row r="330" spans="1:28" x14ac:dyDescent="0.25">
      <c r="A330" t="s">
        <v>741</v>
      </c>
      <c r="B330">
        <v>36</v>
      </c>
      <c r="C330" t="s">
        <v>29</v>
      </c>
      <c r="D330" t="s">
        <v>30</v>
      </c>
      <c r="E330" t="s">
        <v>55</v>
      </c>
      <c r="F330" t="s">
        <v>56</v>
      </c>
      <c r="G330" t="s">
        <v>30</v>
      </c>
      <c r="H330" t="s">
        <v>742</v>
      </c>
      <c r="I330" t="s">
        <v>142</v>
      </c>
      <c r="J330">
        <v>178.04</v>
      </c>
      <c r="K330">
        <v>5</v>
      </c>
      <c r="L330" t="s">
        <v>35</v>
      </c>
      <c r="M330">
        <v>1</v>
      </c>
      <c r="N330">
        <v>1</v>
      </c>
      <c r="O330">
        <v>2</v>
      </c>
      <c r="P330" t="s">
        <v>36</v>
      </c>
      <c r="Q330" t="s">
        <v>37</v>
      </c>
      <c r="R330">
        <v>2</v>
      </c>
      <c r="S330">
        <v>10</v>
      </c>
      <c r="T330" t="s">
        <v>44</v>
      </c>
      <c r="U330" t="s">
        <v>60</v>
      </c>
      <c r="V330" t="s">
        <v>39</v>
      </c>
      <c r="W330" s="1">
        <v>45554</v>
      </c>
      <c r="X330" t="b">
        <v>1</v>
      </c>
      <c r="Y330" t="b">
        <v>1</v>
      </c>
      <c r="Z330" t="s">
        <v>62</v>
      </c>
      <c r="AA330" t="s">
        <v>67</v>
      </c>
      <c r="AB330">
        <v>11</v>
      </c>
    </row>
    <row r="331" spans="1:28" x14ac:dyDescent="0.25">
      <c r="A331" t="s">
        <v>743</v>
      </c>
      <c r="B331">
        <v>37</v>
      </c>
      <c r="C331" t="s">
        <v>43</v>
      </c>
      <c r="D331" t="s">
        <v>44</v>
      </c>
      <c r="E331" t="s">
        <v>31</v>
      </c>
      <c r="F331" t="s">
        <v>56</v>
      </c>
      <c r="G331" t="s">
        <v>30</v>
      </c>
      <c r="H331" t="s">
        <v>744</v>
      </c>
      <c r="I331" t="s">
        <v>114</v>
      </c>
      <c r="J331">
        <v>347.99</v>
      </c>
      <c r="K331">
        <v>5</v>
      </c>
      <c r="L331" t="s">
        <v>35</v>
      </c>
      <c r="M331">
        <v>4</v>
      </c>
      <c r="N331">
        <v>4</v>
      </c>
      <c r="O331">
        <v>1</v>
      </c>
      <c r="P331" t="s">
        <v>59</v>
      </c>
      <c r="Q331" t="s">
        <v>37</v>
      </c>
      <c r="R331">
        <v>0</v>
      </c>
      <c r="S331">
        <v>1</v>
      </c>
      <c r="T331" t="s">
        <v>44</v>
      </c>
      <c r="U331" t="s">
        <v>79</v>
      </c>
      <c r="V331" t="s">
        <v>51</v>
      </c>
      <c r="W331" s="1">
        <v>45373</v>
      </c>
      <c r="X331" t="b">
        <v>1</v>
      </c>
      <c r="Y331" t="b">
        <v>0</v>
      </c>
      <c r="Z331" t="s">
        <v>74</v>
      </c>
      <c r="AA331" t="s">
        <v>53</v>
      </c>
      <c r="AB331">
        <v>6</v>
      </c>
    </row>
    <row r="332" spans="1:28" x14ac:dyDescent="0.25">
      <c r="A332" t="s">
        <v>745</v>
      </c>
      <c r="B332">
        <v>45</v>
      </c>
      <c r="C332" t="s">
        <v>29</v>
      </c>
      <c r="D332" t="s">
        <v>30</v>
      </c>
      <c r="E332" t="s">
        <v>55</v>
      </c>
      <c r="F332" t="s">
        <v>56</v>
      </c>
      <c r="G332" t="s">
        <v>44</v>
      </c>
      <c r="H332" t="s">
        <v>746</v>
      </c>
      <c r="I332" t="s">
        <v>58</v>
      </c>
      <c r="J332">
        <v>343.81</v>
      </c>
      <c r="K332">
        <v>3</v>
      </c>
      <c r="L332" t="s">
        <v>48</v>
      </c>
      <c r="M332">
        <v>3</v>
      </c>
      <c r="N332">
        <v>5</v>
      </c>
      <c r="O332">
        <v>0</v>
      </c>
      <c r="P332" t="s">
        <v>44</v>
      </c>
      <c r="Q332" t="s">
        <v>37</v>
      </c>
      <c r="R332">
        <v>0</v>
      </c>
      <c r="S332">
        <v>7</v>
      </c>
      <c r="T332" t="s">
        <v>49</v>
      </c>
      <c r="U332" t="s">
        <v>79</v>
      </c>
      <c r="V332" t="s">
        <v>39</v>
      </c>
      <c r="W332" s="1">
        <v>45344</v>
      </c>
      <c r="X332" t="b">
        <v>0</v>
      </c>
      <c r="Y332" t="b">
        <v>1</v>
      </c>
      <c r="Z332" t="s">
        <v>40</v>
      </c>
      <c r="AA332" t="s">
        <v>53</v>
      </c>
      <c r="AB332">
        <v>3</v>
      </c>
    </row>
    <row r="333" spans="1:28" x14ac:dyDescent="0.25">
      <c r="A333" t="s">
        <v>747</v>
      </c>
      <c r="B333">
        <v>47</v>
      </c>
      <c r="C333" t="s">
        <v>29</v>
      </c>
      <c r="D333" t="s">
        <v>30</v>
      </c>
      <c r="E333" t="s">
        <v>31</v>
      </c>
      <c r="F333" t="s">
        <v>56</v>
      </c>
      <c r="G333" t="s">
        <v>30</v>
      </c>
      <c r="H333" t="s">
        <v>748</v>
      </c>
      <c r="I333" t="s">
        <v>101</v>
      </c>
      <c r="J333">
        <v>105.29</v>
      </c>
      <c r="K333">
        <v>7</v>
      </c>
      <c r="L333" t="s">
        <v>48</v>
      </c>
      <c r="M333">
        <v>2</v>
      </c>
      <c r="N333">
        <v>5</v>
      </c>
      <c r="O333">
        <v>0</v>
      </c>
      <c r="P333" t="s">
        <v>59</v>
      </c>
      <c r="Q333" t="s">
        <v>85</v>
      </c>
      <c r="R333">
        <v>0</v>
      </c>
      <c r="S333">
        <v>1</v>
      </c>
      <c r="T333" t="s">
        <v>44</v>
      </c>
      <c r="U333" t="s">
        <v>79</v>
      </c>
      <c r="V333" t="s">
        <v>86</v>
      </c>
      <c r="W333" s="1">
        <v>45651</v>
      </c>
      <c r="X333" t="b">
        <v>0</v>
      </c>
      <c r="Y333" t="b">
        <v>1</v>
      </c>
      <c r="Z333" t="s">
        <v>40</v>
      </c>
      <c r="AA333" t="s">
        <v>67</v>
      </c>
      <c r="AB333">
        <v>4</v>
      </c>
    </row>
    <row r="334" spans="1:28" x14ac:dyDescent="0.25">
      <c r="A334" t="s">
        <v>749</v>
      </c>
      <c r="B334">
        <v>32</v>
      </c>
      <c r="C334" t="s">
        <v>43</v>
      </c>
      <c r="D334" t="s">
        <v>30</v>
      </c>
      <c r="E334" t="s">
        <v>55</v>
      </c>
      <c r="F334" t="s">
        <v>45</v>
      </c>
      <c r="G334" t="s">
        <v>30</v>
      </c>
      <c r="H334" t="s">
        <v>750</v>
      </c>
      <c r="I334" t="s">
        <v>107</v>
      </c>
      <c r="J334">
        <v>483.66</v>
      </c>
      <c r="K334">
        <v>3</v>
      </c>
      <c r="L334" t="s">
        <v>78</v>
      </c>
      <c r="M334">
        <v>1</v>
      </c>
      <c r="N334">
        <v>4</v>
      </c>
      <c r="O334">
        <v>1</v>
      </c>
      <c r="P334" t="s">
        <v>49</v>
      </c>
      <c r="Q334" t="s">
        <v>50</v>
      </c>
      <c r="R334">
        <v>2</v>
      </c>
      <c r="S334">
        <v>1</v>
      </c>
      <c r="T334" t="s">
        <v>49</v>
      </c>
      <c r="U334" t="s">
        <v>79</v>
      </c>
      <c r="V334" t="s">
        <v>66</v>
      </c>
      <c r="W334" s="1">
        <v>45531</v>
      </c>
      <c r="X334" t="b">
        <v>0</v>
      </c>
      <c r="Y334" t="b">
        <v>0</v>
      </c>
      <c r="Z334" t="s">
        <v>62</v>
      </c>
      <c r="AA334" t="s">
        <v>53</v>
      </c>
      <c r="AB334">
        <v>9</v>
      </c>
    </row>
    <row r="335" spans="1:28" x14ac:dyDescent="0.25">
      <c r="A335" t="s">
        <v>751</v>
      </c>
      <c r="B335">
        <v>48</v>
      </c>
      <c r="C335" t="s">
        <v>43</v>
      </c>
      <c r="D335" t="s">
        <v>30</v>
      </c>
      <c r="E335" t="s">
        <v>31</v>
      </c>
      <c r="F335" t="s">
        <v>32</v>
      </c>
      <c r="G335" t="s">
        <v>30</v>
      </c>
      <c r="H335" t="s">
        <v>752</v>
      </c>
      <c r="I335" t="s">
        <v>65</v>
      </c>
      <c r="J335">
        <v>69.41</v>
      </c>
      <c r="K335">
        <v>8</v>
      </c>
      <c r="L335" t="s">
        <v>35</v>
      </c>
      <c r="M335">
        <v>5</v>
      </c>
      <c r="N335">
        <v>3</v>
      </c>
      <c r="O335">
        <v>0</v>
      </c>
      <c r="P335" t="s">
        <v>44</v>
      </c>
      <c r="Q335" t="s">
        <v>37</v>
      </c>
      <c r="R335">
        <v>1</v>
      </c>
      <c r="S335">
        <v>9</v>
      </c>
      <c r="T335" t="s">
        <v>44</v>
      </c>
      <c r="U335" t="s">
        <v>38</v>
      </c>
      <c r="V335" t="s">
        <v>86</v>
      </c>
      <c r="W335" s="1">
        <v>45319</v>
      </c>
      <c r="X335" t="b">
        <v>0</v>
      </c>
      <c r="Y335" t="b">
        <v>0</v>
      </c>
      <c r="Z335" t="s">
        <v>52</v>
      </c>
      <c r="AA335" t="s">
        <v>53</v>
      </c>
      <c r="AB335">
        <v>5</v>
      </c>
    </row>
    <row r="336" spans="1:28" x14ac:dyDescent="0.25">
      <c r="A336" t="s">
        <v>753</v>
      </c>
      <c r="B336">
        <v>20</v>
      </c>
      <c r="C336" t="s">
        <v>148</v>
      </c>
      <c r="D336" t="s">
        <v>44</v>
      </c>
      <c r="E336" t="s">
        <v>55</v>
      </c>
      <c r="F336" t="s">
        <v>56</v>
      </c>
      <c r="G336" t="s">
        <v>30</v>
      </c>
      <c r="H336" t="s">
        <v>754</v>
      </c>
      <c r="I336" t="s">
        <v>126</v>
      </c>
      <c r="J336">
        <v>207.18</v>
      </c>
      <c r="K336">
        <v>11</v>
      </c>
      <c r="L336" t="s">
        <v>78</v>
      </c>
      <c r="M336">
        <v>1</v>
      </c>
      <c r="N336">
        <v>3</v>
      </c>
      <c r="O336">
        <v>0</v>
      </c>
      <c r="P336" t="s">
        <v>59</v>
      </c>
      <c r="Q336" t="s">
        <v>37</v>
      </c>
      <c r="R336">
        <v>1</v>
      </c>
      <c r="S336">
        <v>5</v>
      </c>
      <c r="T336" t="s">
        <v>44</v>
      </c>
      <c r="U336" t="s">
        <v>38</v>
      </c>
      <c r="V336" t="s">
        <v>51</v>
      </c>
      <c r="W336" s="1">
        <v>45612</v>
      </c>
      <c r="X336" t="b">
        <v>0</v>
      </c>
      <c r="Y336" t="b">
        <v>0</v>
      </c>
      <c r="Z336" t="s">
        <v>52</v>
      </c>
      <c r="AA336" t="s">
        <v>53</v>
      </c>
      <c r="AB336">
        <v>8</v>
      </c>
    </row>
    <row r="337" spans="1:28" x14ac:dyDescent="0.25">
      <c r="A337" t="s">
        <v>755</v>
      </c>
      <c r="B337">
        <v>32</v>
      </c>
      <c r="C337" t="s">
        <v>43</v>
      </c>
      <c r="D337" t="s">
        <v>30</v>
      </c>
      <c r="E337" t="s">
        <v>76</v>
      </c>
      <c r="F337" t="s">
        <v>45</v>
      </c>
      <c r="G337" t="s">
        <v>44</v>
      </c>
      <c r="H337" t="s">
        <v>756</v>
      </c>
      <c r="I337" t="s">
        <v>142</v>
      </c>
      <c r="J337">
        <v>454.15</v>
      </c>
      <c r="K337">
        <v>11</v>
      </c>
      <c r="L337" t="s">
        <v>48</v>
      </c>
      <c r="M337">
        <v>2</v>
      </c>
      <c r="N337">
        <v>1</v>
      </c>
      <c r="O337">
        <v>1</v>
      </c>
      <c r="P337" t="s">
        <v>44</v>
      </c>
      <c r="Q337" t="s">
        <v>50</v>
      </c>
      <c r="R337">
        <v>1</v>
      </c>
      <c r="S337">
        <v>8</v>
      </c>
      <c r="T337" t="s">
        <v>44</v>
      </c>
      <c r="U337" t="s">
        <v>60</v>
      </c>
      <c r="V337" t="s">
        <v>86</v>
      </c>
      <c r="W337" s="1">
        <v>45634</v>
      </c>
      <c r="X337" t="b">
        <v>1</v>
      </c>
      <c r="Y337" t="b">
        <v>1</v>
      </c>
      <c r="Z337" t="s">
        <v>74</v>
      </c>
      <c r="AA337" t="s">
        <v>67</v>
      </c>
      <c r="AB337">
        <v>13</v>
      </c>
    </row>
    <row r="338" spans="1:28" x14ac:dyDescent="0.25">
      <c r="A338" t="s">
        <v>757</v>
      </c>
      <c r="B338">
        <v>25</v>
      </c>
      <c r="C338" t="s">
        <v>43</v>
      </c>
      <c r="D338" t="s">
        <v>44</v>
      </c>
      <c r="E338" t="s">
        <v>69</v>
      </c>
      <c r="F338" t="s">
        <v>45</v>
      </c>
      <c r="G338" t="s">
        <v>44</v>
      </c>
      <c r="H338" t="s">
        <v>758</v>
      </c>
      <c r="I338" t="s">
        <v>158</v>
      </c>
      <c r="J338">
        <v>113.01</v>
      </c>
      <c r="K338">
        <v>11</v>
      </c>
      <c r="L338" t="s">
        <v>48</v>
      </c>
      <c r="M338">
        <v>5</v>
      </c>
      <c r="N338">
        <v>2</v>
      </c>
      <c r="O338">
        <v>2</v>
      </c>
      <c r="P338" t="s">
        <v>59</v>
      </c>
      <c r="Q338" t="s">
        <v>85</v>
      </c>
      <c r="R338">
        <v>1</v>
      </c>
      <c r="S338">
        <v>1</v>
      </c>
      <c r="T338" t="s">
        <v>36</v>
      </c>
      <c r="U338" t="s">
        <v>38</v>
      </c>
      <c r="V338" t="s">
        <v>39</v>
      </c>
      <c r="W338" s="1">
        <v>45427</v>
      </c>
      <c r="X338" t="b">
        <v>0</v>
      </c>
      <c r="Y338" t="b">
        <v>1</v>
      </c>
      <c r="Z338" t="s">
        <v>62</v>
      </c>
      <c r="AA338" t="s">
        <v>67</v>
      </c>
      <c r="AB338">
        <v>4</v>
      </c>
    </row>
    <row r="339" spans="1:28" x14ac:dyDescent="0.25">
      <c r="A339" t="s">
        <v>759</v>
      </c>
      <c r="B339">
        <v>42</v>
      </c>
      <c r="C339" t="s">
        <v>43</v>
      </c>
      <c r="D339" t="s">
        <v>30</v>
      </c>
      <c r="E339" t="s">
        <v>76</v>
      </c>
      <c r="F339" t="s">
        <v>32</v>
      </c>
      <c r="G339" t="s">
        <v>30</v>
      </c>
      <c r="H339" t="s">
        <v>760</v>
      </c>
      <c r="I339" t="s">
        <v>114</v>
      </c>
      <c r="J339">
        <v>419.13</v>
      </c>
      <c r="K339">
        <v>4</v>
      </c>
      <c r="L339" t="s">
        <v>35</v>
      </c>
      <c r="M339">
        <v>3</v>
      </c>
      <c r="N339">
        <v>5</v>
      </c>
      <c r="O339">
        <v>1</v>
      </c>
      <c r="P339" t="s">
        <v>36</v>
      </c>
      <c r="Q339" t="s">
        <v>50</v>
      </c>
      <c r="R339">
        <v>0</v>
      </c>
      <c r="S339">
        <v>1</v>
      </c>
      <c r="T339" t="s">
        <v>36</v>
      </c>
      <c r="U339" t="s">
        <v>60</v>
      </c>
      <c r="V339" t="s">
        <v>86</v>
      </c>
      <c r="W339" s="1">
        <v>45507</v>
      </c>
      <c r="X339" t="b">
        <v>0</v>
      </c>
      <c r="Y339" t="b">
        <v>1</v>
      </c>
      <c r="Z339" t="s">
        <v>52</v>
      </c>
      <c r="AA339" t="s">
        <v>67</v>
      </c>
      <c r="AB339">
        <v>6</v>
      </c>
    </row>
    <row r="340" spans="1:28" x14ac:dyDescent="0.25">
      <c r="A340" t="s">
        <v>761</v>
      </c>
      <c r="B340">
        <v>37</v>
      </c>
      <c r="C340" t="s">
        <v>29</v>
      </c>
      <c r="D340" t="s">
        <v>44</v>
      </c>
      <c r="E340" t="s">
        <v>55</v>
      </c>
      <c r="F340" t="s">
        <v>32</v>
      </c>
      <c r="G340" t="s">
        <v>44</v>
      </c>
      <c r="H340" t="s">
        <v>762</v>
      </c>
      <c r="I340" t="s">
        <v>246</v>
      </c>
      <c r="J340">
        <v>183.86</v>
      </c>
      <c r="K340">
        <v>5</v>
      </c>
      <c r="L340" t="s">
        <v>35</v>
      </c>
      <c r="M340">
        <v>1</v>
      </c>
      <c r="N340">
        <v>1</v>
      </c>
      <c r="O340">
        <v>2</v>
      </c>
      <c r="P340" t="s">
        <v>49</v>
      </c>
      <c r="Q340" t="s">
        <v>50</v>
      </c>
      <c r="R340">
        <v>1</v>
      </c>
      <c r="S340">
        <v>4</v>
      </c>
      <c r="T340" t="s">
        <v>59</v>
      </c>
      <c r="U340" t="s">
        <v>60</v>
      </c>
      <c r="V340" t="s">
        <v>61</v>
      </c>
      <c r="W340" s="1">
        <v>45572</v>
      </c>
      <c r="X340" t="b">
        <v>0</v>
      </c>
      <c r="Y340" t="b">
        <v>1</v>
      </c>
      <c r="Z340" t="s">
        <v>52</v>
      </c>
      <c r="AA340" t="s">
        <v>53</v>
      </c>
      <c r="AB340">
        <v>3</v>
      </c>
    </row>
    <row r="341" spans="1:28" x14ac:dyDescent="0.25">
      <c r="A341" t="s">
        <v>763</v>
      </c>
      <c r="B341">
        <v>21</v>
      </c>
      <c r="C341" t="s">
        <v>148</v>
      </c>
      <c r="D341" t="s">
        <v>30</v>
      </c>
      <c r="E341" t="s">
        <v>69</v>
      </c>
      <c r="F341" t="s">
        <v>56</v>
      </c>
      <c r="G341" t="s">
        <v>30</v>
      </c>
      <c r="H341" t="s">
        <v>764</v>
      </c>
      <c r="I341" t="s">
        <v>114</v>
      </c>
      <c r="J341">
        <v>53.87</v>
      </c>
      <c r="K341">
        <v>10</v>
      </c>
      <c r="L341" t="s">
        <v>48</v>
      </c>
      <c r="M341">
        <v>4</v>
      </c>
      <c r="N341">
        <v>3</v>
      </c>
      <c r="O341">
        <v>0</v>
      </c>
      <c r="P341" t="s">
        <v>49</v>
      </c>
      <c r="Q341" t="s">
        <v>85</v>
      </c>
      <c r="R341">
        <v>0</v>
      </c>
      <c r="S341">
        <v>10</v>
      </c>
      <c r="T341" t="s">
        <v>44</v>
      </c>
      <c r="U341" t="s">
        <v>38</v>
      </c>
      <c r="V341" t="s">
        <v>86</v>
      </c>
      <c r="W341" s="1">
        <v>45468</v>
      </c>
      <c r="X341" t="b">
        <v>1</v>
      </c>
      <c r="Y341" t="b">
        <v>0</v>
      </c>
      <c r="Z341" t="s">
        <v>74</v>
      </c>
      <c r="AA341" t="s">
        <v>41</v>
      </c>
      <c r="AB341">
        <v>2</v>
      </c>
    </row>
    <row r="342" spans="1:28" x14ac:dyDescent="0.25">
      <c r="A342" t="s">
        <v>765</v>
      </c>
      <c r="B342">
        <v>43</v>
      </c>
      <c r="C342" t="s">
        <v>29</v>
      </c>
      <c r="D342" t="s">
        <v>44</v>
      </c>
      <c r="E342" t="s">
        <v>69</v>
      </c>
      <c r="F342" t="s">
        <v>32</v>
      </c>
      <c r="G342" t="s">
        <v>44</v>
      </c>
      <c r="H342" t="s">
        <v>766</v>
      </c>
      <c r="I342" t="s">
        <v>47</v>
      </c>
      <c r="J342">
        <v>427.82</v>
      </c>
      <c r="K342">
        <v>9</v>
      </c>
      <c r="L342" t="s">
        <v>48</v>
      </c>
      <c r="M342">
        <v>5</v>
      </c>
      <c r="N342">
        <v>5</v>
      </c>
      <c r="O342">
        <v>0</v>
      </c>
      <c r="P342" t="s">
        <v>49</v>
      </c>
      <c r="Q342" t="s">
        <v>37</v>
      </c>
      <c r="R342">
        <v>1</v>
      </c>
      <c r="S342">
        <v>2</v>
      </c>
      <c r="T342" t="s">
        <v>49</v>
      </c>
      <c r="U342" t="s">
        <v>79</v>
      </c>
      <c r="V342" t="s">
        <v>51</v>
      </c>
      <c r="W342" s="1">
        <v>45386</v>
      </c>
      <c r="X342" t="b">
        <v>1</v>
      </c>
      <c r="Y342" t="b">
        <v>0</v>
      </c>
      <c r="Z342" t="s">
        <v>52</v>
      </c>
      <c r="AA342" t="s">
        <v>41</v>
      </c>
      <c r="AB342">
        <v>14</v>
      </c>
    </row>
    <row r="343" spans="1:28" x14ac:dyDescent="0.25">
      <c r="A343" t="s">
        <v>767</v>
      </c>
      <c r="B343">
        <v>29</v>
      </c>
      <c r="C343" t="s">
        <v>29</v>
      </c>
      <c r="D343" t="s">
        <v>44</v>
      </c>
      <c r="E343" t="s">
        <v>76</v>
      </c>
      <c r="F343" t="s">
        <v>32</v>
      </c>
      <c r="G343" t="s">
        <v>30</v>
      </c>
      <c r="H343" t="s">
        <v>768</v>
      </c>
      <c r="I343" t="s">
        <v>114</v>
      </c>
      <c r="J343">
        <v>282.82</v>
      </c>
      <c r="K343">
        <v>6</v>
      </c>
      <c r="L343" t="s">
        <v>48</v>
      </c>
      <c r="M343">
        <v>5</v>
      </c>
      <c r="N343">
        <v>3</v>
      </c>
      <c r="O343">
        <v>2</v>
      </c>
      <c r="P343" t="s">
        <v>49</v>
      </c>
      <c r="Q343" t="s">
        <v>85</v>
      </c>
      <c r="R343">
        <v>2</v>
      </c>
      <c r="S343">
        <v>7</v>
      </c>
      <c r="T343" t="s">
        <v>36</v>
      </c>
      <c r="U343" t="s">
        <v>79</v>
      </c>
      <c r="V343" t="s">
        <v>66</v>
      </c>
      <c r="W343" s="1">
        <v>45351</v>
      </c>
      <c r="X343" t="b">
        <v>0</v>
      </c>
      <c r="Y343" t="b">
        <v>1</v>
      </c>
      <c r="Z343" t="s">
        <v>52</v>
      </c>
      <c r="AA343" t="s">
        <v>53</v>
      </c>
      <c r="AB343">
        <v>3</v>
      </c>
    </row>
    <row r="344" spans="1:28" x14ac:dyDescent="0.25">
      <c r="A344" t="s">
        <v>769</v>
      </c>
      <c r="B344">
        <v>28</v>
      </c>
      <c r="C344" t="s">
        <v>43</v>
      </c>
      <c r="D344" t="s">
        <v>30</v>
      </c>
      <c r="E344" t="s">
        <v>76</v>
      </c>
      <c r="F344" t="s">
        <v>56</v>
      </c>
      <c r="G344" t="s">
        <v>30</v>
      </c>
      <c r="H344" t="s">
        <v>770</v>
      </c>
      <c r="I344" t="s">
        <v>117</v>
      </c>
      <c r="J344">
        <v>215.31</v>
      </c>
      <c r="K344">
        <v>7</v>
      </c>
      <c r="L344" t="s">
        <v>78</v>
      </c>
      <c r="M344">
        <v>5</v>
      </c>
      <c r="N344">
        <v>5</v>
      </c>
      <c r="O344">
        <v>2</v>
      </c>
      <c r="P344" t="s">
        <v>49</v>
      </c>
      <c r="Q344" t="s">
        <v>37</v>
      </c>
      <c r="R344">
        <v>1</v>
      </c>
      <c r="S344">
        <v>8</v>
      </c>
      <c r="T344" t="s">
        <v>49</v>
      </c>
      <c r="U344" t="s">
        <v>60</v>
      </c>
      <c r="V344" t="s">
        <v>66</v>
      </c>
      <c r="W344" s="1">
        <v>45391</v>
      </c>
      <c r="X344" t="b">
        <v>0</v>
      </c>
      <c r="Y344" t="b">
        <v>1</v>
      </c>
      <c r="Z344" t="s">
        <v>62</v>
      </c>
      <c r="AA344" t="s">
        <v>41</v>
      </c>
      <c r="AB344">
        <v>7</v>
      </c>
    </row>
    <row r="345" spans="1:28" x14ac:dyDescent="0.25">
      <c r="A345" t="s">
        <v>771</v>
      </c>
      <c r="B345">
        <v>43</v>
      </c>
      <c r="C345" t="s">
        <v>43</v>
      </c>
      <c r="D345" t="s">
        <v>30</v>
      </c>
      <c r="E345" t="s">
        <v>69</v>
      </c>
      <c r="F345" t="s">
        <v>56</v>
      </c>
      <c r="G345" t="s">
        <v>44</v>
      </c>
      <c r="H345" t="s">
        <v>772</v>
      </c>
      <c r="I345" t="s">
        <v>71</v>
      </c>
      <c r="J345">
        <v>183.66</v>
      </c>
      <c r="K345">
        <v>11</v>
      </c>
      <c r="L345" t="s">
        <v>78</v>
      </c>
      <c r="M345">
        <v>3</v>
      </c>
      <c r="N345">
        <v>1</v>
      </c>
      <c r="O345">
        <v>1</v>
      </c>
      <c r="P345" t="s">
        <v>59</v>
      </c>
      <c r="Q345" t="s">
        <v>85</v>
      </c>
      <c r="R345">
        <v>0</v>
      </c>
      <c r="S345">
        <v>10</v>
      </c>
      <c r="T345" t="s">
        <v>49</v>
      </c>
      <c r="U345" t="s">
        <v>38</v>
      </c>
      <c r="V345" t="s">
        <v>39</v>
      </c>
      <c r="W345" s="1">
        <v>45400</v>
      </c>
      <c r="X345" t="b">
        <v>1</v>
      </c>
      <c r="Y345" t="b">
        <v>1</v>
      </c>
      <c r="Z345" t="s">
        <v>74</v>
      </c>
      <c r="AA345" t="s">
        <v>41</v>
      </c>
      <c r="AB345">
        <v>6</v>
      </c>
    </row>
    <row r="346" spans="1:28" x14ac:dyDescent="0.25">
      <c r="A346" t="s">
        <v>773</v>
      </c>
      <c r="B346">
        <v>48</v>
      </c>
      <c r="C346" t="s">
        <v>29</v>
      </c>
      <c r="D346" t="s">
        <v>44</v>
      </c>
      <c r="E346" t="s">
        <v>76</v>
      </c>
      <c r="F346" t="s">
        <v>45</v>
      </c>
      <c r="G346" t="s">
        <v>30</v>
      </c>
      <c r="H346" t="s">
        <v>774</v>
      </c>
      <c r="I346" t="s">
        <v>123</v>
      </c>
      <c r="J346">
        <v>198.73</v>
      </c>
      <c r="K346">
        <v>10</v>
      </c>
      <c r="L346" t="s">
        <v>48</v>
      </c>
      <c r="M346">
        <v>1</v>
      </c>
      <c r="N346">
        <v>5</v>
      </c>
      <c r="O346">
        <v>2</v>
      </c>
      <c r="P346" t="s">
        <v>44</v>
      </c>
      <c r="Q346" t="s">
        <v>85</v>
      </c>
      <c r="R346">
        <v>1</v>
      </c>
      <c r="S346">
        <v>5</v>
      </c>
      <c r="T346" t="s">
        <v>36</v>
      </c>
      <c r="U346" t="s">
        <v>79</v>
      </c>
      <c r="V346" t="s">
        <v>66</v>
      </c>
      <c r="W346" s="1">
        <v>45324</v>
      </c>
      <c r="X346" t="b">
        <v>1</v>
      </c>
      <c r="Y346" t="b">
        <v>0</v>
      </c>
      <c r="Z346" t="s">
        <v>62</v>
      </c>
      <c r="AA346" t="s">
        <v>53</v>
      </c>
      <c r="AB346">
        <v>4</v>
      </c>
    </row>
    <row r="347" spans="1:28" x14ac:dyDescent="0.25">
      <c r="A347" t="s">
        <v>775</v>
      </c>
      <c r="B347">
        <v>26</v>
      </c>
      <c r="C347" t="s">
        <v>29</v>
      </c>
      <c r="D347" t="s">
        <v>30</v>
      </c>
      <c r="E347" t="s">
        <v>31</v>
      </c>
      <c r="F347" t="s">
        <v>45</v>
      </c>
      <c r="G347" t="s">
        <v>44</v>
      </c>
      <c r="H347" t="s">
        <v>776</v>
      </c>
      <c r="I347" t="s">
        <v>194</v>
      </c>
      <c r="J347">
        <v>265.72000000000003</v>
      </c>
      <c r="K347">
        <v>5</v>
      </c>
      <c r="L347" t="s">
        <v>35</v>
      </c>
      <c r="M347">
        <v>5</v>
      </c>
      <c r="N347">
        <v>4</v>
      </c>
      <c r="O347">
        <v>0</v>
      </c>
      <c r="P347" t="s">
        <v>36</v>
      </c>
      <c r="Q347" t="s">
        <v>85</v>
      </c>
      <c r="R347">
        <v>0</v>
      </c>
      <c r="S347">
        <v>9</v>
      </c>
      <c r="T347" t="s">
        <v>36</v>
      </c>
      <c r="U347" t="s">
        <v>38</v>
      </c>
      <c r="V347" t="s">
        <v>61</v>
      </c>
      <c r="W347" s="1">
        <v>45404</v>
      </c>
      <c r="X347" t="b">
        <v>1</v>
      </c>
      <c r="Y347" t="b">
        <v>1</v>
      </c>
      <c r="Z347" t="s">
        <v>74</v>
      </c>
      <c r="AA347" t="s">
        <v>67</v>
      </c>
      <c r="AB347">
        <v>13</v>
      </c>
    </row>
    <row r="348" spans="1:28" x14ac:dyDescent="0.25">
      <c r="A348" t="s">
        <v>777</v>
      </c>
      <c r="B348">
        <v>42</v>
      </c>
      <c r="C348" t="s">
        <v>43</v>
      </c>
      <c r="D348" t="s">
        <v>30</v>
      </c>
      <c r="E348" t="s">
        <v>31</v>
      </c>
      <c r="F348" t="s">
        <v>56</v>
      </c>
      <c r="G348" t="s">
        <v>44</v>
      </c>
      <c r="H348" t="s">
        <v>778</v>
      </c>
      <c r="I348" t="s">
        <v>120</v>
      </c>
      <c r="J348">
        <v>138.35</v>
      </c>
      <c r="K348">
        <v>2</v>
      </c>
      <c r="L348" t="s">
        <v>78</v>
      </c>
      <c r="M348">
        <v>4</v>
      </c>
      <c r="N348">
        <v>5</v>
      </c>
      <c r="O348">
        <v>2</v>
      </c>
      <c r="P348" t="s">
        <v>59</v>
      </c>
      <c r="Q348" t="s">
        <v>50</v>
      </c>
      <c r="R348">
        <v>0</v>
      </c>
      <c r="S348">
        <v>2</v>
      </c>
      <c r="T348" t="s">
        <v>59</v>
      </c>
      <c r="U348" t="s">
        <v>60</v>
      </c>
      <c r="V348" t="s">
        <v>66</v>
      </c>
      <c r="W348" s="1">
        <v>45487</v>
      </c>
      <c r="X348" t="b">
        <v>1</v>
      </c>
      <c r="Y348" t="b">
        <v>1</v>
      </c>
      <c r="Z348" t="s">
        <v>52</v>
      </c>
      <c r="AA348" t="s">
        <v>41</v>
      </c>
      <c r="AB348">
        <v>8</v>
      </c>
    </row>
    <row r="349" spans="1:28" x14ac:dyDescent="0.25">
      <c r="A349" t="s">
        <v>779</v>
      </c>
      <c r="B349">
        <v>27</v>
      </c>
      <c r="C349" t="s">
        <v>43</v>
      </c>
      <c r="D349" t="s">
        <v>30</v>
      </c>
      <c r="E349" t="s">
        <v>76</v>
      </c>
      <c r="F349" t="s">
        <v>32</v>
      </c>
      <c r="G349" t="s">
        <v>30</v>
      </c>
      <c r="H349" t="s">
        <v>780</v>
      </c>
      <c r="I349" t="s">
        <v>158</v>
      </c>
      <c r="J349">
        <v>441.87</v>
      </c>
      <c r="K349">
        <v>3</v>
      </c>
      <c r="L349" t="s">
        <v>35</v>
      </c>
      <c r="M349">
        <v>1</v>
      </c>
      <c r="N349">
        <v>2</v>
      </c>
      <c r="O349">
        <v>1</v>
      </c>
      <c r="P349" t="s">
        <v>44</v>
      </c>
      <c r="Q349" t="s">
        <v>37</v>
      </c>
      <c r="R349">
        <v>0</v>
      </c>
      <c r="S349">
        <v>10</v>
      </c>
      <c r="T349" t="s">
        <v>49</v>
      </c>
      <c r="U349" t="s">
        <v>60</v>
      </c>
      <c r="V349" t="s">
        <v>51</v>
      </c>
      <c r="W349" s="1">
        <v>45545</v>
      </c>
      <c r="X349" t="b">
        <v>1</v>
      </c>
      <c r="Y349" t="b">
        <v>0</v>
      </c>
      <c r="Z349" t="s">
        <v>52</v>
      </c>
      <c r="AA349" t="s">
        <v>41</v>
      </c>
      <c r="AB349">
        <v>13</v>
      </c>
    </row>
    <row r="350" spans="1:28" x14ac:dyDescent="0.25">
      <c r="A350" t="s">
        <v>781</v>
      </c>
      <c r="B350">
        <v>40</v>
      </c>
      <c r="C350" t="s">
        <v>29</v>
      </c>
      <c r="D350" t="s">
        <v>30</v>
      </c>
      <c r="E350" t="s">
        <v>31</v>
      </c>
      <c r="F350" t="s">
        <v>56</v>
      </c>
      <c r="G350" t="s">
        <v>30</v>
      </c>
      <c r="H350" t="s">
        <v>782</v>
      </c>
      <c r="I350" t="s">
        <v>183</v>
      </c>
      <c r="J350">
        <v>178.29</v>
      </c>
      <c r="K350">
        <v>4</v>
      </c>
      <c r="L350" t="s">
        <v>35</v>
      </c>
      <c r="M350">
        <v>4</v>
      </c>
      <c r="N350">
        <v>3</v>
      </c>
      <c r="O350">
        <v>2</v>
      </c>
      <c r="P350" t="s">
        <v>59</v>
      </c>
      <c r="Q350" t="s">
        <v>85</v>
      </c>
      <c r="R350">
        <v>2</v>
      </c>
      <c r="S350">
        <v>10</v>
      </c>
      <c r="T350" t="s">
        <v>44</v>
      </c>
      <c r="U350" t="s">
        <v>79</v>
      </c>
      <c r="V350" t="s">
        <v>86</v>
      </c>
      <c r="W350" s="1">
        <v>45502</v>
      </c>
      <c r="X350" t="b">
        <v>0</v>
      </c>
      <c r="Y350" t="b">
        <v>1</v>
      </c>
      <c r="Z350" t="s">
        <v>74</v>
      </c>
      <c r="AA350" t="s">
        <v>41</v>
      </c>
      <c r="AB350">
        <v>8</v>
      </c>
    </row>
    <row r="351" spans="1:28" x14ac:dyDescent="0.25">
      <c r="A351" t="s">
        <v>783</v>
      </c>
      <c r="B351">
        <v>23</v>
      </c>
      <c r="C351" t="s">
        <v>43</v>
      </c>
      <c r="D351" t="s">
        <v>30</v>
      </c>
      <c r="E351" t="s">
        <v>69</v>
      </c>
      <c r="F351" t="s">
        <v>45</v>
      </c>
      <c r="G351" t="s">
        <v>44</v>
      </c>
      <c r="H351" t="s">
        <v>784</v>
      </c>
      <c r="I351" t="s">
        <v>90</v>
      </c>
      <c r="J351">
        <v>77.08</v>
      </c>
      <c r="K351">
        <v>10</v>
      </c>
      <c r="L351" t="s">
        <v>35</v>
      </c>
      <c r="M351">
        <v>2</v>
      </c>
      <c r="N351">
        <v>1</v>
      </c>
      <c r="O351">
        <v>0</v>
      </c>
      <c r="P351" t="s">
        <v>44</v>
      </c>
      <c r="Q351" t="s">
        <v>50</v>
      </c>
      <c r="R351">
        <v>0</v>
      </c>
      <c r="S351">
        <v>8</v>
      </c>
      <c r="T351" t="s">
        <v>36</v>
      </c>
      <c r="U351" t="s">
        <v>38</v>
      </c>
      <c r="V351" t="s">
        <v>51</v>
      </c>
      <c r="W351" s="1">
        <v>45580</v>
      </c>
      <c r="X351" t="b">
        <v>1</v>
      </c>
      <c r="Y351" t="b">
        <v>1</v>
      </c>
      <c r="Z351" t="s">
        <v>62</v>
      </c>
      <c r="AA351" t="s">
        <v>53</v>
      </c>
      <c r="AB351">
        <v>1</v>
      </c>
    </row>
    <row r="352" spans="1:28" x14ac:dyDescent="0.25">
      <c r="A352" t="s">
        <v>785</v>
      </c>
      <c r="B352">
        <v>46</v>
      </c>
      <c r="C352" t="s">
        <v>43</v>
      </c>
      <c r="D352" t="s">
        <v>44</v>
      </c>
      <c r="E352" t="s">
        <v>31</v>
      </c>
      <c r="F352" t="s">
        <v>45</v>
      </c>
      <c r="G352" t="s">
        <v>44</v>
      </c>
      <c r="H352" t="s">
        <v>786</v>
      </c>
      <c r="I352" t="s">
        <v>58</v>
      </c>
      <c r="J352">
        <v>266.89999999999998</v>
      </c>
      <c r="K352">
        <v>11</v>
      </c>
      <c r="L352" t="s">
        <v>35</v>
      </c>
      <c r="M352">
        <v>4</v>
      </c>
      <c r="N352">
        <v>2</v>
      </c>
      <c r="O352">
        <v>2</v>
      </c>
      <c r="P352" t="s">
        <v>59</v>
      </c>
      <c r="Q352" t="s">
        <v>50</v>
      </c>
      <c r="R352">
        <v>1</v>
      </c>
      <c r="S352">
        <v>8</v>
      </c>
      <c r="T352" t="s">
        <v>49</v>
      </c>
      <c r="U352" t="s">
        <v>79</v>
      </c>
      <c r="V352" t="s">
        <v>51</v>
      </c>
      <c r="W352" s="1">
        <v>45474</v>
      </c>
      <c r="X352" t="b">
        <v>0</v>
      </c>
      <c r="Y352" t="b">
        <v>1</v>
      </c>
      <c r="Z352" t="s">
        <v>52</v>
      </c>
      <c r="AA352" t="s">
        <v>67</v>
      </c>
      <c r="AB352">
        <v>13</v>
      </c>
    </row>
    <row r="353" spans="1:28" x14ac:dyDescent="0.25">
      <c r="A353" t="s">
        <v>787</v>
      </c>
      <c r="B353">
        <v>38</v>
      </c>
      <c r="C353" t="s">
        <v>29</v>
      </c>
      <c r="D353" t="s">
        <v>30</v>
      </c>
      <c r="E353" t="s">
        <v>76</v>
      </c>
      <c r="F353" t="s">
        <v>32</v>
      </c>
      <c r="G353" t="s">
        <v>44</v>
      </c>
      <c r="H353" t="s">
        <v>788</v>
      </c>
      <c r="I353" t="s">
        <v>117</v>
      </c>
      <c r="J353">
        <v>269.83999999999997</v>
      </c>
      <c r="K353">
        <v>4</v>
      </c>
      <c r="L353" t="s">
        <v>48</v>
      </c>
      <c r="M353">
        <v>5</v>
      </c>
      <c r="N353">
        <v>4</v>
      </c>
      <c r="O353">
        <v>0</v>
      </c>
      <c r="P353" t="s">
        <v>59</v>
      </c>
      <c r="Q353" t="s">
        <v>50</v>
      </c>
      <c r="R353">
        <v>2</v>
      </c>
      <c r="S353">
        <v>9</v>
      </c>
      <c r="T353" t="s">
        <v>59</v>
      </c>
      <c r="U353" t="s">
        <v>38</v>
      </c>
      <c r="V353" t="s">
        <v>39</v>
      </c>
      <c r="W353" s="1">
        <v>45416</v>
      </c>
      <c r="X353" t="b">
        <v>1</v>
      </c>
      <c r="Y353" t="b">
        <v>1</v>
      </c>
      <c r="Z353" t="s">
        <v>52</v>
      </c>
      <c r="AA353" t="s">
        <v>41</v>
      </c>
      <c r="AB353">
        <v>2</v>
      </c>
    </row>
    <row r="354" spans="1:28" x14ac:dyDescent="0.25">
      <c r="A354" t="s">
        <v>789</v>
      </c>
      <c r="B354">
        <v>23</v>
      </c>
      <c r="C354" t="s">
        <v>43</v>
      </c>
      <c r="D354" t="s">
        <v>30</v>
      </c>
      <c r="E354" t="s">
        <v>31</v>
      </c>
      <c r="F354" t="s">
        <v>56</v>
      </c>
      <c r="G354" t="s">
        <v>44</v>
      </c>
      <c r="H354" t="s">
        <v>790</v>
      </c>
      <c r="I354" t="s">
        <v>65</v>
      </c>
      <c r="J354">
        <v>334.22</v>
      </c>
      <c r="K354">
        <v>8</v>
      </c>
      <c r="L354" t="s">
        <v>78</v>
      </c>
      <c r="M354">
        <v>2</v>
      </c>
      <c r="N354">
        <v>2</v>
      </c>
      <c r="O354">
        <v>2</v>
      </c>
      <c r="P354" t="s">
        <v>36</v>
      </c>
      <c r="Q354" t="s">
        <v>85</v>
      </c>
      <c r="R354">
        <v>2</v>
      </c>
      <c r="S354">
        <v>8</v>
      </c>
      <c r="T354" t="s">
        <v>36</v>
      </c>
      <c r="U354" t="s">
        <v>38</v>
      </c>
      <c r="V354" t="s">
        <v>86</v>
      </c>
      <c r="W354" s="1">
        <v>45353</v>
      </c>
      <c r="X354" t="b">
        <v>0</v>
      </c>
      <c r="Y354" t="b">
        <v>0</v>
      </c>
      <c r="Z354" t="s">
        <v>40</v>
      </c>
      <c r="AA354" t="s">
        <v>53</v>
      </c>
      <c r="AB354">
        <v>1</v>
      </c>
    </row>
    <row r="355" spans="1:28" x14ac:dyDescent="0.25">
      <c r="A355" t="s">
        <v>791</v>
      </c>
      <c r="B355">
        <v>40</v>
      </c>
      <c r="C355" t="s">
        <v>29</v>
      </c>
      <c r="D355" t="s">
        <v>30</v>
      </c>
      <c r="E355" t="s">
        <v>31</v>
      </c>
      <c r="F355" t="s">
        <v>45</v>
      </c>
      <c r="G355" t="s">
        <v>44</v>
      </c>
      <c r="H355" t="s">
        <v>792</v>
      </c>
      <c r="I355" t="s">
        <v>194</v>
      </c>
      <c r="J355">
        <v>474.56</v>
      </c>
      <c r="K355">
        <v>8</v>
      </c>
      <c r="L355" t="s">
        <v>48</v>
      </c>
      <c r="M355">
        <v>1</v>
      </c>
      <c r="N355">
        <v>5</v>
      </c>
      <c r="O355">
        <v>2</v>
      </c>
      <c r="P355" t="s">
        <v>59</v>
      </c>
      <c r="Q355" t="s">
        <v>50</v>
      </c>
      <c r="R355">
        <v>1</v>
      </c>
      <c r="S355">
        <v>6</v>
      </c>
      <c r="T355" t="s">
        <v>44</v>
      </c>
      <c r="U355" t="s">
        <v>60</v>
      </c>
      <c r="V355" t="s">
        <v>51</v>
      </c>
      <c r="W355" s="1">
        <v>45399</v>
      </c>
      <c r="X355" t="b">
        <v>1</v>
      </c>
      <c r="Y355" t="b">
        <v>0</v>
      </c>
      <c r="Z355" t="s">
        <v>74</v>
      </c>
      <c r="AA355" t="s">
        <v>53</v>
      </c>
      <c r="AB355">
        <v>12</v>
      </c>
    </row>
    <row r="356" spans="1:28" x14ac:dyDescent="0.25">
      <c r="A356" t="s">
        <v>793</v>
      </c>
      <c r="B356">
        <v>34</v>
      </c>
      <c r="C356" t="s">
        <v>43</v>
      </c>
      <c r="D356" t="s">
        <v>44</v>
      </c>
      <c r="E356" t="s">
        <v>31</v>
      </c>
      <c r="F356" t="s">
        <v>56</v>
      </c>
      <c r="G356" t="s">
        <v>44</v>
      </c>
      <c r="H356" t="s">
        <v>794</v>
      </c>
      <c r="I356" t="s">
        <v>117</v>
      </c>
      <c r="J356">
        <v>360.91</v>
      </c>
      <c r="K356">
        <v>4</v>
      </c>
      <c r="L356" t="s">
        <v>35</v>
      </c>
      <c r="M356">
        <v>3</v>
      </c>
      <c r="N356">
        <v>5</v>
      </c>
      <c r="O356">
        <v>1</v>
      </c>
      <c r="P356" t="s">
        <v>44</v>
      </c>
      <c r="Q356" t="s">
        <v>37</v>
      </c>
      <c r="R356">
        <v>0</v>
      </c>
      <c r="S356">
        <v>8</v>
      </c>
      <c r="T356" t="s">
        <v>44</v>
      </c>
      <c r="U356" t="s">
        <v>79</v>
      </c>
      <c r="V356" t="s">
        <v>39</v>
      </c>
      <c r="W356" s="1">
        <v>45534</v>
      </c>
      <c r="X356" t="b">
        <v>1</v>
      </c>
      <c r="Y356" t="b">
        <v>1</v>
      </c>
      <c r="Z356" t="s">
        <v>74</v>
      </c>
      <c r="AA356" t="s">
        <v>41</v>
      </c>
      <c r="AB356">
        <v>4</v>
      </c>
    </row>
    <row r="357" spans="1:28" x14ac:dyDescent="0.25">
      <c r="A357" t="s">
        <v>795</v>
      </c>
      <c r="B357">
        <v>44</v>
      </c>
      <c r="C357" t="s">
        <v>29</v>
      </c>
      <c r="D357" t="s">
        <v>30</v>
      </c>
      <c r="E357" t="s">
        <v>69</v>
      </c>
      <c r="F357" t="s">
        <v>32</v>
      </c>
      <c r="G357" t="s">
        <v>44</v>
      </c>
      <c r="H357" t="s">
        <v>796</v>
      </c>
      <c r="I357" t="s">
        <v>158</v>
      </c>
      <c r="J357">
        <v>373.49</v>
      </c>
      <c r="K357">
        <v>6</v>
      </c>
      <c r="L357" t="s">
        <v>78</v>
      </c>
      <c r="M357">
        <v>4</v>
      </c>
      <c r="N357">
        <v>1</v>
      </c>
      <c r="O357">
        <v>0</v>
      </c>
      <c r="P357" t="s">
        <v>49</v>
      </c>
      <c r="Q357" t="s">
        <v>85</v>
      </c>
      <c r="R357">
        <v>0</v>
      </c>
      <c r="S357">
        <v>10</v>
      </c>
      <c r="T357" t="s">
        <v>59</v>
      </c>
      <c r="U357" t="s">
        <v>38</v>
      </c>
      <c r="V357" t="s">
        <v>86</v>
      </c>
      <c r="W357" s="1">
        <v>45405</v>
      </c>
      <c r="X357" t="b">
        <v>1</v>
      </c>
      <c r="Y357" t="b">
        <v>1</v>
      </c>
      <c r="Z357" t="s">
        <v>62</v>
      </c>
      <c r="AA357" t="s">
        <v>53</v>
      </c>
      <c r="AB357">
        <v>1</v>
      </c>
    </row>
    <row r="358" spans="1:28" x14ac:dyDescent="0.25">
      <c r="A358" t="s">
        <v>797</v>
      </c>
      <c r="B358">
        <v>32</v>
      </c>
      <c r="C358" t="s">
        <v>29</v>
      </c>
      <c r="D358" t="s">
        <v>44</v>
      </c>
      <c r="E358" t="s">
        <v>31</v>
      </c>
      <c r="F358" t="s">
        <v>56</v>
      </c>
      <c r="G358" t="s">
        <v>30</v>
      </c>
      <c r="H358" t="s">
        <v>798</v>
      </c>
      <c r="I358" t="s">
        <v>90</v>
      </c>
      <c r="J358">
        <v>462.3</v>
      </c>
      <c r="K358">
        <v>5</v>
      </c>
      <c r="L358" t="s">
        <v>35</v>
      </c>
      <c r="M358">
        <v>3</v>
      </c>
      <c r="N358">
        <v>3</v>
      </c>
      <c r="O358">
        <v>2</v>
      </c>
      <c r="P358" t="s">
        <v>36</v>
      </c>
      <c r="Q358" t="s">
        <v>50</v>
      </c>
      <c r="R358">
        <v>2</v>
      </c>
      <c r="S358">
        <v>4</v>
      </c>
      <c r="T358" t="s">
        <v>49</v>
      </c>
      <c r="U358" t="s">
        <v>38</v>
      </c>
      <c r="V358" t="s">
        <v>86</v>
      </c>
      <c r="W358" s="1">
        <v>45621</v>
      </c>
      <c r="X358" t="b">
        <v>1</v>
      </c>
      <c r="Y358" t="b">
        <v>1</v>
      </c>
      <c r="Z358" t="s">
        <v>62</v>
      </c>
      <c r="AA358" t="s">
        <v>53</v>
      </c>
      <c r="AB358">
        <v>4</v>
      </c>
    </row>
    <row r="359" spans="1:28" x14ac:dyDescent="0.25">
      <c r="A359" t="s">
        <v>799</v>
      </c>
      <c r="B359">
        <v>42</v>
      </c>
      <c r="C359" t="s">
        <v>29</v>
      </c>
      <c r="D359" t="s">
        <v>30</v>
      </c>
      <c r="E359" t="s">
        <v>55</v>
      </c>
      <c r="F359" t="s">
        <v>56</v>
      </c>
      <c r="G359" t="s">
        <v>30</v>
      </c>
      <c r="H359" t="s">
        <v>800</v>
      </c>
      <c r="I359" t="s">
        <v>126</v>
      </c>
      <c r="J359">
        <v>332.67</v>
      </c>
      <c r="K359">
        <v>8</v>
      </c>
      <c r="L359" t="s">
        <v>48</v>
      </c>
      <c r="M359">
        <v>1</v>
      </c>
      <c r="N359">
        <v>4</v>
      </c>
      <c r="O359">
        <v>2</v>
      </c>
      <c r="P359" t="s">
        <v>49</v>
      </c>
      <c r="Q359" t="s">
        <v>37</v>
      </c>
      <c r="R359">
        <v>1</v>
      </c>
      <c r="S359">
        <v>2</v>
      </c>
      <c r="T359" t="s">
        <v>44</v>
      </c>
      <c r="U359" t="s">
        <v>60</v>
      </c>
      <c r="V359" t="s">
        <v>66</v>
      </c>
      <c r="W359" s="1">
        <v>45637</v>
      </c>
      <c r="X359" t="b">
        <v>0</v>
      </c>
      <c r="Y359" t="b">
        <v>1</v>
      </c>
      <c r="Z359" t="s">
        <v>62</v>
      </c>
      <c r="AA359" t="s">
        <v>67</v>
      </c>
      <c r="AB359">
        <v>4</v>
      </c>
    </row>
    <row r="360" spans="1:28" x14ac:dyDescent="0.25">
      <c r="A360" t="s">
        <v>801</v>
      </c>
      <c r="B360">
        <v>22</v>
      </c>
      <c r="C360" t="s">
        <v>29</v>
      </c>
      <c r="D360" t="s">
        <v>44</v>
      </c>
      <c r="E360" t="s">
        <v>76</v>
      </c>
      <c r="F360" t="s">
        <v>56</v>
      </c>
      <c r="G360" t="s">
        <v>30</v>
      </c>
      <c r="H360" t="s">
        <v>802</v>
      </c>
      <c r="I360" t="s">
        <v>65</v>
      </c>
      <c r="J360">
        <v>235.39</v>
      </c>
      <c r="K360">
        <v>9</v>
      </c>
      <c r="L360" t="s">
        <v>78</v>
      </c>
      <c r="M360">
        <v>5</v>
      </c>
      <c r="N360">
        <v>4</v>
      </c>
      <c r="O360">
        <v>1</v>
      </c>
      <c r="P360" t="s">
        <v>36</v>
      </c>
      <c r="Q360" t="s">
        <v>50</v>
      </c>
      <c r="R360">
        <v>0</v>
      </c>
      <c r="S360">
        <v>6</v>
      </c>
      <c r="T360" t="s">
        <v>36</v>
      </c>
      <c r="U360" t="s">
        <v>60</v>
      </c>
      <c r="V360" t="s">
        <v>39</v>
      </c>
      <c r="W360" s="1">
        <v>45437</v>
      </c>
      <c r="X360" t="b">
        <v>0</v>
      </c>
      <c r="Y360" t="b">
        <v>1</v>
      </c>
      <c r="Z360" t="s">
        <v>74</v>
      </c>
      <c r="AA360" t="s">
        <v>41</v>
      </c>
      <c r="AB360">
        <v>6</v>
      </c>
    </row>
    <row r="361" spans="1:28" x14ac:dyDescent="0.25">
      <c r="A361" t="s">
        <v>803</v>
      </c>
      <c r="B361">
        <v>44</v>
      </c>
      <c r="C361" t="s">
        <v>29</v>
      </c>
      <c r="D361" t="s">
        <v>30</v>
      </c>
      <c r="E361" t="s">
        <v>31</v>
      </c>
      <c r="F361" t="s">
        <v>45</v>
      </c>
      <c r="G361" t="s">
        <v>30</v>
      </c>
      <c r="H361" t="s">
        <v>804</v>
      </c>
      <c r="I361" t="s">
        <v>114</v>
      </c>
      <c r="J361">
        <v>269.77999999999997</v>
      </c>
      <c r="K361">
        <v>7</v>
      </c>
      <c r="L361" t="s">
        <v>48</v>
      </c>
      <c r="M361">
        <v>2</v>
      </c>
      <c r="N361">
        <v>3</v>
      </c>
      <c r="O361">
        <v>1</v>
      </c>
      <c r="P361" t="s">
        <v>49</v>
      </c>
      <c r="Q361" t="s">
        <v>37</v>
      </c>
      <c r="R361">
        <v>2</v>
      </c>
      <c r="S361">
        <v>7</v>
      </c>
      <c r="T361" t="s">
        <v>49</v>
      </c>
      <c r="U361" t="s">
        <v>79</v>
      </c>
      <c r="V361" t="s">
        <v>66</v>
      </c>
      <c r="W361" s="1">
        <v>45498</v>
      </c>
      <c r="X361" t="b">
        <v>1</v>
      </c>
      <c r="Y361" t="b">
        <v>1</v>
      </c>
      <c r="Z361" t="s">
        <v>40</v>
      </c>
      <c r="AA361" t="s">
        <v>41</v>
      </c>
      <c r="AB361">
        <v>5</v>
      </c>
    </row>
    <row r="362" spans="1:28" x14ac:dyDescent="0.25">
      <c r="A362" t="s">
        <v>805</v>
      </c>
      <c r="B362">
        <v>29</v>
      </c>
      <c r="C362" t="s">
        <v>43</v>
      </c>
      <c r="D362" t="s">
        <v>30</v>
      </c>
      <c r="E362" t="s">
        <v>31</v>
      </c>
      <c r="F362" t="s">
        <v>32</v>
      </c>
      <c r="G362" t="s">
        <v>30</v>
      </c>
      <c r="H362" t="s">
        <v>806</v>
      </c>
      <c r="I362" t="s">
        <v>34</v>
      </c>
      <c r="J362">
        <v>498.33</v>
      </c>
      <c r="K362">
        <v>2</v>
      </c>
      <c r="L362" t="s">
        <v>78</v>
      </c>
      <c r="M362">
        <v>3</v>
      </c>
      <c r="N362">
        <v>5</v>
      </c>
      <c r="O362">
        <v>2</v>
      </c>
      <c r="P362" t="s">
        <v>49</v>
      </c>
      <c r="Q362" t="s">
        <v>85</v>
      </c>
      <c r="R362">
        <v>1</v>
      </c>
      <c r="S362">
        <v>9</v>
      </c>
      <c r="T362" t="s">
        <v>49</v>
      </c>
      <c r="U362" t="s">
        <v>60</v>
      </c>
      <c r="V362" t="s">
        <v>51</v>
      </c>
      <c r="W362" s="1">
        <v>45420</v>
      </c>
      <c r="X362" t="b">
        <v>1</v>
      </c>
      <c r="Y362" t="b">
        <v>1</v>
      </c>
      <c r="Z362" t="s">
        <v>52</v>
      </c>
      <c r="AA362" t="s">
        <v>67</v>
      </c>
      <c r="AB362">
        <v>1</v>
      </c>
    </row>
    <row r="363" spans="1:28" x14ac:dyDescent="0.25">
      <c r="A363" t="s">
        <v>807</v>
      </c>
      <c r="B363">
        <v>30</v>
      </c>
      <c r="C363" t="s">
        <v>29</v>
      </c>
      <c r="D363" t="s">
        <v>44</v>
      </c>
      <c r="E363" t="s">
        <v>55</v>
      </c>
      <c r="F363" t="s">
        <v>45</v>
      </c>
      <c r="G363" t="s">
        <v>44</v>
      </c>
      <c r="H363" t="s">
        <v>808</v>
      </c>
      <c r="I363" t="s">
        <v>142</v>
      </c>
      <c r="J363">
        <v>182.94</v>
      </c>
      <c r="K363">
        <v>7</v>
      </c>
      <c r="L363" t="s">
        <v>35</v>
      </c>
      <c r="M363">
        <v>1</v>
      </c>
      <c r="N363">
        <v>5</v>
      </c>
      <c r="O363">
        <v>2</v>
      </c>
      <c r="P363" t="s">
        <v>36</v>
      </c>
      <c r="Q363" t="s">
        <v>50</v>
      </c>
      <c r="R363">
        <v>2</v>
      </c>
      <c r="S363">
        <v>7</v>
      </c>
      <c r="T363" t="s">
        <v>59</v>
      </c>
      <c r="U363" t="s">
        <v>79</v>
      </c>
      <c r="V363" t="s">
        <v>66</v>
      </c>
      <c r="W363" s="1">
        <v>45440</v>
      </c>
      <c r="X363" t="b">
        <v>1</v>
      </c>
      <c r="Y363" t="b">
        <v>1</v>
      </c>
      <c r="Z363" t="s">
        <v>40</v>
      </c>
      <c r="AA363" t="s">
        <v>67</v>
      </c>
      <c r="AB363">
        <v>12</v>
      </c>
    </row>
    <row r="364" spans="1:28" x14ac:dyDescent="0.25">
      <c r="A364" t="s">
        <v>809</v>
      </c>
      <c r="B364">
        <v>19</v>
      </c>
      <c r="C364" t="s">
        <v>29</v>
      </c>
      <c r="D364" t="s">
        <v>30</v>
      </c>
      <c r="E364" t="s">
        <v>76</v>
      </c>
      <c r="F364" t="s">
        <v>56</v>
      </c>
      <c r="G364" t="s">
        <v>44</v>
      </c>
      <c r="H364" t="s">
        <v>810</v>
      </c>
      <c r="I364" t="s">
        <v>142</v>
      </c>
      <c r="J364">
        <v>121.7</v>
      </c>
      <c r="K364">
        <v>7</v>
      </c>
      <c r="L364" t="s">
        <v>35</v>
      </c>
      <c r="M364">
        <v>4</v>
      </c>
      <c r="N364">
        <v>3</v>
      </c>
      <c r="O364">
        <v>0</v>
      </c>
      <c r="P364" t="s">
        <v>44</v>
      </c>
      <c r="Q364" t="s">
        <v>85</v>
      </c>
      <c r="R364">
        <v>2</v>
      </c>
      <c r="S364">
        <v>5</v>
      </c>
      <c r="T364" t="s">
        <v>36</v>
      </c>
      <c r="U364" t="s">
        <v>60</v>
      </c>
      <c r="V364" t="s">
        <v>39</v>
      </c>
      <c r="W364" s="1">
        <v>45467</v>
      </c>
      <c r="X364" t="b">
        <v>1</v>
      </c>
      <c r="Y364" t="b">
        <v>1</v>
      </c>
      <c r="Z364" t="s">
        <v>74</v>
      </c>
      <c r="AA364" t="s">
        <v>53</v>
      </c>
      <c r="AB364">
        <v>8</v>
      </c>
    </row>
    <row r="365" spans="1:28" x14ac:dyDescent="0.25">
      <c r="A365" t="s">
        <v>811</v>
      </c>
      <c r="B365">
        <v>45</v>
      </c>
      <c r="C365" t="s">
        <v>29</v>
      </c>
      <c r="D365" t="s">
        <v>44</v>
      </c>
      <c r="E365" t="s">
        <v>69</v>
      </c>
      <c r="F365" t="s">
        <v>56</v>
      </c>
      <c r="G365" t="s">
        <v>30</v>
      </c>
      <c r="H365" t="s">
        <v>812</v>
      </c>
      <c r="I365" t="s">
        <v>120</v>
      </c>
      <c r="J365">
        <v>489.27</v>
      </c>
      <c r="K365">
        <v>4</v>
      </c>
      <c r="L365" t="s">
        <v>35</v>
      </c>
      <c r="M365">
        <v>1</v>
      </c>
      <c r="N365">
        <v>4</v>
      </c>
      <c r="O365">
        <v>1</v>
      </c>
      <c r="P365" t="s">
        <v>44</v>
      </c>
      <c r="Q365" t="s">
        <v>37</v>
      </c>
      <c r="R365">
        <v>1</v>
      </c>
      <c r="S365">
        <v>3</v>
      </c>
      <c r="T365" t="s">
        <v>36</v>
      </c>
      <c r="U365" t="s">
        <v>38</v>
      </c>
      <c r="V365" t="s">
        <v>61</v>
      </c>
      <c r="W365" s="1">
        <v>45304</v>
      </c>
      <c r="X365" t="b">
        <v>0</v>
      </c>
      <c r="Y365" t="b">
        <v>0</v>
      </c>
      <c r="Z365" t="s">
        <v>52</v>
      </c>
      <c r="AA365" t="s">
        <v>53</v>
      </c>
      <c r="AB365">
        <v>3</v>
      </c>
    </row>
    <row r="366" spans="1:28" x14ac:dyDescent="0.25">
      <c r="A366" t="s">
        <v>813</v>
      </c>
      <c r="B366">
        <v>38</v>
      </c>
      <c r="C366" t="s">
        <v>43</v>
      </c>
      <c r="D366" t="s">
        <v>30</v>
      </c>
      <c r="E366" t="s">
        <v>31</v>
      </c>
      <c r="F366" t="s">
        <v>32</v>
      </c>
      <c r="G366" t="s">
        <v>30</v>
      </c>
      <c r="H366" t="s">
        <v>814</v>
      </c>
      <c r="I366" t="s">
        <v>120</v>
      </c>
      <c r="J366">
        <v>303.93</v>
      </c>
      <c r="K366">
        <v>6</v>
      </c>
      <c r="L366" t="s">
        <v>35</v>
      </c>
      <c r="M366">
        <v>3</v>
      </c>
      <c r="N366">
        <v>2</v>
      </c>
      <c r="O366">
        <v>0</v>
      </c>
      <c r="P366" t="s">
        <v>44</v>
      </c>
      <c r="Q366" t="s">
        <v>50</v>
      </c>
      <c r="R366">
        <v>1</v>
      </c>
      <c r="S366">
        <v>10</v>
      </c>
      <c r="T366" t="s">
        <v>59</v>
      </c>
      <c r="U366" t="s">
        <v>60</v>
      </c>
      <c r="V366" t="s">
        <v>61</v>
      </c>
      <c r="W366" s="1">
        <v>45364</v>
      </c>
      <c r="X366" t="b">
        <v>1</v>
      </c>
      <c r="Y366" t="b">
        <v>0</v>
      </c>
      <c r="Z366" t="s">
        <v>40</v>
      </c>
      <c r="AA366" t="s">
        <v>41</v>
      </c>
      <c r="AB366">
        <v>2</v>
      </c>
    </row>
    <row r="367" spans="1:28" x14ac:dyDescent="0.25">
      <c r="A367" t="s">
        <v>815</v>
      </c>
      <c r="B367">
        <v>24</v>
      </c>
      <c r="C367" t="s">
        <v>29</v>
      </c>
      <c r="D367" t="s">
        <v>30</v>
      </c>
      <c r="E367" t="s">
        <v>31</v>
      </c>
      <c r="F367" t="s">
        <v>32</v>
      </c>
      <c r="G367" t="s">
        <v>30</v>
      </c>
      <c r="H367" t="s">
        <v>816</v>
      </c>
      <c r="I367" t="s">
        <v>47</v>
      </c>
      <c r="J367">
        <v>302.74</v>
      </c>
      <c r="K367">
        <v>11</v>
      </c>
      <c r="L367" t="s">
        <v>35</v>
      </c>
      <c r="M367">
        <v>1</v>
      </c>
      <c r="N367">
        <v>5</v>
      </c>
      <c r="O367">
        <v>0</v>
      </c>
      <c r="P367" t="s">
        <v>44</v>
      </c>
      <c r="Q367" t="s">
        <v>85</v>
      </c>
      <c r="R367">
        <v>0</v>
      </c>
      <c r="S367">
        <v>6</v>
      </c>
      <c r="T367" t="s">
        <v>44</v>
      </c>
      <c r="U367" t="s">
        <v>60</v>
      </c>
      <c r="V367" t="s">
        <v>51</v>
      </c>
      <c r="W367" s="1">
        <v>45471</v>
      </c>
      <c r="X367" t="b">
        <v>1</v>
      </c>
      <c r="Y367" t="b">
        <v>1</v>
      </c>
      <c r="Z367" t="s">
        <v>52</v>
      </c>
      <c r="AA367" t="s">
        <v>67</v>
      </c>
      <c r="AB367">
        <v>5</v>
      </c>
    </row>
    <row r="368" spans="1:28" x14ac:dyDescent="0.25">
      <c r="A368" t="s">
        <v>817</v>
      </c>
      <c r="B368">
        <v>42</v>
      </c>
      <c r="C368" t="s">
        <v>352</v>
      </c>
      <c r="D368" t="s">
        <v>44</v>
      </c>
      <c r="E368" t="s">
        <v>55</v>
      </c>
      <c r="F368" t="s">
        <v>32</v>
      </c>
      <c r="G368" t="s">
        <v>44</v>
      </c>
      <c r="H368" t="s">
        <v>818</v>
      </c>
      <c r="I368" t="s">
        <v>188</v>
      </c>
      <c r="J368">
        <v>157.21</v>
      </c>
      <c r="K368">
        <v>11</v>
      </c>
      <c r="L368" t="s">
        <v>78</v>
      </c>
      <c r="M368">
        <v>3</v>
      </c>
      <c r="N368">
        <v>3</v>
      </c>
      <c r="O368">
        <v>0</v>
      </c>
      <c r="P368" t="s">
        <v>49</v>
      </c>
      <c r="Q368" t="s">
        <v>50</v>
      </c>
      <c r="R368">
        <v>0</v>
      </c>
      <c r="S368">
        <v>3</v>
      </c>
      <c r="T368" t="s">
        <v>44</v>
      </c>
      <c r="U368" t="s">
        <v>38</v>
      </c>
      <c r="V368" t="s">
        <v>61</v>
      </c>
      <c r="W368" s="1">
        <v>45412</v>
      </c>
      <c r="X368" t="b">
        <v>1</v>
      </c>
      <c r="Y368" t="b">
        <v>0</v>
      </c>
      <c r="Z368" t="s">
        <v>52</v>
      </c>
      <c r="AA368" t="s">
        <v>67</v>
      </c>
      <c r="AB368">
        <v>5</v>
      </c>
    </row>
    <row r="369" spans="1:28" x14ac:dyDescent="0.25">
      <c r="A369" t="s">
        <v>819</v>
      </c>
      <c r="B369">
        <v>46</v>
      </c>
      <c r="C369" t="s">
        <v>29</v>
      </c>
      <c r="D369" t="s">
        <v>44</v>
      </c>
      <c r="E369" t="s">
        <v>69</v>
      </c>
      <c r="F369" t="s">
        <v>45</v>
      </c>
      <c r="G369" t="s">
        <v>44</v>
      </c>
      <c r="H369" t="s">
        <v>820</v>
      </c>
      <c r="I369" t="s">
        <v>90</v>
      </c>
      <c r="J369">
        <v>159.44999999999999</v>
      </c>
      <c r="K369">
        <v>2</v>
      </c>
      <c r="L369" t="s">
        <v>78</v>
      </c>
      <c r="M369">
        <v>3</v>
      </c>
      <c r="N369">
        <v>2</v>
      </c>
      <c r="O369">
        <v>2</v>
      </c>
      <c r="P369" t="s">
        <v>49</v>
      </c>
      <c r="Q369" t="s">
        <v>85</v>
      </c>
      <c r="R369">
        <v>0</v>
      </c>
      <c r="S369">
        <v>5</v>
      </c>
      <c r="T369" t="s">
        <v>36</v>
      </c>
      <c r="U369" t="s">
        <v>60</v>
      </c>
      <c r="V369" t="s">
        <v>61</v>
      </c>
      <c r="W369" s="1">
        <v>45457</v>
      </c>
      <c r="X369" t="b">
        <v>1</v>
      </c>
      <c r="Y369" t="b">
        <v>0</v>
      </c>
      <c r="Z369" t="s">
        <v>62</v>
      </c>
      <c r="AA369" t="s">
        <v>53</v>
      </c>
      <c r="AB369">
        <v>14</v>
      </c>
    </row>
    <row r="370" spans="1:28" x14ac:dyDescent="0.25">
      <c r="A370" t="s">
        <v>821</v>
      </c>
      <c r="B370">
        <v>44</v>
      </c>
      <c r="C370" t="s">
        <v>29</v>
      </c>
      <c r="D370" t="s">
        <v>44</v>
      </c>
      <c r="E370" t="s">
        <v>69</v>
      </c>
      <c r="F370" t="s">
        <v>45</v>
      </c>
      <c r="G370" t="s">
        <v>30</v>
      </c>
      <c r="H370" t="s">
        <v>822</v>
      </c>
      <c r="I370" t="s">
        <v>98</v>
      </c>
      <c r="J370">
        <v>312.93</v>
      </c>
      <c r="K370">
        <v>2</v>
      </c>
      <c r="L370" t="s">
        <v>48</v>
      </c>
      <c r="M370">
        <v>2</v>
      </c>
      <c r="N370">
        <v>2</v>
      </c>
      <c r="O370">
        <v>1</v>
      </c>
      <c r="P370" t="s">
        <v>44</v>
      </c>
      <c r="Q370" t="s">
        <v>85</v>
      </c>
      <c r="R370">
        <v>0</v>
      </c>
      <c r="S370">
        <v>7</v>
      </c>
      <c r="T370" t="s">
        <v>36</v>
      </c>
      <c r="U370" t="s">
        <v>60</v>
      </c>
      <c r="V370" t="s">
        <v>51</v>
      </c>
      <c r="W370" s="1">
        <v>45508</v>
      </c>
      <c r="X370" t="b">
        <v>1</v>
      </c>
      <c r="Y370" t="b">
        <v>1</v>
      </c>
      <c r="Z370" t="s">
        <v>52</v>
      </c>
      <c r="AA370" t="s">
        <v>41</v>
      </c>
      <c r="AB370">
        <v>3</v>
      </c>
    </row>
    <row r="371" spans="1:28" x14ac:dyDescent="0.25">
      <c r="A371" t="s">
        <v>823</v>
      </c>
      <c r="B371">
        <v>38</v>
      </c>
      <c r="C371" t="s">
        <v>43</v>
      </c>
      <c r="D371" t="s">
        <v>44</v>
      </c>
      <c r="E371" t="s">
        <v>31</v>
      </c>
      <c r="F371" t="s">
        <v>56</v>
      </c>
      <c r="G371" t="s">
        <v>30</v>
      </c>
      <c r="H371" t="s">
        <v>824</v>
      </c>
      <c r="I371" t="s">
        <v>107</v>
      </c>
      <c r="J371">
        <v>65.680000000000007</v>
      </c>
      <c r="K371">
        <v>4</v>
      </c>
      <c r="L371" t="s">
        <v>48</v>
      </c>
      <c r="M371">
        <v>4</v>
      </c>
      <c r="N371">
        <v>4</v>
      </c>
      <c r="O371">
        <v>0</v>
      </c>
      <c r="P371" t="s">
        <v>49</v>
      </c>
      <c r="Q371" t="s">
        <v>50</v>
      </c>
      <c r="R371">
        <v>0</v>
      </c>
      <c r="S371">
        <v>8</v>
      </c>
      <c r="T371" t="s">
        <v>49</v>
      </c>
      <c r="U371" t="s">
        <v>60</v>
      </c>
      <c r="V371" t="s">
        <v>66</v>
      </c>
      <c r="W371" s="1">
        <v>45419</v>
      </c>
      <c r="X371" t="b">
        <v>0</v>
      </c>
      <c r="Y371" t="b">
        <v>0</v>
      </c>
      <c r="Z371" t="s">
        <v>62</v>
      </c>
      <c r="AA371" t="s">
        <v>53</v>
      </c>
      <c r="AB371">
        <v>12</v>
      </c>
    </row>
    <row r="372" spans="1:28" x14ac:dyDescent="0.25">
      <c r="A372" t="s">
        <v>825</v>
      </c>
      <c r="B372">
        <v>44</v>
      </c>
      <c r="C372" t="s">
        <v>43</v>
      </c>
      <c r="D372" t="s">
        <v>30</v>
      </c>
      <c r="E372" t="s">
        <v>55</v>
      </c>
      <c r="F372" t="s">
        <v>56</v>
      </c>
      <c r="G372" t="s">
        <v>30</v>
      </c>
      <c r="H372" t="s">
        <v>826</v>
      </c>
      <c r="I372" t="s">
        <v>120</v>
      </c>
      <c r="J372">
        <v>61.86</v>
      </c>
      <c r="K372">
        <v>5</v>
      </c>
      <c r="L372" t="s">
        <v>48</v>
      </c>
      <c r="M372">
        <v>4</v>
      </c>
      <c r="N372">
        <v>5</v>
      </c>
      <c r="O372">
        <v>2</v>
      </c>
      <c r="P372" t="s">
        <v>36</v>
      </c>
      <c r="Q372" t="s">
        <v>50</v>
      </c>
      <c r="R372">
        <v>2</v>
      </c>
      <c r="S372">
        <v>8</v>
      </c>
      <c r="T372" t="s">
        <v>36</v>
      </c>
      <c r="U372" t="s">
        <v>60</v>
      </c>
      <c r="V372" t="s">
        <v>86</v>
      </c>
      <c r="W372" s="1">
        <v>45611</v>
      </c>
      <c r="X372" t="b">
        <v>0</v>
      </c>
      <c r="Y372" t="b">
        <v>1</v>
      </c>
      <c r="Z372" t="s">
        <v>40</v>
      </c>
      <c r="AA372" t="s">
        <v>53</v>
      </c>
      <c r="AB372">
        <v>9</v>
      </c>
    </row>
    <row r="373" spans="1:28" x14ac:dyDescent="0.25">
      <c r="A373" t="s">
        <v>827</v>
      </c>
      <c r="B373">
        <v>18</v>
      </c>
      <c r="C373" t="s">
        <v>29</v>
      </c>
      <c r="D373" t="s">
        <v>44</v>
      </c>
      <c r="E373" t="s">
        <v>55</v>
      </c>
      <c r="F373" t="s">
        <v>56</v>
      </c>
      <c r="G373" t="s">
        <v>30</v>
      </c>
      <c r="H373" t="s">
        <v>828</v>
      </c>
      <c r="I373" t="s">
        <v>117</v>
      </c>
      <c r="J373">
        <v>343.77</v>
      </c>
      <c r="K373">
        <v>6</v>
      </c>
      <c r="L373" t="s">
        <v>35</v>
      </c>
      <c r="M373">
        <v>5</v>
      </c>
      <c r="N373">
        <v>4</v>
      </c>
      <c r="O373">
        <v>2</v>
      </c>
      <c r="P373" t="s">
        <v>36</v>
      </c>
      <c r="Q373" t="s">
        <v>50</v>
      </c>
      <c r="R373">
        <v>2</v>
      </c>
      <c r="S373">
        <v>4</v>
      </c>
      <c r="T373" t="s">
        <v>49</v>
      </c>
      <c r="U373" t="s">
        <v>79</v>
      </c>
      <c r="V373" t="s">
        <v>39</v>
      </c>
      <c r="W373" s="1">
        <v>45338</v>
      </c>
      <c r="X373" t="b">
        <v>1</v>
      </c>
      <c r="Y373" t="b">
        <v>0</v>
      </c>
      <c r="Z373" t="s">
        <v>62</v>
      </c>
      <c r="AA373" t="s">
        <v>41</v>
      </c>
      <c r="AB373">
        <v>3</v>
      </c>
    </row>
    <row r="374" spans="1:28" x14ac:dyDescent="0.25">
      <c r="A374" t="s">
        <v>829</v>
      </c>
      <c r="B374">
        <v>37</v>
      </c>
      <c r="C374" t="s">
        <v>43</v>
      </c>
      <c r="D374" t="s">
        <v>30</v>
      </c>
      <c r="E374" t="s">
        <v>76</v>
      </c>
      <c r="F374" t="s">
        <v>56</v>
      </c>
      <c r="G374" t="s">
        <v>44</v>
      </c>
      <c r="H374" t="s">
        <v>830</v>
      </c>
      <c r="I374" t="s">
        <v>65</v>
      </c>
      <c r="J374">
        <v>107.21</v>
      </c>
      <c r="K374">
        <v>2</v>
      </c>
      <c r="L374" t="s">
        <v>78</v>
      </c>
      <c r="M374">
        <v>4</v>
      </c>
      <c r="N374">
        <v>2</v>
      </c>
      <c r="O374">
        <v>1</v>
      </c>
      <c r="P374" t="s">
        <v>36</v>
      </c>
      <c r="Q374" t="s">
        <v>50</v>
      </c>
      <c r="R374">
        <v>2</v>
      </c>
      <c r="S374">
        <v>9</v>
      </c>
      <c r="T374" t="s">
        <v>49</v>
      </c>
      <c r="U374" t="s">
        <v>79</v>
      </c>
      <c r="V374" t="s">
        <v>66</v>
      </c>
      <c r="W374" s="1">
        <v>45509</v>
      </c>
      <c r="X374" t="b">
        <v>1</v>
      </c>
      <c r="Y374" t="b">
        <v>1</v>
      </c>
      <c r="Z374" t="s">
        <v>74</v>
      </c>
      <c r="AA374" t="s">
        <v>53</v>
      </c>
      <c r="AB374">
        <v>6</v>
      </c>
    </row>
    <row r="375" spans="1:28" x14ac:dyDescent="0.25">
      <c r="A375" t="s">
        <v>831</v>
      </c>
      <c r="B375">
        <v>31</v>
      </c>
      <c r="C375" t="s">
        <v>148</v>
      </c>
      <c r="D375" t="s">
        <v>44</v>
      </c>
      <c r="E375" t="s">
        <v>55</v>
      </c>
      <c r="F375" t="s">
        <v>56</v>
      </c>
      <c r="G375" t="s">
        <v>30</v>
      </c>
      <c r="H375" t="s">
        <v>832</v>
      </c>
      <c r="I375" t="s">
        <v>65</v>
      </c>
      <c r="J375">
        <v>148.97999999999999</v>
      </c>
      <c r="K375">
        <v>12</v>
      </c>
      <c r="L375" t="s">
        <v>78</v>
      </c>
      <c r="M375">
        <v>5</v>
      </c>
      <c r="N375">
        <v>1</v>
      </c>
      <c r="O375">
        <v>2</v>
      </c>
      <c r="P375" t="s">
        <v>36</v>
      </c>
      <c r="Q375" t="s">
        <v>85</v>
      </c>
      <c r="R375">
        <v>0</v>
      </c>
      <c r="S375">
        <v>8</v>
      </c>
      <c r="T375" t="s">
        <v>59</v>
      </c>
      <c r="U375" t="s">
        <v>38</v>
      </c>
      <c r="V375" t="s">
        <v>61</v>
      </c>
      <c r="W375" s="1">
        <v>45515</v>
      </c>
      <c r="X375" t="b">
        <v>1</v>
      </c>
      <c r="Y375" t="b">
        <v>1</v>
      </c>
      <c r="Z375" t="s">
        <v>52</v>
      </c>
      <c r="AA375" t="s">
        <v>53</v>
      </c>
      <c r="AB375">
        <v>13</v>
      </c>
    </row>
    <row r="376" spans="1:28" x14ac:dyDescent="0.25">
      <c r="A376" t="s">
        <v>833</v>
      </c>
      <c r="B376">
        <v>22</v>
      </c>
      <c r="C376" t="s">
        <v>29</v>
      </c>
      <c r="D376" t="s">
        <v>44</v>
      </c>
      <c r="E376" t="s">
        <v>69</v>
      </c>
      <c r="F376" t="s">
        <v>56</v>
      </c>
      <c r="G376" t="s">
        <v>30</v>
      </c>
      <c r="H376" t="s">
        <v>834</v>
      </c>
      <c r="I376" t="s">
        <v>104</v>
      </c>
      <c r="J376">
        <v>490.41</v>
      </c>
      <c r="K376">
        <v>4</v>
      </c>
      <c r="L376" t="s">
        <v>35</v>
      </c>
      <c r="M376">
        <v>3</v>
      </c>
      <c r="N376">
        <v>4</v>
      </c>
      <c r="O376">
        <v>0</v>
      </c>
      <c r="P376" t="s">
        <v>59</v>
      </c>
      <c r="Q376" t="s">
        <v>37</v>
      </c>
      <c r="R376">
        <v>0</v>
      </c>
      <c r="S376">
        <v>2</v>
      </c>
      <c r="T376" t="s">
        <v>44</v>
      </c>
      <c r="U376" t="s">
        <v>38</v>
      </c>
      <c r="V376" t="s">
        <v>66</v>
      </c>
      <c r="W376" s="1">
        <v>45641</v>
      </c>
      <c r="X376" t="b">
        <v>0</v>
      </c>
      <c r="Y376" t="b">
        <v>1</v>
      </c>
      <c r="Z376" t="s">
        <v>74</v>
      </c>
      <c r="AA376" t="s">
        <v>67</v>
      </c>
      <c r="AB376">
        <v>3</v>
      </c>
    </row>
    <row r="377" spans="1:28" x14ac:dyDescent="0.25">
      <c r="A377" t="s">
        <v>835</v>
      </c>
      <c r="B377">
        <v>33</v>
      </c>
      <c r="C377" t="s">
        <v>43</v>
      </c>
      <c r="D377" t="s">
        <v>44</v>
      </c>
      <c r="E377" t="s">
        <v>31</v>
      </c>
      <c r="F377" t="s">
        <v>45</v>
      </c>
      <c r="G377" t="s">
        <v>30</v>
      </c>
      <c r="H377" t="s">
        <v>836</v>
      </c>
      <c r="I377" t="s">
        <v>158</v>
      </c>
      <c r="J377">
        <v>461.34</v>
      </c>
      <c r="K377">
        <v>4</v>
      </c>
      <c r="L377" t="s">
        <v>48</v>
      </c>
      <c r="M377">
        <v>3</v>
      </c>
      <c r="N377">
        <v>1</v>
      </c>
      <c r="O377">
        <v>0</v>
      </c>
      <c r="P377" t="s">
        <v>44</v>
      </c>
      <c r="Q377" t="s">
        <v>37</v>
      </c>
      <c r="R377">
        <v>1</v>
      </c>
      <c r="S377">
        <v>9</v>
      </c>
      <c r="T377" t="s">
        <v>59</v>
      </c>
      <c r="U377" t="s">
        <v>79</v>
      </c>
      <c r="V377" t="s">
        <v>86</v>
      </c>
      <c r="W377" s="1">
        <v>45357</v>
      </c>
      <c r="X377" t="b">
        <v>0</v>
      </c>
      <c r="Y377" t="b">
        <v>1</v>
      </c>
      <c r="Z377" t="s">
        <v>52</v>
      </c>
      <c r="AA377" t="s">
        <v>67</v>
      </c>
      <c r="AB377">
        <v>7</v>
      </c>
    </row>
    <row r="378" spans="1:28" x14ac:dyDescent="0.25">
      <c r="A378" t="s">
        <v>837</v>
      </c>
      <c r="B378">
        <v>20</v>
      </c>
      <c r="C378" t="s">
        <v>29</v>
      </c>
      <c r="D378" t="s">
        <v>44</v>
      </c>
      <c r="E378" t="s">
        <v>55</v>
      </c>
      <c r="F378" t="s">
        <v>56</v>
      </c>
      <c r="G378" t="s">
        <v>44</v>
      </c>
      <c r="H378" t="s">
        <v>838</v>
      </c>
      <c r="I378" t="s">
        <v>58</v>
      </c>
      <c r="J378">
        <v>338.89</v>
      </c>
      <c r="K378">
        <v>7</v>
      </c>
      <c r="L378" t="s">
        <v>48</v>
      </c>
      <c r="M378">
        <v>4</v>
      </c>
      <c r="N378">
        <v>2</v>
      </c>
      <c r="O378">
        <v>1</v>
      </c>
      <c r="P378" t="s">
        <v>59</v>
      </c>
      <c r="Q378" t="s">
        <v>37</v>
      </c>
      <c r="R378">
        <v>2</v>
      </c>
      <c r="S378">
        <v>6</v>
      </c>
      <c r="T378" t="s">
        <v>36</v>
      </c>
      <c r="U378" t="s">
        <v>79</v>
      </c>
      <c r="V378" t="s">
        <v>39</v>
      </c>
      <c r="W378" s="1">
        <v>45433</v>
      </c>
      <c r="X378" t="b">
        <v>1</v>
      </c>
      <c r="Y378" t="b">
        <v>1</v>
      </c>
      <c r="Z378" t="s">
        <v>52</v>
      </c>
      <c r="AA378" t="s">
        <v>67</v>
      </c>
      <c r="AB378">
        <v>3</v>
      </c>
    </row>
    <row r="379" spans="1:28" x14ac:dyDescent="0.25">
      <c r="A379" t="s">
        <v>839</v>
      </c>
      <c r="B379">
        <v>26</v>
      </c>
      <c r="C379" t="s">
        <v>43</v>
      </c>
      <c r="D379" t="s">
        <v>44</v>
      </c>
      <c r="E379" t="s">
        <v>31</v>
      </c>
      <c r="F379" t="s">
        <v>45</v>
      </c>
      <c r="G379" t="s">
        <v>44</v>
      </c>
      <c r="H379" t="s">
        <v>840</v>
      </c>
      <c r="I379" t="s">
        <v>34</v>
      </c>
      <c r="J379">
        <v>222.63</v>
      </c>
      <c r="K379">
        <v>3</v>
      </c>
      <c r="L379" t="s">
        <v>35</v>
      </c>
      <c r="M379">
        <v>1</v>
      </c>
      <c r="N379">
        <v>1</v>
      </c>
      <c r="O379">
        <v>0</v>
      </c>
      <c r="P379" t="s">
        <v>49</v>
      </c>
      <c r="Q379" t="s">
        <v>37</v>
      </c>
      <c r="R379">
        <v>2</v>
      </c>
      <c r="S379">
        <v>2</v>
      </c>
      <c r="T379" t="s">
        <v>36</v>
      </c>
      <c r="U379" t="s">
        <v>38</v>
      </c>
      <c r="V379" t="s">
        <v>86</v>
      </c>
      <c r="W379" s="1">
        <v>45374</v>
      </c>
      <c r="X379" t="b">
        <v>0</v>
      </c>
      <c r="Y379" t="b">
        <v>1</v>
      </c>
      <c r="Z379" t="s">
        <v>62</v>
      </c>
      <c r="AA379" t="s">
        <v>67</v>
      </c>
      <c r="AB379">
        <v>6</v>
      </c>
    </row>
    <row r="380" spans="1:28" x14ac:dyDescent="0.25">
      <c r="A380" t="s">
        <v>841</v>
      </c>
      <c r="B380">
        <v>26</v>
      </c>
      <c r="C380" t="s">
        <v>43</v>
      </c>
      <c r="D380" t="s">
        <v>44</v>
      </c>
      <c r="E380" t="s">
        <v>31</v>
      </c>
      <c r="F380" t="s">
        <v>45</v>
      </c>
      <c r="G380" t="s">
        <v>44</v>
      </c>
      <c r="H380" t="s">
        <v>842</v>
      </c>
      <c r="I380" t="s">
        <v>126</v>
      </c>
      <c r="J380">
        <v>71.95</v>
      </c>
      <c r="K380">
        <v>2</v>
      </c>
      <c r="L380" t="s">
        <v>35</v>
      </c>
      <c r="M380">
        <v>3</v>
      </c>
      <c r="N380">
        <v>5</v>
      </c>
      <c r="O380">
        <v>2</v>
      </c>
      <c r="P380" t="s">
        <v>36</v>
      </c>
      <c r="Q380" t="s">
        <v>85</v>
      </c>
      <c r="R380">
        <v>2</v>
      </c>
      <c r="S380">
        <v>10</v>
      </c>
      <c r="T380" t="s">
        <v>36</v>
      </c>
      <c r="U380" t="s">
        <v>79</v>
      </c>
      <c r="V380" t="s">
        <v>61</v>
      </c>
      <c r="W380" s="1">
        <v>45557</v>
      </c>
      <c r="X380" t="b">
        <v>0</v>
      </c>
      <c r="Y380" t="b">
        <v>1</v>
      </c>
      <c r="Z380" t="s">
        <v>74</v>
      </c>
      <c r="AA380" t="s">
        <v>41</v>
      </c>
      <c r="AB380">
        <v>13</v>
      </c>
    </row>
    <row r="381" spans="1:28" x14ac:dyDescent="0.25">
      <c r="A381" t="s">
        <v>843</v>
      </c>
      <c r="B381">
        <v>21</v>
      </c>
      <c r="C381" t="s">
        <v>43</v>
      </c>
      <c r="D381" t="s">
        <v>44</v>
      </c>
      <c r="E381" t="s">
        <v>76</v>
      </c>
      <c r="F381" t="s">
        <v>45</v>
      </c>
      <c r="G381" t="s">
        <v>30</v>
      </c>
      <c r="H381" t="s">
        <v>844</v>
      </c>
      <c r="I381" t="s">
        <v>120</v>
      </c>
      <c r="J381">
        <v>264.52</v>
      </c>
      <c r="K381">
        <v>9</v>
      </c>
      <c r="L381" t="s">
        <v>78</v>
      </c>
      <c r="M381">
        <v>3</v>
      </c>
      <c r="N381">
        <v>3</v>
      </c>
      <c r="O381">
        <v>1</v>
      </c>
      <c r="P381" t="s">
        <v>36</v>
      </c>
      <c r="Q381" t="s">
        <v>50</v>
      </c>
      <c r="R381">
        <v>0</v>
      </c>
      <c r="S381">
        <v>10</v>
      </c>
      <c r="T381" t="s">
        <v>36</v>
      </c>
      <c r="U381" t="s">
        <v>60</v>
      </c>
      <c r="V381" t="s">
        <v>61</v>
      </c>
      <c r="W381" s="1">
        <v>45384</v>
      </c>
      <c r="X381" t="b">
        <v>1</v>
      </c>
      <c r="Y381" t="b">
        <v>1</v>
      </c>
      <c r="Z381" t="s">
        <v>74</v>
      </c>
      <c r="AA381" t="s">
        <v>41</v>
      </c>
      <c r="AB381">
        <v>6</v>
      </c>
    </row>
    <row r="382" spans="1:28" x14ac:dyDescent="0.25">
      <c r="A382" t="s">
        <v>845</v>
      </c>
      <c r="B382">
        <v>43</v>
      </c>
      <c r="C382" t="s">
        <v>43</v>
      </c>
      <c r="D382" t="s">
        <v>44</v>
      </c>
      <c r="E382" t="s">
        <v>76</v>
      </c>
      <c r="F382" t="s">
        <v>45</v>
      </c>
      <c r="G382" t="s">
        <v>44</v>
      </c>
      <c r="H382" t="s">
        <v>846</v>
      </c>
      <c r="I382" t="s">
        <v>47</v>
      </c>
      <c r="J382">
        <v>414.8</v>
      </c>
      <c r="K382">
        <v>9</v>
      </c>
      <c r="L382" t="s">
        <v>35</v>
      </c>
      <c r="M382">
        <v>2</v>
      </c>
      <c r="N382">
        <v>3</v>
      </c>
      <c r="O382">
        <v>2</v>
      </c>
      <c r="P382" t="s">
        <v>59</v>
      </c>
      <c r="Q382" t="s">
        <v>85</v>
      </c>
      <c r="R382">
        <v>2</v>
      </c>
      <c r="S382">
        <v>9</v>
      </c>
      <c r="T382" t="s">
        <v>36</v>
      </c>
      <c r="U382" t="s">
        <v>79</v>
      </c>
      <c r="V382" t="s">
        <v>51</v>
      </c>
      <c r="W382" s="1">
        <v>45321</v>
      </c>
      <c r="X382" t="b">
        <v>0</v>
      </c>
      <c r="Y382" t="b">
        <v>1</v>
      </c>
      <c r="Z382" t="s">
        <v>74</v>
      </c>
      <c r="AA382" t="s">
        <v>41</v>
      </c>
      <c r="AB382">
        <v>7</v>
      </c>
    </row>
    <row r="383" spans="1:28" x14ac:dyDescent="0.25">
      <c r="A383" t="s">
        <v>847</v>
      </c>
      <c r="B383">
        <v>50</v>
      </c>
      <c r="C383" t="s">
        <v>43</v>
      </c>
      <c r="D383" t="s">
        <v>30</v>
      </c>
      <c r="E383" t="s">
        <v>55</v>
      </c>
      <c r="F383" t="s">
        <v>32</v>
      </c>
      <c r="G383" t="s">
        <v>44</v>
      </c>
      <c r="H383" t="s">
        <v>848</v>
      </c>
      <c r="I383" t="s">
        <v>158</v>
      </c>
      <c r="J383">
        <v>50.79</v>
      </c>
      <c r="K383">
        <v>12</v>
      </c>
      <c r="L383" t="s">
        <v>35</v>
      </c>
      <c r="M383">
        <v>5</v>
      </c>
      <c r="N383">
        <v>1</v>
      </c>
      <c r="O383">
        <v>0</v>
      </c>
      <c r="P383" t="s">
        <v>49</v>
      </c>
      <c r="Q383" t="s">
        <v>37</v>
      </c>
      <c r="R383">
        <v>0</v>
      </c>
      <c r="S383">
        <v>2</v>
      </c>
      <c r="T383" t="s">
        <v>49</v>
      </c>
      <c r="U383" t="s">
        <v>79</v>
      </c>
      <c r="V383" t="s">
        <v>66</v>
      </c>
      <c r="W383" s="1">
        <v>45440</v>
      </c>
      <c r="X383" t="b">
        <v>1</v>
      </c>
      <c r="Y383" t="b">
        <v>0</v>
      </c>
      <c r="Z383" t="s">
        <v>74</v>
      </c>
      <c r="AA383" t="s">
        <v>53</v>
      </c>
      <c r="AB383">
        <v>3</v>
      </c>
    </row>
    <row r="384" spans="1:28" x14ac:dyDescent="0.25">
      <c r="A384" t="s">
        <v>849</v>
      </c>
      <c r="B384">
        <v>42</v>
      </c>
      <c r="C384" t="s">
        <v>29</v>
      </c>
      <c r="D384" t="s">
        <v>30</v>
      </c>
      <c r="E384" t="s">
        <v>31</v>
      </c>
      <c r="F384" t="s">
        <v>45</v>
      </c>
      <c r="G384" t="s">
        <v>30</v>
      </c>
      <c r="H384" t="s">
        <v>850</v>
      </c>
      <c r="I384" t="s">
        <v>107</v>
      </c>
      <c r="J384">
        <v>264.3</v>
      </c>
      <c r="K384">
        <v>10</v>
      </c>
      <c r="L384" t="s">
        <v>48</v>
      </c>
      <c r="M384">
        <v>5</v>
      </c>
      <c r="N384">
        <v>4</v>
      </c>
      <c r="O384">
        <v>1</v>
      </c>
      <c r="P384" t="s">
        <v>59</v>
      </c>
      <c r="Q384" t="s">
        <v>50</v>
      </c>
      <c r="R384">
        <v>2</v>
      </c>
      <c r="S384">
        <v>2</v>
      </c>
      <c r="T384" t="s">
        <v>44</v>
      </c>
      <c r="U384" t="s">
        <v>60</v>
      </c>
      <c r="V384" t="s">
        <v>51</v>
      </c>
      <c r="W384" s="1">
        <v>45524</v>
      </c>
      <c r="X384" t="b">
        <v>1</v>
      </c>
      <c r="Y384" t="b">
        <v>1</v>
      </c>
      <c r="Z384" t="s">
        <v>74</v>
      </c>
      <c r="AA384" t="s">
        <v>41</v>
      </c>
      <c r="AB384">
        <v>5</v>
      </c>
    </row>
    <row r="385" spans="1:28" x14ac:dyDescent="0.25">
      <c r="A385" t="s">
        <v>851</v>
      </c>
      <c r="B385">
        <v>29</v>
      </c>
      <c r="C385" t="s">
        <v>43</v>
      </c>
      <c r="D385" t="s">
        <v>44</v>
      </c>
      <c r="E385" t="s">
        <v>31</v>
      </c>
      <c r="F385" t="s">
        <v>32</v>
      </c>
      <c r="G385" t="s">
        <v>30</v>
      </c>
      <c r="H385" t="s">
        <v>852</v>
      </c>
      <c r="I385" t="s">
        <v>101</v>
      </c>
      <c r="J385">
        <v>122.46</v>
      </c>
      <c r="K385">
        <v>12</v>
      </c>
      <c r="L385" t="s">
        <v>35</v>
      </c>
      <c r="M385">
        <v>2</v>
      </c>
      <c r="N385">
        <v>3</v>
      </c>
      <c r="O385">
        <v>0</v>
      </c>
      <c r="P385" t="s">
        <v>44</v>
      </c>
      <c r="Q385" t="s">
        <v>50</v>
      </c>
      <c r="R385">
        <v>0</v>
      </c>
      <c r="S385">
        <v>3</v>
      </c>
      <c r="T385" t="s">
        <v>59</v>
      </c>
      <c r="U385" t="s">
        <v>38</v>
      </c>
      <c r="V385" t="s">
        <v>39</v>
      </c>
      <c r="W385" s="1">
        <v>45337</v>
      </c>
      <c r="X385" t="b">
        <v>0</v>
      </c>
      <c r="Y385" t="b">
        <v>1</v>
      </c>
      <c r="Z385" t="s">
        <v>52</v>
      </c>
      <c r="AA385" t="s">
        <v>53</v>
      </c>
      <c r="AB385">
        <v>6</v>
      </c>
    </row>
    <row r="386" spans="1:28" x14ac:dyDescent="0.25">
      <c r="A386" t="s">
        <v>853</v>
      </c>
      <c r="B386">
        <v>20</v>
      </c>
      <c r="C386" t="s">
        <v>43</v>
      </c>
      <c r="D386" t="s">
        <v>30</v>
      </c>
      <c r="E386" t="s">
        <v>69</v>
      </c>
      <c r="F386" t="s">
        <v>45</v>
      </c>
      <c r="G386" t="s">
        <v>30</v>
      </c>
      <c r="H386" t="s">
        <v>854</v>
      </c>
      <c r="I386" t="s">
        <v>120</v>
      </c>
      <c r="J386">
        <v>238.01</v>
      </c>
      <c r="K386">
        <v>8</v>
      </c>
      <c r="L386" t="s">
        <v>48</v>
      </c>
      <c r="M386">
        <v>2</v>
      </c>
      <c r="N386">
        <v>2</v>
      </c>
      <c r="O386">
        <v>0</v>
      </c>
      <c r="P386" t="s">
        <v>44</v>
      </c>
      <c r="Q386" t="s">
        <v>37</v>
      </c>
      <c r="R386">
        <v>0</v>
      </c>
      <c r="S386">
        <v>9</v>
      </c>
      <c r="T386" t="s">
        <v>59</v>
      </c>
      <c r="U386" t="s">
        <v>79</v>
      </c>
      <c r="V386" t="s">
        <v>86</v>
      </c>
      <c r="W386" s="1">
        <v>45486</v>
      </c>
      <c r="X386" t="b">
        <v>0</v>
      </c>
      <c r="Y386" t="b">
        <v>1</v>
      </c>
      <c r="Z386" t="s">
        <v>40</v>
      </c>
      <c r="AA386" t="s">
        <v>53</v>
      </c>
      <c r="AB386">
        <v>5</v>
      </c>
    </row>
    <row r="387" spans="1:28" x14ac:dyDescent="0.25">
      <c r="A387" t="s">
        <v>855</v>
      </c>
      <c r="B387">
        <v>40</v>
      </c>
      <c r="C387" t="s">
        <v>190</v>
      </c>
      <c r="D387" t="s">
        <v>44</v>
      </c>
      <c r="E387" t="s">
        <v>31</v>
      </c>
      <c r="F387" t="s">
        <v>56</v>
      </c>
      <c r="G387" t="s">
        <v>30</v>
      </c>
      <c r="H387" t="s">
        <v>856</v>
      </c>
      <c r="I387" t="s">
        <v>65</v>
      </c>
      <c r="J387">
        <v>490.34</v>
      </c>
      <c r="K387">
        <v>4</v>
      </c>
      <c r="L387" t="s">
        <v>48</v>
      </c>
      <c r="M387">
        <v>5</v>
      </c>
      <c r="N387">
        <v>2</v>
      </c>
      <c r="O387">
        <v>2</v>
      </c>
      <c r="P387" t="s">
        <v>36</v>
      </c>
      <c r="Q387" t="s">
        <v>50</v>
      </c>
      <c r="R387">
        <v>2</v>
      </c>
      <c r="S387">
        <v>7</v>
      </c>
      <c r="T387" t="s">
        <v>44</v>
      </c>
      <c r="U387" t="s">
        <v>38</v>
      </c>
      <c r="V387" t="s">
        <v>66</v>
      </c>
      <c r="W387" s="1">
        <v>45399</v>
      </c>
      <c r="X387" t="b">
        <v>0</v>
      </c>
      <c r="Y387" t="b">
        <v>1</v>
      </c>
      <c r="Z387" t="s">
        <v>40</v>
      </c>
      <c r="AA387" t="s">
        <v>41</v>
      </c>
      <c r="AB387">
        <v>2</v>
      </c>
    </row>
    <row r="388" spans="1:28" x14ac:dyDescent="0.25">
      <c r="A388" t="s">
        <v>857</v>
      </c>
      <c r="B388">
        <v>38</v>
      </c>
      <c r="C388" t="s">
        <v>43</v>
      </c>
      <c r="D388" t="s">
        <v>44</v>
      </c>
      <c r="E388" t="s">
        <v>76</v>
      </c>
      <c r="F388" t="s">
        <v>32</v>
      </c>
      <c r="G388" t="s">
        <v>30</v>
      </c>
      <c r="H388" t="s">
        <v>858</v>
      </c>
      <c r="I388" t="s">
        <v>246</v>
      </c>
      <c r="J388">
        <v>245.98</v>
      </c>
      <c r="K388">
        <v>4</v>
      </c>
      <c r="L388" t="s">
        <v>35</v>
      </c>
      <c r="M388">
        <v>5</v>
      </c>
      <c r="N388">
        <v>1</v>
      </c>
      <c r="O388">
        <v>1</v>
      </c>
      <c r="P388" t="s">
        <v>44</v>
      </c>
      <c r="Q388" t="s">
        <v>50</v>
      </c>
      <c r="R388">
        <v>0</v>
      </c>
      <c r="S388">
        <v>1</v>
      </c>
      <c r="T388" t="s">
        <v>49</v>
      </c>
      <c r="U388" t="s">
        <v>79</v>
      </c>
      <c r="V388" t="s">
        <v>51</v>
      </c>
      <c r="W388" s="1">
        <v>45625</v>
      </c>
      <c r="X388" t="b">
        <v>0</v>
      </c>
      <c r="Y388" t="b">
        <v>0</v>
      </c>
      <c r="Z388" t="s">
        <v>74</v>
      </c>
      <c r="AA388" t="s">
        <v>53</v>
      </c>
      <c r="AB388">
        <v>10</v>
      </c>
    </row>
    <row r="389" spans="1:28" x14ac:dyDescent="0.25">
      <c r="A389" t="s">
        <v>859</v>
      </c>
      <c r="B389">
        <v>45</v>
      </c>
      <c r="C389" t="s">
        <v>212</v>
      </c>
      <c r="D389" t="s">
        <v>30</v>
      </c>
      <c r="E389" t="s">
        <v>69</v>
      </c>
      <c r="F389" t="s">
        <v>45</v>
      </c>
      <c r="G389" t="s">
        <v>44</v>
      </c>
      <c r="H389" t="s">
        <v>860</v>
      </c>
      <c r="I389" t="s">
        <v>107</v>
      </c>
      <c r="J389">
        <v>390.83</v>
      </c>
      <c r="K389">
        <v>9</v>
      </c>
      <c r="L389" t="s">
        <v>78</v>
      </c>
      <c r="M389">
        <v>5</v>
      </c>
      <c r="N389">
        <v>5</v>
      </c>
      <c r="O389">
        <v>0</v>
      </c>
      <c r="P389" t="s">
        <v>49</v>
      </c>
      <c r="Q389" t="s">
        <v>37</v>
      </c>
      <c r="R389">
        <v>0</v>
      </c>
      <c r="S389">
        <v>5</v>
      </c>
      <c r="T389" t="s">
        <v>44</v>
      </c>
      <c r="U389" t="s">
        <v>79</v>
      </c>
      <c r="V389" t="s">
        <v>86</v>
      </c>
      <c r="W389" s="1">
        <v>45593</v>
      </c>
      <c r="X389" t="b">
        <v>0</v>
      </c>
      <c r="Y389" t="b">
        <v>1</v>
      </c>
      <c r="Z389" t="s">
        <v>62</v>
      </c>
      <c r="AA389" t="s">
        <v>41</v>
      </c>
      <c r="AB389">
        <v>8</v>
      </c>
    </row>
    <row r="390" spans="1:28" x14ac:dyDescent="0.25">
      <c r="A390" t="s">
        <v>861</v>
      </c>
      <c r="B390">
        <v>49</v>
      </c>
      <c r="C390" t="s">
        <v>43</v>
      </c>
      <c r="D390" t="s">
        <v>44</v>
      </c>
      <c r="E390" t="s">
        <v>69</v>
      </c>
      <c r="F390" t="s">
        <v>45</v>
      </c>
      <c r="G390" t="s">
        <v>30</v>
      </c>
      <c r="H390" t="s">
        <v>862</v>
      </c>
      <c r="I390" t="s">
        <v>246</v>
      </c>
      <c r="J390">
        <v>158.84</v>
      </c>
      <c r="K390">
        <v>6</v>
      </c>
      <c r="L390" t="s">
        <v>78</v>
      </c>
      <c r="M390">
        <v>2</v>
      </c>
      <c r="N390">
        <v>1</v>
      </c>
      <c r="O390">
        <v>1</v>
      </c>
      <c r="P390" t="s">
        <v>36</v>
      </c>
      <c r="Q390" t="s">
        <v>50</v>
      </c>
      <c r="R390">
        <v>1</v>
      </c>
      <c r="S390">
        <v>8</v>
      </c>
      <c r="T390" t="s">
        <v>59</v>
      </c>
      <c r="U390" t="s">
        <v>79</v>
      </c>
      <c r="V390" t="s">
        <v>86</v>
      </c>
      <c r="W390" s="1">
        <v>45485</v>
      </c>
      <c r="X390" t="b">
        <v>1</v>
      </c>
      <c r="Y390" t="b">
        <v>1</v>
      </c>
      <c r="Z390" t="s">
        <v>40</v>
      </c>
      <c r="AA390" t="s">
        <v>67</v>
      </c>
      <c r="AB390">
        <v>5</v>
      </c>
    </row>
    <row r="391" spans="1:28" x14ac:dyDescent="0.25">
      <c r="A391" t="s">
        <v>863</v>
      </c>
      <c r="B391">
        <v>37</v>
      </c>
      <c r="C391" t="s">
        <v>43</v>
      </c>
      <c r="D391" t="s">
        <v>30</v>
      </c>
      <c r="E391" t="s">
        <v>55</v>
      </c>
      <c r="F391" t="s">
        <v>45</v>
      </c>
      <c r="G391" t="s">
        <v>30</v>
      </c>
      <c r="H391" t="s">
        <v>864</v>
      </c>
      <c r="I391" t="s">
        <v>123</v>
      </c>
      <c r="J391">
        <v>439.24</v>
      </c>
      <c r="K391">
        <v>8</v>
      </c>
      <c r="L391" t="s">
        <v>35</v>
      </c>
      <c r="M391">
        <v>3</v>
      </c>
      <c r="N391">
        <v>3</v>
      </c>
      <c r="O391">
        <v>1</v>
      </c>
      <c r="P391" t="s">
        <v>44</v>
      </c>
      <c r="Q391" t="s">
        <v>37</v>
      </c>
      <c r="R391">
        <v>2</v>
      </c>
      <c r="S391">
        <v>9</v>
      </c>
      <c r="T391" t="s">
        <v>49</v>
      </c>
      <c r="U391" t="s">
        <v>38</v>
      </c>
      <c r="V391" t="s">
        <v>66</v>
      </c>
      <c r="W391" s="1">
        <v>45499</v>
      </c>
      <c r="X391" t="b">
        <v>0</v>
      </c>
      <c r="Y391" t="b">
        <v>0</v>
      </c>
      <c r="Z391" t="s">
        <v>52</v>
      </c>
      <c r="AA391" t="s">
        <v>53</v>
      </c>
      <c r="AB391">
        <v>10</v>
      </c>
    </row>
    <row r="392" spans="1:28" x14ac:dyDescent="0.25">
      <c r="A392" t="s">
        <v>865</v>
      </c>
      <c r="B392">
        <v>23</v>
      </c>
      <c r="C392" t="s">
        <v>212</v>
      </c>
      <c r="D392" t="s">
        <v>30</v>
      </c>
      <c r="E392" t="s">
        <v>69</v>
      </c>
      <c r="F392" t="s">
        <v>56</v>
      </c>
      <c r="G392" t="s">
        <v>44</v>
      </c>
      <c r="H392" t="s">
        <v>866</v>
      </c>
      <c r="I392" t="s">
        <v>126</v>
      </c>
      <c r="J392">
        <v>92.43</v>
      </c>
      <c r="K392">
        <v>12</v>
      </c>
      <c r="L392" t="s">
        <v>35</v>
      </c>
      <c r="M392">
        <v>4</v>
      </c>
      <c r="N392">
        <v>1</v>
      </c>
      <c r="O392">
        <v>0</v>
      </c>
      <c r="P392" t="s">
        <v>49</v>
      </c>
      <c r="Q392" t="s">
        <v>37</v>
      </c>
      <c r="R392">
        <v>2</v>
      </c>
      <c r="S392">
        <v>9</v>
      </c>
      <c r="T392" t="s">
        <v>36</v>
      </c>
      <c r="U392" t="s">
        <v>60</v>
      </c>
      <c r="V392" t="s">
        <v>66</v>
      </c>
      <c r="W392" s="1">
        <v>45631</v>
      </c>
      <c r="X392" t="b">
        <v>0</v>
      </c>
      <c r="Y392" t="b">
        <v>1</v>
      </c>
      <c r="Z392" t="s">
        <v>40</v>
      </c>
      <c r="AA392" t="s">
        <v>53</v>
      </c>
      <c r="AB392">
        <v>6</v>
      </c>
    </row>
    <row r="393" spans="1:28" x14ac:dyDescent="0.25">
      <c r="A393" t="s">
        <v>867</v>
      </c>
      <c r="B393">
        <v>48</v>
      </c>
      <c r="C393" t="s">
        <v>29</v>
      </c>
      <c r="D393" t="s">
        <v>44</v>
      </c>
      <c r="E393" t="s">
        <v>31</v>
      </c>
      <c r="F393" t="s">
        <v>56</v>
      </c>
      <c r="G393" t="s">
        <v>30</v>
      </c>
      <c r="H393" t="s">
        <v>868</v>
      </c>
      <c r="I393" t="s">
        <v>183</v>
      </c>
      <c r="J393">
        <v>333.15</v>
      </c>
      <c r="K393">
        <v>9</v>
      </c>
      <c r="L393" t="s">
        <v>35</v>
      </c>
      <c r="M393">
        <v>1</v>
      </c>
      <c r="N393">
        <v>5</v>
      </c>
      <c r="O393">
        <v>1</v>
      </c>
      <c r="P393" t="s">
        <v>44</v>
      </c>
      <c r="Q393" t="s">
        <v>85</v>
      </c>
      <c r="R393">
        <v>1</v>
      </c>
      <c r="S393">
        <v>8</v>
      </c>
      <c r="T393" t="s">
        <v>44</v>
      </c>
      <c r="U393" t="s">
        <v>60</v>
      </c>
      <c r="V393" t="s">
        <v>66</v>
      </c>
      <c r="W393" s="1">
        <v>45516</v>
      </c>
      <c r="X393" t="b">
        <v>0</v>
      </c>
      <c r="Y393" t="b">
        <v>0</v>
      </c>
      <c r="Z393" t="s">
        <v>62</v>
      </c>
      <c r="AA393" t="s">
        <v>53</v>
      </c>
      <c r="AB393">
        <v>14</v>
      </c>
    </row>
    <row r="394" spans="1:28" x14ac:dyDescent="0.25">
      <c r="A394" t="s">
        <v>869</v>
      </c>
      <c r="B394">
        <v>19</v>
      </c>
      <c r="C394" t="s">
        <v>43</v>
      </c>
      <c r="D394" t="s">
        <v>30</v>
      </c>
      <c r="E394" t="s">
        <v>76</v>
      </c>
      <c r="F394" t="s">
        <v>56</v>
      </c>
      <c r="G394" t="s">
        <v>30</v>
      </c>
      <c r="H394" t="s">
        <v>870</v>
      </c>
      <c r="I394" t="s">
        <v>98</v>
      </c>
      <c r="J394">
        <v>64.22</v>
      </c>
      <c r="K394">
        <v>9</v>
      </c>
      <c r="L394" t="s">
        <v>78</v>
      </c>
      <c r="M394">
        <v>1</v>
      </c>
      <c r="N394">
        <v>1</v>
      </c>
      <c r="O394">
        <v>2</v>
      </c>
      <c r="P394" t="s">
        <v>44</v>
      </c>
      <c r="Q394" t="s">
        <v>37</v>
      </c>
      <c r="R394">
        <v>1</v>
      </c>
      <c r="S394">
        <v>9</v>
      </c>
      <c r="T394" t="s">
        <v>49</v>
      </c>
      <c r="U394" t="s">
        <v>60</v>
      </c>
      <c r="V394" t="s">
        <v>51</v>
      </c>
      <c r="W394" s="1">
        <v>45293</v>
      </c>
      <c r="X394" t="b">
        <v>1</v>
      </c>
      <c r="Y394" t="b">
        <v>0</v>
      </c>
      <c r="Z394" t="s">
        <v>62</v>
      </c>
      <c r="AA394" t="s">
        <v>41</v>
      </c>
      <c r="AB394">
        <v>10</v>
      </c>
    </row>
    <row r="395" spans="1:28" x14ac:dyDescent="0.25">
      <c r="A395" t="s">
        <v>871</v>
      </c>
      <c r="B395">
        <v>46</v>
      </c>
      <c r="C395" t="s">
        <v>29</v>
      </c>
      <c r="D395" t="s">
        <v>44</v>
      </c>
      <c r="E395" t="s">
        <v>55</v>
      </c>
      <c r="F395" t="s">
        <v>45</v>
      </c>
      <c r="G395" t="s">
        <v>44</v>
      </c>
      <c r="H395" t="s">
        <v>872</v>
      </c>
      <c r="I395" t="s">
        <v>65</v>
      </c>
      <c r="J395">
        <v>290.52999999999997</v>
      </c>
      <c r="K395">
        <v>3</v>
      </c>
      <c r="L395" t="s">
        <v>78</v>
      </c>
      <c r="M395">
        <v>3</v>
      </c>
      <c r="N395">
        <v>2</v>
      </c>
      <c r="O395">
        <v>1</v>
      </c>
      <c r="P395" t="s">
        <v>59</v>
      </c>
      <c r="Q395" t="s">
        <v>85</v>
      </c>
      <c r="R395">
        <v>0</v>
      </c>
      <c r="S395">
        <v>6</v>
      </c>
      <c r="T395" t="s">
        <v>44</v>
      </c>
      <c r="U395" t="s">
        <v>79</v>
      </c>
      <c r="V395" t="s">
        <v>61</v>
      </c>
      <c r="W395" s="1">
        <v>45600</v>
      </c>
      <c r="X395" t="b">
        <v>1</v>
      </c>
      <c r="Y395" t="b">
        <v>0</v>
      </c>
      <c r="Z395" t="s">
        <v>74</v>
      </c>
      <c r="AA395" t="s">
        <v>41</v>
      </c>
      <c r="AB395">
        <v>10</v>
      </c>
    </row>
    <row r="396" spans="1:28" x14ac:dyDescent="0.25">
      <c r="A396" t="s">
        <v>873</v>
      </c>
      <c r="B396">
        <v>39</v>
      </c>
      <c r="C396" t="s">
        <v>43</v>
      </c>
      <c r="D396" t="s">
        <v>30</v>
      </c>
      <c r="E396" t="s">
        <v>76</v>
      </c>
      <c r="F396" t="s">
        <v>32</v>
      </c>
      <c r="G396" t="s">
        <v>44</v>
      </c>
      <c r="H396" t="s">
        <v>874</v>
      </c>
      <c r="I396" t="s">
        <v>123</v>
      </c>
      <c r="J396">
        <v>251.8</v>
      </c>
      <c r="K396">
        <v>6</v>
      </c>
      <c r="L396" t="s">
        <v>35</v>
      </c>
      <c r="M396">
        <v>5</v>
      </c>
      <c r="N396">
        <v>1</v>
      </c>
      <c r="O396">
        <v>2</v>
      </c>
      <c r="P396" t="s">
        <v>44</v>
      </c>
      <c r="Q396" t="s">
        <v>85</v>
      </c>
      <c r="R396">
        <v>1</v>
      </c>
      <c r="S396">
        <v>8</v>
      </c>
      <c r="T396" t="s">
        <v>59</v>
      </c>
      <c r="U396" t="s">
        <v>60</v>
      </c>
      <c r="V396" t="s">
        <v>61</v>
      </c>
      <c r="W396" s="1">
        <v>45478</v>
      </c>
      <c r="X396" t="b">
        <v>1</v>
      </c>
      <c r="Y396" t="b">
        <v>1</v>
      </c>
      <c r="Z396" t="s">
        <v>62</v>
      </c>
      <c r="AA396" t="s">
        <v>41</v>
      </c>
      <c r="AB396">
        <v>11</v>
      </c>
    </row>
    <row r="397" spans="1:28" x14ac:dyDescent="0.25">
      <c r="A397" t="s">
        <v>875</v>
      </c>
      <c r="B397">
        <v>27</v>
      </c>
      <c r="C397" t="s">
        <v>212</v>
      </c>
      <c r="D397" t="s">
        <v>30</v>
      </c>
      <c r="E397" t="s">
        <v>76</v>
      </c>
      <c r="F397" t="s">
        <v>56</v>
      </c>
      <c r="G397" t="s">
        <v>30</v>
      </c>
      <c r="H397" t="s">
        <v>876</v>
      </c>
      <c r="I397" t="s">
        <v>90</v>
      </c>
      <c r="J397">
        <v>480.52</v>
      </c>
      <c r="K397">
        <v>3</v>
      </c>
      <c r="L397" t="s">
        <v>78</v>
      </c>
      <c r="M397">
        <v>5</v>
      </c>
      <c r="N397">
        <v>4</v>
      </c>
      <c r="O397">
        <v>2</v>
      </c>
      <c r="P397" t="s">
        <v>59</v>
      </c>
      <c r="Q397" t="s">
        <v>37</v>
      </c>
      <c r="R397">
        <v>1</v>
      </c>
      <c r="S397">
        <v>5</v>
      </c>
      <c r="T397" t="s">
        <v>36</v>
      </c>
      <c r="U397" t="s">
        <v>60</v>
      </c>
      <c r="V397" t="s">
        <v>86</v>
      </c>
      <c r="W397" s="1">
        <v>45412</v>
      </c>
      <c r="X397" t="b">
        <v>0</v>
      </c>
      <c r="Y397" t="b">
        <v>0</v>
      </c>
      <c r="Z397" t="s">
        <v>74</v>
      </c>
      <c r="AA397" t="s">
        <v>41</v>
      </c>
      <c r="AB397">
        <v>13</v>
      </c>
    </row>
    <row r="398" spans="1:28" x14ac:dyDescent="0.25">
      <c r="A398" t="s">
        <v>877</v>
      </c>
      <c r="B398">
        <v>28</v>
      </c>
      <c r="C398" t="s">
        <v>29</v>
      </c>
      <c r="D398" t="s">
        <v>30</v>
      </c>
      <c r="E398" t="s">
        <v>31</v>
      </c>
      <c r="F398" t="s">
        <v>45</v>
      </c>
      <c r="G398" t="s">
        <v>44</v>
      </c>
      <c r="H398" t="s">
        <v>878</v>
      </c>
      <c r="I398" t="s">
        <v>114</v>
      </c>
      <c r="J398">
        <v>461.71</v>
      </c>
      <c r="K398">
        <v>10</v>
      </c>
      <c r="L398" t="s">
        <v>35</v>
      </c>
      <c r="M398">
        <v>3</v>
      </c>
      <c r="N398">
        <v>1</v>
      </c>
      <c r="O398">
        <v>0</v>
      </c>
      <c r="P398" t="s">
        <v>59</v>
      </c>
      <c r="Q398" t="s">
        <v>50</v>
      </c>
      <c r="R398">
        <v>0</v>
      </c>
      <c r="S398">
        <v>9</v>
      </c>
      <c r="T398" t="s">
        <v>44</v>
      </c>
      <c r="U398" t="s">
        <v>60</v>
      </c>
      <c r="V398" t="s">
        <v>86</v>
      </c>
      <c r="W398" s="1">
        <v>45338</v>
      </c>
      <c r="X398" t="b">
        <v>0</v>
      </c>
      <c r="Y398" t="b">
        <v>0</v>
      </c>
      <c r="Z398" t="s">
        <v>74</v>
      </c>
      <c r="AA398" t="s">
        <v>53</v>
      </c>
      <c r="AB398">
        <v>11</v>
      </c>
    </row>
    <row r="399" spans="1:28" x14ac:dyDescent="0.25">
      <c r="A399" t="s">
        <v>879</v>
      </c>
      <c r="B399">
        <v>50</v>
      </c>
      <c r="C399" t="s">
        <v>29</v>
      </c>
      <c r="D399" t="s">
        <v>44</v>
      </c>
      <c r="E399" t="s">
        <v>31</v>
      </c>
      <c r="F399" t="s">
        <v>45</v>
      </c>
      <c r="G399" t="s">
        <v>30</v>
      </c>
      <c r="H399" t="s">
        <v>880</v>
      </c>
      <c r="I399" t="s">
        <v>120</v>
      </c>
      <c r="J399">
        <v>288.33999999999997</v>
      </c>
      <c r="K399">
        <v>12</v>
      </c>
      <c r="L399" t="s">
        <v>35</v>
      </c>
      <c r="M399">
        <v>5</v>
      </c>
      <c r="N399">
        <v>2</v>
      </c>
      <c r="O399">
        <v>2</v>
      </c>
      <c r="P399" t="s">
        <v>36</v>
      </c>
      <c r="Q399" t="s">
        <v>85</v>
      </c>
      <c r="R399">
        <v>0</v>
      </c>
      <c r="S399">
        <v>8</v>
      </c>
      <c r="T399" t="s">
        <v>59</v>
      </c>
      <c r="U399" t="s">
        <v>38</v>
      </c>
      <c r="V399" t="s">
        <v>86</v>
      </c>
      <c r="W399" s="1">
        <v>45371</v>
      </c>
      <c r="X399" t="b">
        <v>0</v>
      </c>
      <c r="Y399" t="b">
        <v>0</v>
      </c>
      <c r="Z399" t="s">
        <v>40</v>
      </c>
      <c r="AA399" t="s">
        <v>67</v>
      </c>
      <c r="AB399">
        <v>6</v>
      </c>
    </row>
    <row r="400" spans="1:28" x14ac:dyDescent="0.25">
      <c r="A400" t="s">
        <v>881</v>
      </c>
      <c r="B400">
        <v>19</v>
      </c>
      <c r="C400" t="s">
        <v>29</v>
      </c>
      <c r="D400" t="s">
        <v>44</v>
      </c>
      <c r="E400" t="s">
        <v>76</v>
      </c>
      <c r="F400" t="s">
        <v>32</v>
      </c>
      <c r="G400" t="s">
        <v>44</v>
      </c>
      <c r="H400" t="s">
        <v>882</v>
      </c>
      <c r="I400" t="s">
        <v>34</v>
      </c>
      <c r="J400">
        <v>194.08</v>
      </c>
      <c r="K400">
        <v>3</v>
      </c>
      <c r="L400" t="s">
        <v>48</v>
      </c>
      <c r="M400">
        <v>5</v>
      </c>
      <c r="N400">
        <v>5</v>
      </c>
      <c r="O400">
        <v>1</v>
      </c>
      <c r="P400" t="s">
        <v>59</v>
      </c>
      <c r="Q400" t="s">
        <v>50</v>
      </c>
      <c r="R400">
        <v>0</v>
      </c>
      <c r="S400">
        <v>2</v>
      </c>
      <c r="T400" t="s">
        <v>36</v>
      </c>
      <c r="U400" t="s">
        <v>60</v>
      </c>
      <c r="V400" t="s">
        <v>51</v>
      </c>
      <c r="W400" s="1">
        <v>45592</v>
      </c>
      <c r="X400" t="b">
        <v>1</v>
      </c>
      <c r="Y400" t="b">
        <v>1</v>
      </c>
      <c r="Z400" t="s">
        <v>52</v>
      </c>
      <c r="AA400" t="s">
        <v>53</v>
      </c>
      <c r="AB400">
        <v>13</v>
      </c>
    </row>
    <row r="401" spans="1:28" x14ac:dyDescent="0.25">
      <c r="A401" t="s">
        <v>883</v>
      </c>
      <c r="B401">
        <v>27</v>
      </c>
      <c r="C401" t="s">
        <v>274</v>
      </c>
      <c r="D401" t="s">
        <v>30</v>
      </c>
      <c r="E401" t="s">
        <v>69</v>
      </c>
      <c r="F401" t="s">
        <v>45</v>
      </c>
      <c r="G401" t="s">
        <v>44</v>
      </c>
      <c r="H401" t="s">
        <v>884</v>
      </c>
      <c r="I401" t="s">
        <v>194</v>
      </c>
      <c r="J401">
        <v>198.45</v>
      </c>
      <c r="K401">
        <v>11</v>
      </c>
      <c r="L401" t="s">
        <v>78</v>
      </c>
      <c r="M401">
        <v>3</v>
      </c>
      <c r="N401">
        <v>5</v>
      </c>
      <c r="O401">
        <v>1</v>
      </c>
      <c r="P401" t="s">
        <v>44</v>
      </c>
      <c r="Q401" t="s">
        <v>50</v>
      </c>
      <c r="R401">
        <v>2</v>
      </c>
      <c r="S401">
        <v>8</v>
      </c>
      <c r="T401" t="s">
        <v>44</v>
      </c>
      <c r="U401" t="s">
        <v>38</v>
      </c>
      <c r="V401" t="s">
        <v>51</v>
      </c>
      <c r="W401" s="1">
        <v>45416</v>
      </c>
      <c r="X401" t="b">
        <v>1</v>
      </c>
      <c r="Y401" t="b">
        <v>0</v>
      </c>
      <c r="Z401" t="s">
        <v>52</v>
      </c>
      <c r="AA401" t="s">
        <v>41</v>
      </c>
      <c r="AB401">
        <v>5</v>
      </c>
    </row>
    <row r="402" spans="1:28" x14ac:dyDescent="0.25">
      <c r="A402" t="s">
        <v>885</v>
      </c>
      <c r="B402">
        <v>23</v>
      </c>
      <c r="C402" t="s">
        <v>43</v>
      </c>
      <c r="D402" t="s">
        <v>44</v>
      </c>
      <c r="E402" t="s">
        <v>31</v>
      </c>
      <c r="F402" t="s">
        <v>56</v>
      </c>
      <c r="G402" t="s">
        <v>30</v>
      </c>
      <c r="H402" t="s">
        <v>886</v>
      </c>
      <c r="I402" t="s">
        <v>123</v>
      </c>
      <c r="J402">
        <v>216.45</v>
      </c>
      <c r="K402">
        <v>5</v>
      </c>
      <c r="L402" t="s">
        <v>35</v>
      </c>
      <c r="M402">
        <v>5</v>
      </c>
      <c r="N402">
        <v>2</v>
      </c>
      <c r="O402">
        <v>0</v>
      </c>
      <c r="P402" t="s">
        <v>49</v>
      </c>
      <c r="Q402" t="s">
        <v>85</v>
      </c>
      <c r="R402">
        <v>2</v>
      </c>
      <c r="S402">
        <v>7</v>
      </c>
      <c r="T402" t="s">
        <v>59</v>
      </c>
      <c r="U402" t="s">
        <v>38</v>
      </c>
      <c r="V402" t="s">
        <v>39</v>
      </c>
      <c r="W402" s="1">
        <v>45596</v>
      </c>
      <c r="X402" t="b">
        <v>0</v>
      </c>
      <c r="Y402" t="b">
        <v>0</v>
      </c>
      <c r="Z402" t="s">
        <v>40</v>
      </c>
      <c r="AA402" t="s">
        <v>41</v>
      </c>
      <c r="AB402">
        <v>3</v>
      </c>
    </row>
    <row r="403" spans="1:28" x14ac:dyDescent="0.25">
      <c r="A403" t="s">
        <v>887</v>
      </c>
      <c r="B403">
        <v>19</v>
      </c>
      <c r="C403" t="s">
        <v>29</v>
      </c>
      <c r="D403" t="s">
        <v>44</v>
      </c>
      <c r="E403" t="s">
        <v>69</v>
      </c>
      <c r="F403" t="s">
        <v>32</v>
      </c>
      <c r="G403" t="s">
        <v>44</v>
      </c>
      <c r="H403" t="s">
        <v>888</v>
      </c>
      <c r="I403" t="s">
        <v>123</v>
      </c>
      <c r="J403">
        <v>358.72</v>
      </c>
      <c r="K403">
        <v>5</v>
      </c>
      <c r="L403" t="s">
        <v>48</v>
      </c>
      <c r="M403">
        <v>3</v>
      </c>
      <c r="N403">
        <v>5</v>
      </c>
      <c r="O403">
        <v>1</v>
      </c>
      <c r="P403" t="s">
        <v>59</v>
      </c>
      <c r="Q403" t="s">
        <v>85</v>
      </c>
      <c r="R403">
        <v>0</v>
      </c>
      <c r="S403">
        <v>8</v>
      </c>
      <c r="T403" t="s">
        <v>59</v>
      </c>
      <c r="U403" t="s">
        <v>38</v>
      </c>
      <c r="V403" t="s">
        <v>39</v>
      </c>
      <c r="W403" s="1">
        <v>45328</v>
      </c>
      <c r="X403" t="b">
        <v>1</v>
      </c>
      <c r="Y403" t="b">
        <v>1</v>
      </c>
      <c r="Z403" t="s">
        <v>62</v>
      </c>
      <c r="AA403" t="s">
        <v>53</v>
      </c>
      <c r="AB403">
        <v>12</v>
      </c>
    </row>
    <row r="404" spans="1:28" x14ac:dyDescent="0.25">
      <c r="A404" t="s">
        <v>889</v>
      </c>
      <c r="B404">
        <v>22</v>
      </c>
      <c r="C404" t="s">
        <v>29</v>
      </c>
      <c r="D404" t="s">
        <v>30</v>
      </c>
      <c r="E404" t="s">
        <v>69</v>
      </c>
      <c r="F404" t="s">
        <v>32</v>
      </c>
      <c r="G404" t="s">
        <v>44</v>
      </c>
      <c r="H404" t="s">
        <v>890</v>
      </c>
      <c r="I404" t="s">
        <v>98</v>
      </c>
      <c r="J404">
        <v>367.56</v>
      </c>
      <c r="K404">
        <v>9</v>
      </c>
      <c r="L404" t="s">
        <v>78</v>
      </c>
      <c r="M404">
        <v>4</v>
      </c>
      <c r="N404">
        <v>5</v>
      </c>
      <c r="O404">
        <v>1</v>
      </c>
      <c r="P404" t="s">
        <v>36</v>
      </c>
      <c r="Q404" t="s">
        <v>50</v>
      </c>
      <c r="R404">
        <v>0</v>
      </c>
      <c r="S404">
        <v>8</v>
      </c>
      <c r="T404" t="s">
        <v>59</v>
      </c>
      <c r="U404" t="s">
        <v>60</v>
      </c>
      <c r="V404" t="s">
        <v>66</v>
      </c>
      <c r="W404" s="1">
        <v>45491</v>
      </c>
      <c r="X404" t="b">
        <v>0</v>
      </c>
      <c r="Y404" t="b">
        <v>0</v>
      </c>
      <c r="Z404" t="s">
        <v>40</v>
      </c>
      <c r="AA404" t="s">
        <v>53</v>
      </c>
      <c r="AB404">
        <v>14</v>
      </c>
    </row>
    <row r="405" spans="1:28" x14ac:dyDescent="0.25">
      <c r="A405" t="s">
        <v>891</v>
      </c>
      <c r="B405">
        <v>40</v>
      </c>
      <c r="C405" t="s">
        <v>43</v>
      </c>
      <c r="D405" t="s">
        <v>30</v>
      </c>
      <c r="E405" t="s">
        <v>76</v>
      </c>
      <c r="F405" t="s">
        <v>45</v>
      </c>
      <c r="G405" t="s">
        <v>44</v>
      </c>
      <c r="H405" t="s">
        <v>892</v>
      </c>
      <c r="I405" t="s">
        <v>183</v>
      </c>
      <c r="J405">
        <v>88.78</v>
      </c>
      <c r="K405">
        <v>10</v>
      </c>
      <c r="L405" t="s">
        <v>78</v>
      </c>
      <c r="M405">
        <v>5</v>
      </c>
      <c r="N405">
        <v>3</v>
      </c>
      <c r="O405">
        <v>0</v>
      </c>
      <c r="P405" t="s">
        <v>44</v>
      </c>
      <c r="Q405" t="s">
        <v>85</v>
      </c>
      <c r="R405">
        <v>1</v>
      </c>
      <c r="S405">
        <v>7</v>
      </c>
      <c r="T405" t="s">
        <v>49</v>
      </c>
      <c r="U405" t="s">
        <v>79</v>
      </c>
      <c r="V405" t="s">
        <v>51</v>
      </c>
      <c r="W405" s="1">
        <v>45297</v>
      </c>
      <c r="X405" t="b">
        <v>0</v>
      </c>
      <c r="Y405" t="b">
        <v>0</v>
      </c>
      <c r="Z405" t="s">
        <v>74</v>
      </c>
      <c r="AA405" t="s">
        <v>53</v>
      </c>
      <c r="AB405">
        <v>13</v>
      </c>
    </row>
    <row r="406" spans="1:28" x14ac:dyDescent="0.25">
      <c r="A406" t="s">
        <v>893</v>
      </c>
      <c r="B406">
        <v>48</v>
      </c>
      <c r="C406" t="s">
        <v>43</v>
      </c>
      <c r="D406" t="s">
        <v>30</v>
      </c>
      <c r="E406" t="s">
        <v>31</v>
      </c>
      <c r="F406" t="s">
        <v>32</v>
      </c>
      <c r="G406" t="s">
        <v>30</v>
      </c>
      <c r="H406" t="s">
        <v>894</v>
      </c>
      <c r="I406" t="s">
        <v>47</v>
      </c>
      <c r="J406">
        <v>465.85</v>
      </c>
      <c r="K406">
        <v>10</v>
      </c>
      <c r="L406" t="s">
        <v>78</v>
      </c>
      <c r="M406">
        <v>5</v>
      </c>
      <c r="N406">
        <v>3</v>
      </c>
      <c r="O406">
        <v>2</v>
      </c>
      <c r="P406" t="s">
        <v>36</v>
      </c>
      <c r="Q406" t="s">
        <v>37</v>
      </c>
      <c r="R406">
        <v>2</v>
      </c>
      <c r="S406">
        <v>10</v>
      </c>
      <c r="T406" t="s">
        <v>49</v>
      </c>
      <c r="U406" t="s">
        <v>79</v>
      </c>
      <c r="V406" t="s">
        <v>51</v>
      </c>
      <c r="W406" s="1">
        <v>45386</v>
      </c>
      <c r="X406" t="b">
        <v>1</v>
      </c>
      <c r="Y406" t="b">
        <v>0</v>
      </c>
      <c r="Z406" t="s">
        <v>52</v>
      </c>
      <c r="AA406" t="s">
        <v>53</v>
      </c>
      <c r="AB406">
        <v>7</v>
      </c>
    </row>
    <row r="407" spans="1:28" x14ac:dyDescent="0.25">
      <c r="A407" t="s">
        <v>895</v>
      </c>
      <c r="B407">
        <v>49</v>
      </c>
      <c r="C407" t="s">
        <v>43</v>
      </c>
      <c r="D407" t="s">
        <v>30</v>
      </c>
      <c r="E407" t="s">
        <v>31</v>
      </c>
      <c r="F407" t="s">
        <v>45</v>
      </c>
      <c r="G407" t="s">
        <v>44</v>
      </c>
      <c r="H407" t="s">
        <v>896</v>
      </c>
      <c r="I407" t="s">
        <v>183</v>
      </c>
      <c r="J407">
        <v>262.61</v>
      </c>
      <c r="K407">
        <v>3</v>
      </c>
      <c r="L407" t="s">
        <v>48</v>
      </c>
      <c r="M407">
        <v>2</v>
      </c>
      <c r="N407">
        <v>5</v>
      </c>
      <c r="O407">
        <v>1</v>
      </c>
      <c r="P407" t="s">
        <v>49</v>
      </c>
      <c r="Q407" t="s">
        <v>37</v>
      </c>
      <c r="R407">
        <v>0</v>
      </c>
      <c r="S407">
        <v>10</v>
      </c>
      <c r="T407" t="s">
        <v>49</v>
      </c>
      <c r="U407" t="s">
        <v>60</v>
      </c>
      <c r="V407" t="s">
        <v>66</v>
      </c>
      <c r="W407" s="1">
        <v>45350</v>
      </c>
      <c r="X407" t="b">
        <v>0</v>
      </c>
      <c r="Y407" t="b">
        <v>1</v>
      </c>
      <c r="Z407" t="s">
        <v>52</v>
      </c>
      <c r="AA407" t="s">
        <v>53</v>
      </c>
      <c r="AB407">
        <v>6</v>
      </c>
    </row>
    <row r="408" spans="1:28" x14ac:dyDescent="0.25">
      <c r="A408" t="s">
        <v>897</v>
      </c>
      <c r="B408">
        <v>45</v>
      </c>
      <c r="C408" t="s">
        <v>274</v>
      </c>
      <c r="D408" t="s">
        <v>30</v>
      </c>
      <c r="E408" t="s">
        <v>69</v>
      </c>
      <c r="F408" t="s">
        <v>56</v>
      </c>
      <c r="G408" t="s">
        <v>30</v>
      </c>
      <c r="H408" t="s">
        <v>898</v>
      </c>
      <c r="I408" t="s">
        <v>65</v>
      </c>
      <c r="J408">
        <v>91.24</v>
      </c>
      <c r="K408">
        <v>8</v>
      </c>
      <c r="L408" t="s">
        <v>48</v>
      </c>
      <c r="M408">
        <v>4</v>
      </c>
      <c r="N408">
        <v>3</v>
      </c>
      <c r="O408">
        <v>0</v>
      </c>
      <c r="P408" t="s">
        <v>44</v>
      </c>
      <c r="Q408" t="s">
        <v>37</v>
      </c>
      <c r="R408">
        <v>0</v>
      </c>
      <c r="S408">
        <v>4</v>
      </c>
      <c r="T408" t="s">
        <v>59</v>
      </c>
      <c r="U408" t="s">
        <v>38</v>
      </c>
      <c r="V408" t="s">
        <v>86</v>
      </c>
      <c r="W408" s="1">
        <v>45593</v>
      </c>
      <c r="X408" t="b">
        <v>1</v>
      </c>
      <c r="Y408" t="b">
        <v>0</v>
      </c>
      <c r="Z408" t="s">
        <v>52</v>
      </c>
      <c r="AA408" t="s">
        <v>53</v>
      </c>
      <c r="AB408">
        <v>4</v>
      </c>
    </row>
    <row r="409" spans="1:28" x14ac:dyDescent="0.25">
      <c r="A409" t="s">
        <v>899</v>
      </c>
      <c r="B409">
        <v>42</v>
      </c>
      <c r="C409" t="s">
        <v>29</v>
      </c>
      <c r="D409" t="s">
        <v>44</v>
      </c>
      <c r="E409" t="s">
        <v>31</v>
      </c>
      <c r="F409" t="s">
        <v>45</v>
      </c>
      <c r="G409" t="s">
        <v>44</v>
      </c>
      <c r="H409" t="s">
        <v>900</v>
      </c>
      <c r="I409" t="s">
        <v>98</v>
      </c>
      <c r="J409">
        <v>425.69</v>
      </c>
      <c r="K409">
        <v>5</v>
      </c>
      <c r="L409" t="s">
        <v>48</v>
      </c>
      <c r="M409">
        <v>2</v>
      </c>
      <c r="N409">
        <v>5</v>
      </c>
      <c r="O409">
        <v>0</v>
      </c>
      <c r="P409" t="s">
        <v>44</v>
      </c>
      <c r="Q409" t="s">
        <v>85</v>
      </c>
      <c r="R409">
        <v>0</v>
      </c>
      <c r="S409">
        <v>4</v>
      </c>
      <c r="T409" t="s">
        <v>49</v>
      </c>
      <c r="U409" t="s">
        <v>38</v>
      </c>
      <c r="V409" t="s">
        <v>39</v>
      </c>
      <c r="W409" s="1">
        <v>45464</v>
      </c>
      <c r="X409" t="b">
        <v>0</v>
      </c>
      <c r="Y409" t="b">
        <v>1</v>
      </c>
      <c r="Z409" t="s">
        <v>62</v>
      </c>
      <c r="AA409" t="s">
        <v>41</v>
      </c>
      <c r="AB409">
        <v>4</v>
      </c>
    </row>
    <row r="410" spans="1:28" x14ac:dyDescent="0.25">
      <c r="A410" t="s">
        <v>901</v>
      </c>
      <c r="B410">
        <v>41</v>
      </c>
      <c r="C410" t="s">
        <v>29</v>
      </c>
      <c r="D410" t="s">
        <v>44</v>
      </c>
      <c r="E410" t="s">
        <v>31</v>
      </c>
      <c r="F410" t="s">
        <v>32</v>
      </c>
      <c r="G410" t="s">
        <v>44</v>
      </c>
      <c r="H410" t="s">
        <v>902</v>
      </c>
      <c r="I410" t="s">
        <v>114</v>
      </c>
      <c r="J410">
        <v>446.11</v>
      </c>
      <c r="K410">
        <v>9</v>
      </c>
      <c r="L410" t="s">
        <v>35</v>
      </c>
      <c r="M410">
        <v>3</v>
      </c>
      <c r="N410">
        <v>1</v>
      </c>
      <c r="O410">
        <v>1</v>
      </c>
      <c r="P410" t="s">
        <v>49</v>
      </c>
      <c r="Q410" t="s">
        <v>85</v>
      </c>
      <c r="R410">
        <v>0</v>
      </c>
      <c r="S410">
        <v>10</v>
      </c>
      <c r="T410" t="s">
        <v>49</v>
      </c>
      <c r="U410" t="s">
        <v>79</v>
      </c>
      <c r="V410" t="s">
        <v>51</v>
      </c>
      <c r="W410" s="1">
        <v>45449</v>
      </c>
      <c r="X410" t="b">
        <v>1</v>
      </c>
      <c r="Y410" t="b">
        <v>1</v>
      </c>
      <c r="Z410" t="s">
        <v>52</v>
      </c>
      <c r="AA410" t="s">
        <v>67</v>
      </c>
      <c r="AB410">
        <v>11</v>
      </c>
    </row>
    <row r="411" spans="1:28" x14ac:dyDescent="0.25">
      <c r="A411" t="s">
        <v>903</v>
      </c>
      <c r="B411">
        <v>23</v>
      </c>
      <c r="C411" t="s">
        <v>88</v>
      </c>
      <c r="D411" t="s">
        <v>44</v>
      </c>
      <c r="E411" t="s">
        <v>55</v>
      </c>
      <c r="F411" t="s">
        <v>45</v>
      </c>
      <c r="G411" t="s">
        <v>44</v>
      </c>
      <c r="H411" t="s">
        <v>904</v>
      </c>
      <c r="I411" t="s">
        <v>120</v>
      </c>
      <c r="J411">
        <v>490.11</v>
      </c>
      <c r="K411">
        <v>8</v>
      </c>
      <c r="L411" t="s">
        <v>78</v>
      </c>
      <c r="M411">
        <v>3</v>
      </c>
      <c r="N411">
        <v>4</v>
      </c>
      <c r="O411">
        <v>2</v>
      </c>
      <c r="P411" t="s">
        <v>59</v>
      </c>
      <c r="Q411" t="s">
        <v>50</v>
      </c>
      <c r="R411">
        <v>1</v>
      </c>
      <c r="S411">
        <v>1</v>
      </c>
      <c r="T411" t="s">
        <v>59</v>
      </c>
      <c r="U411" t="s">
        <v>60</v>
      </c>
      <c r="V411" t="s">
        <v>66</v>
      </c>
      <c r="W411" s="1">
        <v>45650</v>
      </c>
      <c r="X411" t="b">
        <v>0</v>
      </c>
      <c r="Y411" t="b">
        <v>0</v>
      </c>
      <c r="Z411" t="s">
        <v>74</v>
      </c>
      <c r="AA411" t="s">
        <v>53</v>
      </c>
      <c r="AB411">
        <v>14</v>
      </c>
    </row>
    <row r="412" spans="1:28" x14ac:dyDescent="0.25">
      <c r="A412" t="s">
        <v>905</v>
      </c>
      <c r="B412">
        <v>44</v>
      </c>
      <c r="C412" t="s">
        <v>29</v>
      </c>
      <c r="D412" t="s">
        <v>44</v>
      </c>
      <c r="E412" t="s">
        <v>76</v>
      </c>
      <c r="F412" t="s">
        <v>45</v>
      </c>
      <c r="G412" t="s">
        <v>30</v>
      </c>
      <c r="H412" t="s">
        <v>906</v>
      </c>
      <c r="I412" t="s">
        <v>90</v>
      </c>
      <c r="J412">
        <v>403.57</v>
      </c>
      <c r="K412">
        <v>6</v>
      </c>
      <c r="L412" t="s">
        <v>78</v>
      </c>
      <c r="M412">
        <v>2</v>
      </c>
      <c r="N412">
        <v>2</v>
      </c>
      <c r="O412">
        <v>2</v>
      </c>
      <c r="P412" t="s">
        <v>44</v>
      </c>
      <c r="Q412" t="s">
        <v>50</v>
      </c>
      <c r="R412">
        <v>2</v>
      </c>
      <c r="S412">
        <v>2</v>
      </c>
      <c r="T412" t="s">
        <v>36</v>
      </c>
      <c r="U412" t="s">
        <v>60</v>
      </c>
      <c r="V412" t="s">
        <v>66</v>
      </c>
      <c r="W412" s="1">
        <v>45610</v>
      </c>
      <c r="X412" t="b">
        <v>0</v>
      </c>
      <c r="Y412" t="b">
        <v>0</v>
      </c>
      <c r="Z412" t="s">
        <v>62</v>
      </c>
      <c r="AA412" t="s">
        <v>67</v>
      </c>
      <c r="AB412">
        <v>1</v>
      </c>
    </row>
    <row r="413" spans="1:28" x14ac:dyDescent="0.25">
      <c r="A413" t="s">
        <v>907</v>
      </c>
      <c r="B413">
        <v>42</v>
      </c>
      <c r="C413" t="s">
        <v>29</v>
      </c>
      <c r="D413" t="s">
        <v>44</v>
      </c>
      <c r="E413" t="s">
        <v>31</v>
      </c>
      <c r="F413" t="s">
        <v>32</v>
      </c>
      <c r="G413" t="s">
        <v>30</v>
      </c>
      <c r="H413" t="s">
        <v>908</v>
      </c>
      <c r="I413" t="s">
        <v>114</v>
      </c>
      <c r="J413">
        <v>442.15</v>
      </c>
      <c r="K413">
        <v>10</v>
      </c>
      <c r="L413" t="s">
        <v>35</v>
      </c>
      <c r="M413">
        <v>2</v>
      </c>
      <c r="N413">
        <v>3</v>
      </c>
      <c r="O413">
        <v>1</v>
      </c>
      <c r="P413" t="s">
        <v>44</v>
      </c>
      <c r="Q413" t="s">
        <v>50</v>
      </c>
      <c r="R413">
        <v>2</v>
      </c>
      <c r="S413">
        <v>1</v>
      </c>
      <c r="T413" t="s">
        <v>36</v>
      </c>
      <c r="U413" t="s">
        <v>60</v>
      </c>
      <c r="V413" t="s">
        <v>39</v>
      </c>
      <c r="W413" s="1">
        <v>45644</v>
      </c>
      <c r="X413" t="b">
        <v>0</v>
      </c>
      <c r="Y413" t="b">
        <v>1</v>
      </c>
      <c r="Z413" t="s">
        <v>40</v>
      </c>
      <c r="AA413" t="s">
        <v>41</v>
      </c>
      <c r="AB413">
        <v>9</v>
      </c>
    </row>
    <row r="414" spans="1:28" x14ac:dyDescent="0.25">
      <c r="A414" t="s">
        <v>909</v>
      </c>
      <c r="B414">
        <v>49</v>
      </c>
      <c r="C414" t="s">
        <v>29</v>
      </c>
      <c r="D414" t="s">
        <v>30</v>
      </c>
      <c r="E414" t="s">
        <v>69</v>
      </c>
      <c r="F414" t="s">
        <v>32</v>
      </c>
      <c r="G414" t="s">
        <v>44</v>
      </c>
      <c r="H414" t="s">
        <v>910</v>
      </c>
      <c r="I414" t="s">
        <v>90</v>
      </c>
      <c r="J414">
        <v>78.709999999999994</v>
      </c>
      <c r="K414">
        <v>5</v>
      </c>
      <c r="L414" t="s">
        <v>78</v>
      </c>
      <c r="M414">
        <v>4</v>
      </c>
      <c r="N414">
        <v>3</v>
      </c>
      <c r="O414">
        <v>1</v>
      </c>
      <c r="P414" t="s">
        <v>36</v>
      </c>
      <c r="Q414" t="s">
        <v>37</v>
      </c>
      <c r="R414">
        <v>1</v>
      </c>
      <c r="S414">
        <v>10</v>
      </c>
      <c r="T414" t="s">
        <v>59</v>
      </c>
      <c r="U414" t="s">
        <v>60</v>
      </c>
      <c r="V414" t="s">
        <v>51</v>
      </c>
      <c r="W414" s="1">
        <v>45392</v>
      </c>
      <c r="X414" t="b">
        <v>1</v>
      </c>
      <c r="Y414" t="b">
        <v>1</v>
      </c>
      <c r="Z414" t="s">
        <v>74</v>
      </c>
      <c r="AA414" t="s">
        <v>41</v>
      </c>
      <c r="AB414">
        <v>4</v>
      </c>
    </row>
    <row r="415" spans="1:28" x14ac:dyDescent="0.25">
      <c r="A415" t="s">
        <v>911</v>
      </c>
      <c r="B415">
        <v>45</v>
      </c>
      <c r="C415" t="s">
        <v>29</v>
      </c>
      <c r="D415" t="s">
        <v>30</v>
      </c>
      <c r="E415" t="s">
        <v>69</v>
      </c>
      <c r="F415" t="s">
        <v>45</v>
      </c>
      <c r="G415" t="s">
        <v>44</v>
      </c>
      <c r="H415" t="s">
        <v>912</v>
      </c>
      <c r="I415" t="s">
        <v>71</v>
      </c>
      <c r="J415">
        <v>491.51</v>
      </c>
      <c r="K415">
        <v>2</v>
      </c>
      <c r="L415" t="s">
        <v>35</v>
      </c>
      <c r="M415">
        <v>2</v>
      </c>
      <c r="N415">
        <v>5</v>
      </c>
      <c r="O415">
        <v>0</v>
      </c>
      <c r="P415" t="s">
        <v>49</v>
      </c>
      <c r="Q415" t="s">
        <v>85</v>
      </c>
      <c r="R415">
        <v>1</v>
      </c>
      <c r="S415">
        <v>1</v>
      </c>
      <c r="T415" t="s">
        <v>44</v>
      </c>
      <c r="U415" t="s">
        <v>60</v>
      </c>
      <c r="V415" t="s">
        <v>51</v>
      </c>
      <c r="W415" s="1">
        <v>45632</v>
      </c>
      <c r="X415" t="b">
        <v>1</v>
      </c>
      <c r="Y415" t="b">
        <v>0</v>
      </c>
      <c r="Z415" t="s">
        <v>40</v>
      </c>
      <c r="AA415" t="s">
        <v>41</v>
      </c>
      <c r="AB415">
        <v>7</v>
      </c>
    </row>
    <row r="416" spans="1:28" x14ac:dyDescent="0.25">
      <c r="A416" t="s">
        <v>913</v>
      </c>
      <c r="B416">
        <v>36</v>
      </c>
      <c r="C416" t="s">
        <v>29</v>
      </c>
      <c r="D416" t="s">
        <v>30</v>
      </c>
      <c r="E416" t="s">
        <v>55</v>
      </c>
      <c r="F416" t="s">
        <v>32</v>
      </c>
      <c r="G416" t="s">
        <v>30</v>
      </c>
      <c r="H416" t="s">
        <v>914</v>
      </c>
      <c r="I416" t="s">
        <v>71</v>
      </c>
      <c r="J416">
        <v>457.39</v>
      </c>
      <c r="K416">
        <v>12</v>
      </c>
      <c r="L416" t="s">
        <v>48</v>
      </c>
      <c r="M416">
        <v>1</v>
      </c>
      <c r="N416">
        <v>1</v>
      </c>
      <c r="O416">
        <v>1</v>
      </c>
      <c r="P416" t="s">
        <v>44</v>
      </c>
      <c r="Q416" t="s">
        <v>50</v>
      </c>
      <c r="R416">
        <v>1</v>
      </c>
      <c r="S416">
        <v>5</v>
      </c>
      <c r="T416" t="s">
        <v>44</v>
      </c>
      <c r="U416" t="s">
        <v>79</v>
      </c>
      <c r="V416" t="s">
        <v>39</v>
      </c>
      <c r="W416" s="1">
        <v>45594</v>
      </c>
      <c r="X416" t="b">
        <v>1</v>
      </c>
      <c r="Y416" t="b">
        <v>0</v>
      </c>
      <c r="Z416" t="s">
        <v>62</v>
      </c>
      <c r="AA416" t="s">
        <v>53</v>
      </c>
      <c r="AB416">
        <v>9</v>
      </c>
    </row>
    <row r="417" spans="1:28" x14ac:dyDescent="0.25">
      <c r="A417" t="s">
        <v>915</v>
      </c>
      <c r="B417">
        <v>38</v>
      </c>
      <c r="C417" t="s">
        <v>29</v>
      </c>
      <c r="D417" t="s">
        <v>44</v>
      </c>
      <c r="E417" t="s">
        <v>76</v>
      </c>
      <c r="F417" t="s">
        <v>45</v>
      </c>
      <c r="G417" t="s">
        <v>44</v>
      </c>
      <c r="H417" t="s">
        <v>916</v>
      </c>
      <c r="I417" t="s">
        <v>47</v>
      </c>
      <c r="J417">
        <v>178.61</v>
      </c>
      <c r="K417">
        <v>12</v>
      </c>
      <c r="L417" t="s">
        <v>78</v>
      </c>
      <c r="M417">
        <v>5</v>
      </c>
      <c r="N417">
        <v>1</v>
      </c>
      <c r="O417">
        <v>2</v>
      </c>
      <c r="P417" t="s">
        <v>44</v>
      </c>
      <c r="Q417" t="s">
        <v>50</v>
      </c>
      <c r="R417">
        <v>0</v>
      </c>
      <c r="S417">
        <v>3</v>
      </c>
      <c r="T417" t="s">
        <v>36</v>
      </c>
      <c r="U417" t="s">
        <v>60</v>
      </c>
      <c r="V417" t="s">
        <v>39</v>
      </c>
      <c r="W417" s="1">
        <v>45483</v>
      </c>
      <c r="X417" t="b">
        <v>1</v>
      </c>
      <c r="Y417" t="b">
        <v>0</v>
      </c>
      <c r="Z417" t="s">
        <v>62</v>
      </c>
      <c r="AA417" t="s">
        <v>41</v>
      </c>
      <c r="AB417">
        <v>8</v>
      </c>
    </row>
    <row r="418" spans="1:28" x14ac:dyDescent="0.25">
      <c r="A418" t="s">
        <v>917</v>
      </c>
      <c r="B418">
        <v>44</v>
      </c>
      <c r="C418" t="s">
        <v>43</v>
      </c>
      <c r="D418" t="s">
        <v>30</v>
      </c>
      <c r="E418" t="s">
        <v>55</v>
      </c>
      <c r="F418" t="s">
        <v>45</v>
      </c>
      <c r="G418" t="s">
        <v>30</v>
      </c>
      <c r="H418" t="s">
        <v>918</v>
      </c>
      <c r="I418" t="s">
        <v>104</v>
      </c>
      <c r="J418">
        <v>492.51</v>
      </c>
      <c r="K418">
        <v>7</v>
      </c>
      <c r="L418" t="s">
        <v>78</v>
      </c>
      <c r="M418">
        <v>1</v>
      </c>
      <c r="N418">
        <v>4</v>
      </c>
      <c r="O418">
        <v>1</v>
      </c>
      <c r="P418" t="s">
        <v>59</v>
      </c>
      <c r="Q418" t="s">
        <v>50</v>
      </c>
      <c r="R418">
        <v>0</v>
      </c>
      <c r="S418">
        <v>2</v>
      </c>
      <c r="T418" t="s">
        <v>49</v>
      </c>
      <c r="U418" t="s">
        <v>79</v>
      </c>
      <c r="V418" t="s">
        <v>51</v>
      </c>
      <c r="W418" s="1">
        <v>45321</v>
      </c>
      <c r="X418" t="b">
        <v>1</v>
      </c>
      <c r="Y418" t="b">
        <v>1</v>
      </c>
      <c r="Z418" t="s">
        <v>52</v>
      </c>
      <c r="AA418" t="s">
        <v>53</v>
      </c>
      <c r="AB418">
        <v>4</v>
      </c>
    </row>
    <row r="419" spans="1:28" x14ac:dyDescent="0.25">
      <c r="A419" t="s">
        <v>919</v>
      </c>
      <c r="B419">
        <v>37</v>
      </c>
      <c r="C419" t="s">
        <v>274</v>
      </c>
      <c r="D419" t="s">
        <v>44</v>
      </c>
      <c r="E419" t="s">
        <v>31</v>
      </c>
      <c r="F419" t="s">
        <v>32</v>
      </c>
      <c r="G419" t="s">
        <v>44</v>
      </c>
      <c r="H419" t="s">
        <v>920</v>
      </c>
      <c r="I419" t="s">
        <v>65</v>
      </c>
      <c r="J419">
        <v>411.4</v>
      </c>
      <c r="K419">
        <v>3</v>
      </c>
      <c r="L419" t="s">
        <v>48</v>
      </c>
      <c r="M419">
        <v>1</v>
      </c>
      <c r="N419">
        <v>3</v>
      </c>
      <c r="O419">
        <v>0</v>
      </c>
      <c r="P419" t="s">
        <v>44</v>
      </c>
      <c r="Q419" t="s">
        <v>37</v>
      </c>
      <c r="R419">
        <v>2</v>
      </c>
      <c r="S419">
        <v>9</v>
      </c>
      <c r="T419" t="s">
        <v>36</v>
      </c>
      <c r="U419" t="s">
        <v>60</v>
      </c>
      <c r="V419" t="s">
        <v>51</v>
      </c>
      <c r="W419" s="1">
        <v>45516</v>
      </c>
      <c r="X419" t="b">
        <v>1</v>
      </c>
      <c r="Y419" t="b">
        <v>0</v>
      </c>
      <c r="Z419" t="s">
        <v>62</v>
      </c>
      <c r="AA419" t="s">
        <v>53</v>
      </c>
      <c r="AB419">
        <v>6</v>
      </c>
    </row>
    <row r="420" spans="1:28" x14ac:dyDescent="0.25">
      <c r="A420" t="s">
        <v>921</v>
      </c>
      <c r="B420">
        <v>36</v>
      </c>
      <c r="C420" t="s">
        <v>43</v>
      </c>
      <c r="D420" t="s">
        <v>30</v>
      </c>
      <c r="E420" t="s">
        <v>76</v>
      </c>
      <c r="F420" t="s">
        <v>56</v>
      </c>
      <c r="G420" t="s">
        <v>44</v>
      </c>
      <c r="H420" t="s">
        <v>922</v>
      </c>
      <c r="I420" t="s">
        <v>183</v>
      </c>
      <c r="J420">
        <v>96.52</v>
      </c>
      <c r="K420">
        <v>11</v>
      </c>
      <c r="L420" t="s">
        <v>48</v>
      </c>
      <c r="M420">
        <v>5</v>
      </c>
      <c r="N420">
        <v>3</v>
      </c>
      <c r="O420">
        <v>2</v>
      </c>
      <c r="P420" t="s">
        <v>59</v>
      </c>
      <c r="Q420" t="s">
        <v>50</v>
      </c>
      <c r="R420">
        <v>1</v>
      </c>
      <c r="S420">
        <v>3</v>
      </c>
      <c r="T420" t="s">
        <v>36</v>
      </c>
      <c r="U420" t="s">
        <v>38</v>
      </c>
      <c r="V420" t="s">
        <v>86</v>
      </c>
      <c r="W420" s="1">
        <v>45368</v>
      </c>
      <c r="X420" t="b">
        <v>0</v>
      </c>
      <c r="Y420" t="b">
        <v>0</v>
      </c>
      <c r="Z420" t="s">
        <v>74</v>
      </c>
      <c r="AA420" t="s">
        <v>53</v>
      </c>
      <c r="AB420">
        <v>11</v>
      </c>
    </row>
    <row r="421" spans="1:28" x14ac:dyDescent="0.25">
      <c r="A421" t="s">
        <v>923</v>
      </c>
      <c r="B421">
        <v>34</v>
      </c>
      <c r="C421" t="s">
        <v>43</v>
      </c>
      <c r="D421" t="s">
        <v>44</v>
      </c>
      <c r="E421" t="s">
        <v>31</v>
      </c>
      <c r="F421" t="s">
        <v>45</v>
      </c>
      <c r="G421" t="s">
        <v>30</v>
      </c>
      <c r="H421" t="s">
        <v>924</v>
      </c>
      <c r="I421" t="s">
        <v>93</v>
      </c>
      <c r="J421">
        <v>65.45</v>
      </c>
      <c r="K421">
        <v>6</v>
      </c>
      <c r="L421" t="s">
        <v>48</v>
      </c>
      <c r="M421">
        <v>2</v>
      </c>
      <c r="N421">
        <v>4</v>
      </c>
      <c r="O421">
        <v>1</v>
      </c>
      <c r="P421" t="s">
        <v>44</v>
      </c>
      <c r="Q421" t="s">
        <v>85</v>
      </c>
      <c r="R421">
        <v>0</v>
      </c>
      <c r="S421">
        <v>2</v>
      </c>
      <c r="T421" t="s">
        <v>49</v>
      </c>
      <c r="U421" t="s">
        <v>60</v>
      </c>
      <c r="V421" t="s">
        <v>39</v>
      </c>
      <c r="W421" s="1">
        <v>45556</v>
      </c>
      <c r="X421" t="b">
        <v>1</v>
      </c>
      <c r="Y421" t="b">
        <v>1</v>
      </c>
      <c r="Z421" t="s">
        <v>62</v>
      </c>
      <c r="AA421" t="s">
        <v>41</v>
      </c>
      <c r="AB421">
        <v>3</v>
      </c>
    </row>
    <row r="422" spans="1:28" x14ac:dyDescent="0.25">
      <c r="A422" t="s">
        <v>925</v>
      </c>
      <c r="B422">
        <v>23</v>
      </c>
      <c r="C422" t="s">
        <v>43</v>
      </c>
      <c r="D422" t="s">
        <v>30</v>
      </c>
      <c r="E422" t="s">
        <v>55</v>
      </c>
      <c r="F422" t="s">
        <v>45</v>
      </c>
      <c r="G422" t="s">
        <v>30</v>
      </c>
      <c r="H422" t="s">
        <v>926</v>
      </c>
      <c r="I422" t="s">
        <v>104</v>
      </c>
      <c r="J422">
        <v>255.86</v>
      </c>
      <c r="K422">
        <v>3</v>
      </c>
      <c r="L422" t="s">
        <v>78</v>
      </c>
      <c r="M422">
        <v>4</v>
      </c>
      <c r="N422">
        <v>5</v>
      </c>
      <c r="O422">
        <v>2</v>
      </c>
      <c r="P422" t="s">
        <v>44</v>
      </c>
      <c r="Q422" t="s">
        <v>85</v>
      </c>
      <c r="R422">
        <v>0</v>
      </c>
      <c r="S422">
        <v>1</v>
      </c>
      <c r="T422" t="s">
        <v>59</v>
      </c>
      <c r="U422" t="s">
        <v>38</v>
      </c>
      <c r="V422" t="s">
        <v>51</v>
      </c>
      <c r="W422" s="1">
        <v>45376</v>
      </c>
      <c r="X422" t="b">
        <v>1</v>
      </c>
      <c r="Y422" t="b">
        <v>0</v>
      </c>
      <c r="Z422" t="s">
        <v>74</v>
      </c>
      <c r="AA422" t="s">
        <v>41</v>
      </c>
      <c r="AB422">
        <v>4</v>
      </c>
    </row>
    <row r="423" spans="1:28" x14ac:dyDescent="0.25">
      <c r="A423" t="s">
        <v>927</v>
      </c>
      <c r="B423">
        <v>35</v>
      </c>
      <c r="C423" t="s">
        <v>43</v>
      </c>
      <c r="D423" t="s">
        <v>44</v>
      </c>
      <c r="E423" t="s">
        <v>76</v>
      </c>
      <c r="F423" t="s">
        <v>32</v>
      </c>
      <c r="G423" t="s">
        <v>44</v>
      </c>
      <c r="H423" t="s">
        <v>928</v>
      </c>
      <c r="I423" t="s">
        <v>71</v>
      </c>
      <c r="J423">
        <v>74.69</v>
      </c>
      <c r="K423">
        <v>10</v>
      </c>
      <c r="L423" t="s">
        <v>48</v>
      </c>
      <c r="M423">
        <v>5</v>
      </c>
      <c r="N423">
        <v>3</v>
      </c>
      <c r="O423">
        <v>1</v>
      </c>
      <c r="P423" t="s">
        <v>59</v>
      </c>
      <c r="Q423" t="s">
        <v>37</v>
      </c>
      <c r="R423">
        <v>0</v>
      </c>
      <c r="S423">
        <v>6</v>
      </c>
      <c r="T423" t="s">
        <v>49</v>
      </c>
      <c r="U423" t="s">
        <v>79</v>
      </c>
      <c r="V423" t="s">
        <v>51</v>
      </c>
      <c r="W423" s="1">
        <v>45608</v>
      </c>
      <c r="X423" t="b">
        <v>0</v>
      </c>
      <c r="Y423" t="b">
        <v>1</v>
      </c>
      <c r="Z423" t="s">
        <v>40</v>
      </c>
      <c r="AA423" t="s">
        <v>41</v>
      </c>
      <c r="AB423">
        <v>3</v>
      </c>
    </row>
    <row r="424" spans="1:28" x14ac:dyDescent="0.25">
      <c r="A424" t="s">
        <v>929</v>
      </c>
      <c r="B424">
        <v>45</v>
      </c>
      <c r="C424" t="s">
        <v>43</v>
      </c>
      <c r="D424" t="s">
        <v>30</v>
      </c>
      <c r="E424" t="s">
        <v>69</v>
      </c>
      <c r="F424" t="s">
        <v>56</v>
      </c>
      <c r="G424" t="s">
        <v>30</v>
      </c>
      <c r="H424" t="s">
        <v>930</v>
      </c>
      <c r="I424" t="s">
        <v>65</v>
      </c>
      <c r="J424">
        <v>430.75</v>
      </c>
      <c r="K424">
        <v>8</v>
      </c>
      <c r="L424" t="s">
        <v>35</v>
      </c>
      <c r="M424">
        <v>3</v>
      </c>
      <c r="N424">
        <v>4</v>
      </c>
      <c r="O424">
        <v>2</v>
      </c>
      <c r="P424" t="s">
        <v>59</v>
      </c>
      <c r="Q424" t="s">
        <v>85</v>
      </c>
      <c r="R424">
        <v>1</v>
      </c>
      <c r="S424">
        <v>5</v>
      </c>
      <c r="T424" t="s">
        <v>36</v>
      </c>
      <c r="U424" t="s">
        <v>38</v>
      </c>
      <c r="V424" t="s">
        <v>86</v>
      </c>
      <c r="W424" s="1">
        <v>45388</v>
      </c>
      <c r="X424" t="b">
        <v>0</v>
      </c>
      <c r="Y424" t="b">
        <v>0</v>
      </c>
      <c r="Z424" t="s">
        <v>40</v>
      </c>
      <c r="AA424" t="s">
        <v>41</v>
      </c>
      <c r="AB424">
        <v>6</v>
      </c>
    </row>
    <row r="425" spans="1:28" x14ac:dyDescent="0.25">
      <c r="A425" t="s">
        <v>931</v>
      </c>
      <c r="B425">
        <v>38</v>
      </c>
      <c r="C425" t="s">
        <v>43</v>
      </c>
      <c r="D425" t="s">
        <v>44</v>
      </c>
      <c r="E425" t="s">
        <v>69</v>
      </c>
      <c r="F425" t="s">
        <v>56</v>
      </c>
      <c r="G425" t="s">
        <v>44</v>
      </c>
      <c r="H425" t="s">
        <v>932</v>
      </c>
      <c r="I425" t="s">
        <v>120</v>
      </c>
      <c r="J425">
        <v>370.17</v>
      </c>
      <c r="K425">
        <v>2</v>
      </c>
      <c r="L425" t="s">
        <v>35</v>
      </c>
      <c r="M425">
        <v>5</v>
      </c>
      <c r="N425">
        <v>4</v>
      </c>
      <c r="O425">
        <v>2</v>
      </c>
      <c r="P425" t="s">
        <v>49</v>
      </c>
      <c r="Q425" t="s">
        <v>50</v>
      </c>
      <c r="R425">
        <v>1</v>
      </c>
      <c r="S425">
        <v>9</v>
      </c>
      <c r="T425" t="s">
        <v>59</v>
      </c>
      <c r="U425" t="s">
        <v>38</v>
      </c>
      <c r="V425" t="s">
        <v>86</v>
      </c>
      <c r="W425" s="1">
        <v>45619</v>
      </c>
      <c r="X425" t="b">
        <v>0</v>
      </c>
      <c r="Y425" t="b">
        <v>1</v>
      </c>
      <c r="Z425" t="s">
        <v>40</v>
      </c>
      <c r="AA425" t="s">
        <v>67</v>
      </c>
      <c r="AB425">
        <v>1</v>
      </c>
    </row>
    <row r="426" spans="1:28" x14ac:dyDescent="0.25">
      <c r="A426" t="s">
        <v>933</v>
      </c>
      <c r="B426">
        <v>25</v>
      </c>
      <c r="C426" t="s">
        <v>43</v>
      </c>
      <c r="D426" t="s">
        <v>30</v>
      </c>
      <c r="E426" t="s">
        <v>76</v>
      </c>
      <c r="F426" t="s">
        <v>56</v>
      </c>
      <c r="G426" t="s">
        <v>44</v>
      </c>
      <c r="H426" t="s">
        <v>934</v>
      </c>
      <c r="I426" t="s">
        <v>117</v>
      </c>
      <c r="J426">
        <v>384.26</v>
      </c>
      <c r="K426">
        <v>6</v>
      </c>
      <c r="L426" t="s">
        <v>35</v>
      </c>
      <c r="M426">
        <v>4</v>
      </c>
      <c r="N426">
        <v>2</v>
      </c>
      <c r="O426">
        <v>1</v>
      </c>
      <c r="P426" t="s">
        <v>44</v>
      </c>
      <c r="Q426" t="s">
        <v>50</v>
      </c>
      <c r="R426">
        <v>0</v>
      </c>
      <c r="S426">
        <v>9</v>
      </c>
      <c r="T426" t="s">
        <v>49</v>
      </c>
      <c r="U426" t="s">
        <v>60</v>
      </c>
      <c r="V426" t="s">
        <v>51</v>
      </c>
      <c r="W426" s="1">
        <v>45484</v>
      </c>
      <c r="X426" t="b">
        <v>0</v>
      </c>
      <c r="Y426" t="b">
        <v>1</v>
      </c>
      <c r="Z426" t="s">
        <v>40</v>
      </c>
      <c r="AA426" t="s">
        <v>41</v>
      </c>
      <c r="AB426">
        <v>11</v>
      </c>
    </row>
    <row r="427" spans="1:28" x14ac:dyDescent="0.25">
      <c r="A427" t="s">
        <v>935</v>
      </c>
      <c r="B427">
        <v>26</v>
      </c>
      <c r="C427" t="s">
        <v>43</v>
      </c>
      <c r="D427" t="s">
        <v>30</v>
      </c>
      <c r="E427" t="s">
        <v>31</v>
      </c>
      <c r="F427" t="s">
        <v>56</v>
      </c>
      <c r="G427" t="s">
        <v>30</v>
      </c>
      <c r="H427" t="s">
        <v>936</v>
      </c>
      <c r="I427" t="s">
        <v>65</v>
      </c>
      <c r="J427">
        <v>128.01</v>
      </c>
      <c r="K427">
        <v>2</v>
      </c>
      <c r="L427" t="s">
        <v>35</v>
      </c>
      <c r="M427">
        <v>4</v>
      </c>
      <c r="N427">
        <v>2</v>
      </c>
      <c r="O427">
        <v>1</v>
      </c>
      <c r="P427" t="s">
        <v>49</v>
      </c>
      <c r="Q427" t="s">
        <v>37</v>
      </c>
      <c r="R427">
        <v>0</v>
      </c>
      <c r="S427">
        <v>1</v>
      </c>
      <c r="T427" t="s">
        <v>44</v>
      </c>
      <c r="U427" t="s">
        <v>60</v>
      </c>
      <c r="V427" t="s">
        <v>61</v>
      </c>
      <c r="W427" s="1">
        <v>45399</v>
      </c>
      <c r="X427" t="b">
        <v>1</v>
      </c>
      <c r="Y427" t="b">
        <v>0</v>
      </c>
      <c r="Z427" t="s">
        <v>40</v>
      </c>
      <c r="AA427" t="s">
        <v>41</v>
      </c>
      <c r="AB427">
        <v>10</v>
      </c>
    </row>
    <row r="428" spans="1:28" x14ac:dyDescent="0.25">
      <c r="A428" t="s">
        <v>937</v>
      </c>
      <c r="B428">
        <v>46</v>
      </c>
      <c r="C428" t="s">
        <v>29</v>
      </c>
      <c r="D428" t="s">
        <v>44</v>
      </c>
      <c r="E428" t="s">
        <v>31</v>
      </c>
      <c r="F428" t="s">
        <v>45</v>
      </c>
      <c r="G428" t="s">
        <v>44</v>
      </c>
      <c r="H428" t="s">
        <v>938</v>
      </c>
      <c r="I428" t="s">
        <v>98</v>
      </c>
      <c r="J428">
        <v>301.39999999999998</v>
      </c>
      <c r="K428">
        <v>4</v>
      </c>
      <c r="L428" t="s">
        <v>78</v>
      </c>
      <c r="M428">
        <v>5</v>
      </c>
      <c r="N428">
        <v>3</v>
      </c>
      <c r="O428">
        <v>0</v>
      </c>
      <c r="P428" t="s">
        <v>49</v>
      </c>
      <c r="Q428" t="s">
        <v>37</v>
      </c>
      <c r="R428">
        <v>0</v>
      </c>
      <c r="S428">
        <v>5</v>
      </c>
      <c r="T428" t="s">
        <v>36</v>
      </c>
      <c r="U428" t="s">
        <v>79</v>
      </c>
      <c r="V428" t="s">
        <v>61</v>
      </c>
      <c r="W428" s="1">
        <v>45549</v>
      </c>
      <c r="X428" t="b">
        <v>0</v>
      </c>
      <c r="Y428" t="b">
        <v>1</v>
      </c>
      <c r="Z428" t="s">
        <v>74</v>
      </c>
      <c r="AA428" t="s">
        <v>53</v>
      </c>
      <c r="AB428">
        <v>5</v>
      </c>
    </row>
    <row r="429" spans="1:28" x14ac:dyDescent="0.25">
      <c r="A429" t="s">
        <v>939</v>
      </c>
      <c r="B429">
        <v>18</v>
      </c>
      <c r="C429" t="s">
        <v>29</v>
      </c>
      <c r="D429" t="s">
        <v>44</v>
      </c>
      <c r="E429" t="s">
        <v>55</v>
      </c>
      <c r="F429" t="s">
        <v>45</v>
      </c>
      <c r="G429" t="s">
        <v>44</v>
      </c>
      <c r="H429" t="s">
        <v>940</v>
      </c>
      <c r="I429" t="s">
        <v>142</v>
      </c>
      <c r="J429">
        <v>397.25</v>
      </c>
      <c r="K429">
        <v>6</v>
      </c>
      <c r="L429" t="s">
        <v>35</v>
      </c>
      <c r="M429">
        <v>5</v>
      </c>
      <c r="N429">
        <v>2</v>
      </c>
      <c r="O429">
        <v>1</v>
      </c>
      <c r="P429" t="s">
        <v>59</v>
      </c>
      <c r="Q429" t="s">
        <v>50</v>
      </c>
      <c r="R429">
        <v>1</v>
      </c>
      <c r="S429">
        <v>10</v>
      </c>
      <c r="T429" t="s">
        <v>36</v>
      </c>
      <c r="U429" t="s">
        <v>79</v>
      </c>
      <c r="V429" t="s">
        <v>86</v>
      </c>
      <c r="W429" s="1">
        <v>45512</v>
      </c>
      <c r="X429" t="b">
        <v>0</v>
      </c>
      <c r="Y429" t="b">
        <v>1</v>
      </c>
      <c r="Z429" t="s">
        <v>52</v>
      </c>
      <c r="AA429" t="s">
        <v>41</v>
      </c>
      <c r="AB429">
        <v>2</v>
      </c>
    </row>
    <row r="430" spans="1:28" x14ac:dyDescent="0.25">
      <c r="A430" t="s">
        <v>941</v>
      </c>
      <c r="B430">
        <v>46</v>
      </c>
      <c r="C430" t="s">
        <v>43</v>
      </c>
      <c r="D430" t="s">
        <v>30</v>
      </c>
      <c r="E430" t="s">
        <v>76</v>
      </c>
      <c r="F430" t="s">
        <v>45</v>
      </c>
      <c r="G430" t="s">
        <v>30</v>
      </c>
      <c r="H430" t="s">
        <v>942</v>
      </c>
      <c r="I430" t="s">
        <v>34</v>
      </c>
      <c r="J430">
        <v>96.18</v>
      </c>
      <c r="K430">
        <v>3</v>
      </c>
      <c r="L430" t="s">
        <v>35</v>
      </c>
      <c r="M430">
        <v>3</v>
      </c>
      <c r="N430">
        <v>4</v>
      </c>
      <c r="O430">
        <v>0</v>
      </c>
      <c r="P430" t="s">
        <v>36</v>
      </c>
      <c r="Q430" t="s">
        <v>37</v>
      </c>
      <c r="R430">
        <v>1</v>
      </c>
      <c r="S430">
        <v>9</v>
      </c>
      <c r="T430" t="s">
        <v>49</v>
      </c>
      <c r="U430" t="s">
        <v>60</v>
      </c>
      <c r="V430" t="s">
        <v>86</v>
      </c>
      <c r="W430" s="1">
        <v>45417</v>
      </c>
      <c r="X430" t="b">
        <v>0</v>
      </c>
      <c r="Y430" t="b">
        <v>0</v>
      </c>
      <c r="Z430" t="s">
        <v>74</v>
      </c>
      <c r="AA430" t="s">
        <v>67</v>
      </c>
      <c r="AB430">
        <v>10</v>
      </c>
    </row>
    <row r="431" spans="1:28" x14ac:dyDescent="0.25">
      <c r="A431" t="s">
        <v>943</v>
      </c>
      <c r="B431">
        <v>19</v>
      </c>
      <c r="C431" t="s">
        <v>29</v>
      </c>
      <c r="D431" t="s">
        <v>44</v>
      </c>
      <c r="E431" t="s">
        <v>76</v>
      </c>
      <c r="F431" t="s">
        <v>32</v>
      </c>
      <c r="G431" t="s">
        <v>44</v>
      </c>
      <c r="H431" t="s">
        <v>944</v>
      </c>
      <c r="I431" t="s">
        <v>123</v>
      </c>
      <c r="J431">
        <v>390.44</v>
      </c>
      <c r="K431">
        <v>4</v>
      </c>
      <c r="L431" t="s">
        <v>35</v>
      </c>
      <c r="M431">
        <v>5</v>
      </c>
      <c r="N431">
        <v>1</v>
      </c>
      <c r="O431">
        <v>0</v>
      </c>
      <c r="P431" t="s">
        <v>49</v>
      </c>
      <c r="Q431" t="s">
        <v>85</v>
      </c>
      <c r="R431">
        <v>0</v>
      </c>
      <c r="S431">
        <v>4</v>
      </c>
      <c r="T431" t="s">
        <v>44</v>
      </c>
      <c r="U431" t="s">
        <v>79</v>
      </c>
      <c r="V431" t="s">
        <v>66</v>
      </c>
      <c r="W431" s="1">
        <v>45337</v>
      </c>
      <c r="X431" t="b">
        <v>1</v>
      </c>
      <c r="Y431" t="b">
        <v>0</v>
      </c>
      <c r="Z431" t="s">
        <v>40</v>
      </c>
      <c r="AA431" t="s">
        <v>53</v>
      </c>
      <c r="AB431">
        <v>4</v>
      </c>
    </row>
    <row r="432" spans="1:28" x14ac:dyDescent="0.25">
      <c r="A432" t="s">
        <v>945</v>
      </c>
      <c r="B432">
        <v>37</v>
      </c>
      <c r="C432" t="s">
        <v>29</v>
      </c>
      <c r="D432" t="s">
        <v>30</v>
      </c>
      <c r="E432" t="s">
        <v>55</v>
      </c>
      <c r="F432" t="s">
        <v>32</v>
      </c>
      <c r="G432" t="s">
        <v>30</v>
      </c>
      <c r="H432" t="s">
        <v>946</v>
      </c>
      <c r="I432" t="s">
        <v>104</v>
      </c>
      <c r="J432">
        <v>61.5</v>
      </c>
      <c r="K432">
        <v>11</v>
      </c>
      <c r="L432" t="s">
        <v>35</v>
      </c>
      <c r="M432">
        <v>4</v>
      </c>
      <c r="N432">
        <v>2</v>
      </c>
      <c r="O432">
        <v>0</v>
      </c>
      <c r="P432" t="s">
        <v>49</v>
      </c>
      <c r="Q432" t="s">
        <v>85</v>
      </c>
      <c r="R432">
        <v>0</v>
      </c>
      <c r="S432">
        <v>1</v>
      </c>
      <c r="T432" t="s">
        <v>44</v>
      </c>
      <c r="U432" t="s">
        <v>60</v>
      </c>
      <c r="V432" t="s">
        <v>66</v>
      </c>
      <c r="W432" s="1">
        <v>45317</v>
      </c>
      <c r="X432" t="b">
        <v>1</v>
      </c>
      <c r="Y432" t="b">
        <v>1</v>
      </c>
      <c r="Z432" t="s">
        <v>74</v>
      </c>
      <c r="AA432" t="s">
        <v>67</v>
      </c>
      <c r="AB432">
        <v>8</v>
      </c>
    </row>
    <row r="433" spans="1:28" x14ac:dyDescent="0.25">
      <c r="A433" t="s">
        <v>947</v>
      </c>
      <c r="B433">
        <v>35</v>
      </c>
      <c r="C433" t="s">
        <v>29</v>
      </c>
      <c r="D433" t="s">
        <v>30</v>
      </c>
      <c r="E433" t="s">
        <v>76</v>
      </c>
      <c r="F433" t="s">
        <v>45</v>
      </c>
      <c r="G433" t="s">
        <v>44</v>
      </c>
      <c r="H433" t="s">
        <v>948</v>
      </c>
      <c r="I433" t="s">
        <v>58</v>
      </c>
      <c r="J433">
        <v>234.44</v>
      </c>
      <c r="K433">
        <v>6</v>
      </c>
      <c r="L433" t="s">
        <v>48</v>
      </c>
      <c r="M433">
        <v>3</v>
      </c>
      <c r="N433">
        <v>5</v>
      </c>
      <c r="O433">
        <v>2</v>
      </c>
      <c r="P433" t="s">
        <v>49</v>
      </c>
      <c r="Q433" t="s">
        <v>85</v>
      </c>
      <c r="R433">
        <v>0</v>
      </c>
      <c r="S433">
        <v>1</v>
      </c>
      <c r="T433" t="s">
        <v>44</v>
      </c>
      <c r="U433" t="s">
        <v>79</v>
      </c>
      <c r="V433" t="s">
        <v>66</v>
      </c>
      <c r="W433" s="1">
        <v>45435</v>
      </c>
      <c r="X433" t="b">
        <v>0</v>
      </c>
      <c r="Y433" t="b">
        <v>1</v>
      </c>
      <c r="Z433" t="s">
        <v>62</v>
      </c>
      <c r="AA433" t="s">
        <v>67</v>
      </c>
      <c r="AB433">
        <v>5</v>
      </c>
    </row>
    <row r="434" spans="1:28" x14ac:dyDescent="0.25">
      <c r="A434" t="s">
        <v>949</v>
      </c>
      <c r="B434">
        <v>43</v>
      </c>
      <c r="C434" t="s">
        <v>43</v>
      </c>
      <c r="D434" t="s">
        <v>30</v>
      </c>
      <c r="E434" t="s">
        <v>55</v>
      </c>
      <c r="F434" t="s">
        <v>56</v>
      </c>
      <c r="G434" t="s">
        <v>30</v>
      </c>
      <c r="H434" t="s">
        <v>950</v>
      </c>
      <c r="I434" t="s">
        <v>126</v>
      </c>
      <c r="J434">
        <v>318.83999999999997</v>
      </c>
      <c r="K434">
        <v>6</v>
      </c>
      <c r="L434" t="s">
        <v>78</v>
      </c>
      <c r="M434">
        <v>1</v>
      </c>
      <c r="N434">
        <v>1</v>
      </c>
      <c r="O434">
        <v>2</v>
      </c>
      <c r="P434" t="s">
        <v>59</v>
      </c>
      <c r="Q434" t="s">
        <v>85</v>
      </c>
      <c r="R434">
        <v>0</v>
      </c>
      <c r="S434">
        <v>4</v>
      </c>
      <c r="T434" t="s">
        <v>44</v>
      </c>
      <c r="U434" t="s">
        <v>38</v>
      </c>
      <c r="V434" t="s">
        <v>66</v>
      </c>
      <c r="W434" s="1">
        <v>45402</v>
      </c>
      <c r="X434" t="b">
        <v>0</v>
      </c>
      <c r="Y434" t="b">
        <v>1</v>
      </c>
      <c r="Z434" t="s">
        <v>52</v>
      </c>
      <c r="AA434" t="s">
        <v>53</v>
      </c>
      <c r="AB434">
        <v>10</v>
      </c>
    </row>
    <row r="435" spans="1:28" x14ac:dyDescent="0.25">
      <c r="A435" t="s">
        <v>951</v>
      </c>
      <c r="B435">
        <v>28</v>
      </c>
      <c r="C435" t="s">
        <v>43</v>
      </c>
      <c r="D435" t="s">
        <v>30</v>
      </c>
      <c r="E435" t="s">
        <v>55</v>
      </c>
      <c r="F435" t="s">
        <v>56</v>
      </c>
      <c r="G435" t="s">
        <v>44</v>
      </c>
      <c r="H435" t="s">
        <v>952</v>
      </c>
      <c r="I435" t="s">
        <v>126</v>
      </c>
      <c r="J435">
        <v>327.32</v>
      </c>
      <c r="K435">
        <v>6</v>
      </c>
      <c r="L435" t="s">
        <v>35</v>
      </c>
      <c r="M435">
        <v>4</v>
      </c>
      <c r="N435">
        <v>5</v>
      </c>
      <c r="O435">
        <v>0</v>
      </c>
      <c r="P435" t="s">
        <v>36</v>
      </c>
      <c r="Q435" t="s">
        <v>37</v>
      </c>
      <c r="R435">
        <v>0</v>
      </c>
      <c r="S435">
        <v>4</v>
      </c>
      <c r="T435" t="s">
        <v>44</v>
      </c>
      <c r="U435" t="s">
        <v>38</v>
      </c>
      <c r="V435" t="s">
        <v>66</v>
      </c>
      <c r="W435" s="1">
        <v>45452</v>
      </c>
      <c r="X435" t="b">
        <v>1</v>
      </c>
      <c r="Y435" t="b">
        <v>1</v>
      </c>
      <c r="Z435" t="s">
        <v>62</v>
      </c>
      <c r="AA435" t="s">
        <v>67</v>
      </c>
      <c r="AB435">
        <v>13</v>
      </c>
    </row>
    <row r="436" spans="1:28" x14ac:dyDescent="0.25">
      <c r="A436" t="s">
        <v>953</v>
      </c>
      <c r="B436">
        <v>25</v>
      </c>
      <c r="C436" t="s">
        <v>43</v>
      </c>
      <c r="D436" t="s">
        <v>30</v>
      </c>
      <c r="E436" t="s">
        <v>76</v>
      </c>
      <c r="F436" t="s">
        <v>56</v>
      </c>
      <c r="G436" t="s">
        <v>44</v>
      </c>
      <c r="H436" t="s">
        <v>954</v>
      </c>
      <c r="I436" t="s">
        <v>82</v>
      </c>
      <c r="J436">
        <v>475.64</v>
      </c>
      <c r="K436">
        <v>3</v>
      </c>
      <c r="L436" t="s">
        <v>78</v>
      </c>
      <c r="M436">
        <v>3</v>
      </c>
      <c r="N436">
        <v>4</v>
      </c>
      <c r="O436">
        <v>1</v>
      </c>
      <c r="P436" t="s">
        <v>59</v>
      </c>
      <c r="Q436" t="s">
        <v>85</v>
      </c>
      <c r="R436">
        <v>1</v>
      </c>
      <c r="S436">
        <v>2</v>
      </c>
      <c r="T436" t="s">
        <v>49</v>
      </c>
      <c r="U436" t="s">
        <v>60</v>
      </c>
      <c r="V436" t="s">
        <v>51</v>
      </c>
      <c r="W436" s="1">
        <v>45337</v>
      </c>
      <c r="X436" t="b">
        <v>1</v>
      </c>
      <c r="Y436" t="b">
        <v>1</v>
      </c>
      <c r="Z436" t="s">
        <v>74</v>
      </c>
      <c r="AA436" t="s">
        <v>53</v>
      </c>
      <c r="AB436">
        <v>9</v>
      </c>
    </row>
    <row r="437" spans="1:28" x14ac:dyDescent="0.25">
      <c r="A437" t="s">
        <v>955</v>
      </c>
      <c r="B437">
        <v>47</v>
      </c>
      <c r="C437" t="s">
        <v>43</v>
      </c>
      <c r="D437" t="s">
        <v>44</v>
      </c>
      <c r="E437" t="s">
        <v>69</v>
      </c>
      <c r="F437" t="s">
        <v>56</v>
      </c>
      <c r="G437" t="s">
        <v>30</v>
      </c>
      <c r="H437" t="s">
        <v>956</v>
      </c>
      <c r="I437" t="s">
        <v>107</v>
      </c>
      <c r="J437">
        <v>68.59</v>
      </c>
      <c r="K437">
        <v>9</v>
      </c>
      <c r="L437" t="s">
        <v>35</v>
      </c>
      <c r="M437">
        <v>3</v>
      </c>
      <c r="N437">
        <v>4</v>
      </c>
      <c r="O437">
        <v>0</v>
      </c>
      <c r="P437" t="s">
        <v>49</v>
      </c>
      <c r="Q437" t="s">
        <v>37</v>
      </c>
      <c r="R437">
        <v>2</v>
      </c>
      <c r="S437">
        <v>5</v>
      </c>
      <c r="T437" t="s">
        <v>36</v>
      </c>
      <c r="U437" t="s">
        <v>60</v>
      </c>
      <c r="V437" t="s">
        <v>51</v>
      </c>
      <c r="W437" s="1">
        <v>45400</v>
      </c>
      <c r="X437" t="b">
        <v>0</v>
      </c>
      <c r="Y437" t="b">
        <v>1</v>
      </c>
      <c r="Z437" t="s">
        <v>52</v>
      </c>
      <c r="AA437" t="s">
        <v>53</v>
      </c>
      <c r="AB437">
        <v>5</v>
      </c>
    </row>
    <row r="438" spans="1:28" x14ac:dyDescent="0.25">
      <c r="A438" t="s">
        <v>957</v>
      </c>
      <c r="B438">
        <v>45</v>
      </c>
      <c r="C438" t="s">
        <v>212</v>
      </c>
      <c r="D438" t="s">
        <v>30</v>
      </c>
      <c r="E438" t="s">
        <v>76</v>
      </c>
      <c r="F438" t="s">
        <v>32</v>
      </c>
      <c r="G438" t="s">
        <v>30</v>
      </c>
      <c r="H438" t="s">
        <v>958</v>
      </c>
      <c r="I438" t="s">
        <v>104</v>
      </c>
      <c r="J438">
        <v>133.04</v>
      </c>
      <c r="K438">
        <v>12</v>
      </c>
      <c r="L438" t="s">
        <v>78</v>
      </c>
      <c r="M438">
        <v>1</v>
      </c>
      <c r="N438">
        <v>3</v>
      </c>
      <c r="O438">
        <v>2</v>
      </c>
      <c r="P438" t="s">
        <v>44</v>
      </c>
      <c r="Q438" t="s">
        <v>50</v>
      </c>
      <c r="R438">
        <v>2</v>
      </c>
      <c r="S438">
        <v>6</v>
      </c>
      <c r="T438" t="s">
        <v>36</v>
      </c>
      <c r="U438" t="s">
        <v>79</v>
      </c>
      <c r="V438" t="s">
        <v>86</v>
      </c>
      <c r="W438" s="1">
        <v>45480</v>
      </c>
      <c r="X438" t="b">
        <v>1</v>
      </c>
      <c r="Y438" t="b">
        <v>1</v>
      </c>
      <c r="Z438" t="s">
        <v>62</v>
      </c>
      <c r="AA438" t="s">
        <v>53</v>
      </c>
      <c r="AB438">
        <v>11</v>
      </c>
    </row>
    <row r="439" spans="1:28" x14ac:dyDescent="0.25">
      <c r="A439" t="s">
        <v>959</v>
      </c>
      <c r="B439">
        <v>24</v>
      </c>
      <c r="C439" t="s">
        <v>190</v>
      </c>
      <c r="D439" t="s">
        <v>44</v>
      </c>
      <c r="E439" t="s">
        <v>31</v>
      </c>
      <c r="F439" t="s">
        <v>45</v>
      </c>
      <c r="G439" t="s">
        <v>30</v>
      </c>
      <c r="H439" t="s">
        <v>960</v>
      </c>
      <c r="I439" t="s">
        <v>98</v>
      </c>
      <c r="J439">
        <v>196.63</v>
      </c>
      <c r="K439">
        <v>9</v>
      </c>
      <c r="L439" t="s">
        <v>78</v>
      </c>
      <c r="M439">
        <v>4</v>
      </c>
      <c r="N439">
        <v>2</v>
      </c>
      <c r="O439">
        <v>2</v>
      </c>
      <c r="P439" t="s">
        <v>49</v>
      </c>
      <c r="Q439" t="s">
        <v>37</v>
      </c>
      <c r="R439">
        <v>1</v>
      </c>
      <c r="S439">
        <v>6</v>
      </c>
      <c r="T439" t="s">
        <v>59</v>
      </c>
      <c r="U439" t="s">
        <v>38</v>
      </c>
      <c r="V439" t="s">
        <v>66</v>
      </c>
      <c r="W439" s="1">
        <v>45641</v>
      </c>
      <c r="X439" t="b">
        <v>1</v>
      </c>
      <c r="Y439" t="b">
        <v>0</v>
      </c>
      <c r="Z439" t="s">
        <v>40</v>
      </c>
      <c r="AA439" t="s">
        <v>41</v>
      </c>
      <c r="AB439">
        <v>7</v>
      </c>
    </row>
    <row r="440" spans="1:28" x14ac:dyDescent="0.25">
      <c r="A440" t="s">
        <v>961</v>
      </c>
      <c r="B440">
        <v>30</v>
      </c>
      <c r="C440" t="s">
        <v>43</v>
      </c>
      <c r="D440" t="s">
        <v>30</v>
      </c>
      <c r="E440" t="s">
        <v>76</v>
      </c>
      <c r="F440" t="s">
        <v>32</v>
      </c>
      <c r="G440" t="s">
        <v>44</v>
      </c>
      <c r="H440" t="s">
        <v>962</v>
      </c>
      <c r="I440" t="s">
        <v>65</v>
      </c>
      <c r="J440">
        <v>473.96</v>
      </c>
      <c r="K440">
        <v>12</v>
      </c>
      <c r="L440" t="s">
        <v>48</v>
      </c>
      <c r="M440">
        <v>2</v>
      </c>
      <c r="N440">
        <v>1</v>
      </c>
      <c r="O440">
        <v>1</v>
      </c>
      <c r="P440" t="s">
        <v>49</v>
      </c>
      <c r="Q440" t="s">
        <v>37</v>
      </c>
      <c r="R440">
        <v>2</v>
      </c>
      <c r="S440">
        <v>9</v>
      </c>
      <c r="T440" t="s">
        <v>36</v>
      </c>
      <c r="U440" t="s">
        <v>38</v>
      </c>
      <c r="V440" t="s">
        <v>51</v>
      </c>
      <c r="W440" s="1">
        <v>45501</v>
      </c>
      <c r="X440" t="b">
        <v>1</v>
      </c>
      <c r="Y440" t="b">
        <v>0</v>
      </c>
      <c r="Z440" t="s">
        <v>62</v>
      </c>
      <c r="AA440" t="s">
        <v>67</v>
      </c>
      <c r="AB440">
        <v>14</v>
      </c>
    </row>
    <row r="441" spans="1:28" x14ac:dyDescent="0.25">
      <c r="A441" t="s">
        <v>963</v>
      </c>
      <c r="B441">
        <v>24</v>
      </c>
      <c r="C441" t="s">
        <v>29</v>
      </c>
      <c r="D441" t="s">
        <v>44</v>
      </c>
      <c r="E441" t="s">
        <v>31</v>
      </c>
      <c r="F441" t="s">
        <v>45</v>
      </c>
      <c r="G441" t="s">
        <v>30</v>
      </c>
      <c r="H441" t="s">
        <v>964</v>
      </c>
      <c r="I441" t="s">
        <v>98</v>
      </c>
      <c r="J441">
        <v>472.52</v>
      </c>
      <c r="K441">
        <v>8</v>
      </c>
      <c r="L441" t="s">
        <v>78</v>
      </c>
      <c r="M441">
        <v>2</v>
      </c>
      <c r="N441">
        <v>4</v>
      </c>
      <c r="O441">
        <v>0</v>
      </c>
      <c r="P441" t="s">
        <v>59</v>
      </c>
      <c r="Q441" t="s">
        <v>37</v>
      </c>
      <c r="R441">
        <v>2</v>
      </c>
      <c r="S441">
        <v>8</v>
      </c>
      <c r="T441" t="s">
        <v>49</v>
      </c>
      <c r="U441" t="s">
        <v>38</v>
      </c>
      <c r="V441" t="s">
        <v>86</v>
      </c>
      <c r="W441" s="1">
        <v>45315</v>
      </c>
      <c r="X441" t="b">
        <v>0</v>
      </c>
      <c r="Y441" t="b">
        <v>1</v>
      </c>
      <c r="Z441" t="s">
        <v>74</v>
      </c>
      <c r="AA441" t="s">
        <v>41</v>
      </c>
      <c r="AB441">
        <v>14</v>
      </c>
    </row>
    <row r="442" spans="1:28" x14ac:dyDescent="0.25">
      <c r="A442" t="s">
        <v>965</v>
      </c>
      <c r="B442">
        <v>27</v>
      </c>
      <c r="C442" t="s">
        <v>29</v>
      </c>
      <c r="D442" t="s">
        <v>30</v>
      </c>
      <c r="E442" t="s">
        <v>31</v>
      </c>
      <c r="F442" t="s">
        <v>32</v>
      </c>
      <c r="G442" t="s">
        <v>30</v>
      </c>
      <c r="H442" t="s">
        <v>966</v>
      </c>
      <c r="I442" t="s">
        <v>123</v>
      </c>
      <c r="J442">
        <v>335.8</v>
      </c>
      <c r="K442">
        <v>9</v>
      </c>
      <c r="L442" t="s">
        <v>35</v>
      </c>
      <c r="M442">
        <v>3</v>
      </c>
      <c r="N442">
        <v>5</v>
      </c>
      <c r="O442">
        <v>1</v>
      </c>
      <c r="P442" t="s">
        <v>36</v>
      </c>
      <c r="Q442" t="s">
        <v>37</v>
      </c>
      <c r="R442">
        <v>2</v>
      </c>
      <c r="S442">
        <v>7</v>
      </c>
      <c r="T442" t="s">
        <v>59</v>
      </c>
      <c r="U442" t="s">
        <v>60</v>
      </c>
      <c r="V442" t="s">
        <v>61</v>
      </c>
      <c r="W442" s="1">
        <v>45332</v>
      </c>
      <c r="X442" t="b">
        <v>1</v>
      </c>
      <c r="Y442" t="b">
        <v>0</v>
      </c>
      <c r="Z442" t="s">
        <v>52</v>
      </c>
      <c r="AA442" t="s">
        <v>53</v>
      </c>
      <c r="AB442">
        <v>5</v>
      </c>
    </row>
    <row r="443" spans="1:28" x14ac:dyDescent="0.25">
      <c r="A443" t="s">
        <v>967</v>
      </c>
      <c r="B443">
        <v>25</v>
      </c>
      <c r="C443" t="s">
        <v>43</v>
      </c>
      <c r="D443" t="s">
        <v>30</v>
      </c>
      <c r="E443" t="s">
        <v>55</v>
      </c>
      <c r="F443" t="s">
        <v>45</v>
      </c>
      <c r="G443" t="s">
        <v>44</v>
      </c>
      <c r="H443" t="s">
        <v>968</v>
      </c>
      <c r="I443" t="s">
        <v>98</v>
      </c>
      <c r="J443">
        <v>85.57</v>
      </c>
      <c r="K443">
        <v>12</v>
      </c>
      <c r="L443" t="s">
        <v>48</v>
      </c>
      <c r="M443">
        <v>2</v>
      </c>
      <c r="N443">
        <v>1</v>
      </c>
      <c r="O443">
        <v>1</v>
      </c>
      <c r="P443" t="s">
        <v>59</v>
      </c>
      <c r="Q443" t="s">
        <v>85</v>
      </c>
      <c r="R443">
        <v>2</v>
      </c>
      <c r="S443">
        <v>4</v>
      </c>
      <c r="T443" t="s">
        <v>49</v>
      </c>
      <c r="U443" t="s">
        <v>38</v>
      </c>
      <c r="V443" t="s">
        <v>61</v>
      </c>
      <c r="W443" s="1">
        <v>45535</v>
      </c>
      <c r="X443" t="b">
        <v>1</v>
      </c>
      <c r="Y443" t="b">
        <v>1</v>
      </c>
      <c r="Z443" t="s">
        <v>74</v>
      </c>
      <c r="AA443" t="s">
        <v>41</v>
      </c>
      <c r="AB443">
        <v>9</v>
      </c>
    </row>
    <row r="444" spans="1:28" x14ac:dyDescent="0.25">
      <c r="A444" t="s">
        <v>969</v>
      </c>
      <c r="B444">
        <v>44</v>
      </c>
      <c r="C444" t="s">
        <v>88</v>
      </c>
      <c r="D444" t="s">
        <v>30</v>
      </c>
      <c r="E444" t="s">
        <v>55</v>
      </c>
      <c r="F444" t="s">
        <v>56</v>
      </c>
      <c r="G444" t="s">
        <v>30</v>
      </c>
      <c r="H444" t="s">
        <v>970</v>
      </c>
      <c r="I444" t="s">
        <v>188</v>
      </c>
      <c r="J444">
        <v>108.5</v>
      </c>
      <c r="K444">
        <v>11</v>
      </c>
      <c r="L444" t="s">
        <v>35</v>
      </c>
      <c r="M444">
        <v>5</v>
      </c>
      <c r="N444">
        <v>5</v>
      </c>
      <c r="O444">
        <v>0</v>
      </c>
      <c r="P444" t="s">
        <v>36</v>
      </c>
      <c r="Q444" t="s">
        <v>85</v>
      </c>
      <c r="R444">
        <v>1</v>
      </c>
      <c r="S444">
        <v>2</v>
      </c>
      <c r="T444" t="s">
        <v>49</v>
      </c>
      <c r="U444" t="s">
        <v>60</v>
      </c>
      <c r="V444" t="s">
        <v>51</v>
      </c>
      <c r="W444" s="1">
        <v>45489</v>
      </c>
      <c r="X444" t="b">
        <v>0</v>
      </c>
      <c r="Y444" t="b">
        <v>0</v>
      </c>
      <c r="Z444" t="s">
        <v>52</v>
      </c>
      <c r="AA444" t="s">
        <v>41</v>
      </c>
      <c r="AB444">
        <v>10</v>
      </c>
    </row>
    <row r="445" spans="1:28" x14ac:dyDescent="0.25">
      <c r="A445" t="s">
        <v>971</v>
      </c>
      <c r="B445">
        <v>26</v>
      </c>
      <c r="C445" t="s">
        <v>43</v>
      </c>
      <c r="D445" t="s">
        <v>30</v>
      </c>
      <c r="E445" t="s">
        <v>76</v>
      </c>
      <c r="F445" t="s">
        <v>32</v>
      </c>
      <c r="G445" t="s">
        <v>30</v>
      </c>
      <c r="H445" t="s">
        <v>972</v>
      </c>
      <c r="I445" t="s">
        <v>47</v>
      </c>
      <c r="J445">
        <v>172.5</v>
      </c>
      <c r="K445">
        <v>8</v>
      </c>
      <c r="L445" t="s">
        <v>78</v>
      </c>
      <c r="M445">
        <v>1</v>
      </c>
      <c r="N445">
        <v>3</v>
      </c>
      <c r="O445">
        <v>0</v>
      </c>
      <c r="P445" t="s">
        <v>49</v>
      </c>
      <c r="Q445" t="s">
        <v>37</v>
      </c>
      <c r="R445">
        <v>0</v>
      </c>
      <c r="S445">
        <v>8</v>
      </c>
      <c r="T445" t="s">
        <v>59</v>
      </c>
      <c r="U445" t="s">
        <v>79</v>
      </c>
      <c r="V445" t="s">
        <v>39</v>
      </c>
      <c r="W445" s="1">
        <v>45492</v>
      </c>
      <c r="X445" t="b">
        <v>1</v>
      </c>
      <c r="Y445" t="b">
        <v>0</v>
      </c>
      <c r="Z445" t="s">
        <v>62</v>
      </c>
      <c r="AA445" t="s">
        <v>41</v>
      </c>
      <c r="AB445">
        <v>7</v>
      </c>
    </row>
    <row r="446" spans="1:28" x14ac:dyDescent="0.25">
      <c r="A446" t="s">
        <v>973</v>
      </c>
      <c r="B446">
        <v>18</v>
      </c>
      <c r="C446" t="s">
        <v>29</v>
      </c>
      <c r="D446" t="s">
        <v>44</v>
      </c>
      <c r="E446" t="s">
        <v>55</v>
      </c>
      <c r="F446" t="s">
        <v>45</v>
      </c>
      <c r="G446" t="s">
        <v>30</v>
      </c>
      <c r="H446" t="s">
        <v>974</v>
      </c>
      <c r="I446" t="s">
        <v>117</v>
      </c>
      <c r="J446">
        <v>212.8</v>
      </c>
      <c r="K446">
        <v>6</v>
      </c>
      <c r="L446" t="s">
        <v>35</v>
      </c>
      <c r="M446">
        <v>3</v>
      </c>
      <c r="N446">
        <v>2</v>
      </c>
      <c r="O446">
        <v>2</v>
      </c>
      <c r="P446" t="s">
        <v>36</v>
      </c>
      <c r="Q446" t="s">
        <v>85</v>
      </c>
      <c r="R446">
        <v>1</v>
      </c>
      <c r="S446">
        <v>7</v>
      </c>
      <c r="T446" t="s">
        <v>44</v>
      </c>
      <c r="U446" t="s">
        <v>38</v>
      </c>
      <c r="V446" t="s">
        <v>39</v>
      </c>
      <c r="W446" s="1">
        <v>45429</v>
      </c>
      <c r="X446" t="b">
        <v>1</v>
      </c>
      <c r="Y446" t="b">
        <v>1</v>
      </c>
      <c r="Z446" t="s">
        <v>74</v>
      </c>
      <c r="AA446" t="s">
        <v>53</v>
      </c>
      <c r="AB446">
        <v>1</v>
      </c>
    </row>
    <row r="447" spans="1:28" x14ac:dyDescent="0.25">
      <c r="A447" t="s">
        <v>975</v>
      </c>
      <c r="B447">
        <v>47</v>
      </c>
      <c r="C447" t="s">
        <v>29</v>
      </c>
      <c r="D447" t="s">
        <v>30</v>
      </c>
      <c r="E447" t="s">
        <v>31</v>
      </c>
      <c r="F447" t="s">
        <v>32</v>
      </c>
      <c r="G447" t="s">
        <v>44</v>
      </c>
      <c r="H447" t="s">
        <v>976</v>
      </c>
      <c r="I447" t="s">
        <v>123</v>
      </c>
      <c r="J447">
        <v>324.41000000000003</v>
      </c>
      <c r="K447">
        <v>7</v>
      </c>
      <c r="L447" t="s">
        <v>35</v>
      </c>
      <c r="M447">
        <v>4</v>
      </c>
      <c r="N447">
        <v>4</v>
      </c>
      <c r="O447">
        <v>1</v>
      </c>
      <c r="P447" t="s">
        <v>36</v>
      </c>
      <c r="Q447" t="s">
        <v>50</v>
      </c>
      <c r="R447">
        <v>0</v>
      </c>
      <c r="S447">
        <v>5</v>
      </c>
      <c r="T447" t="s">
        <v>49</v>
      </c>
      <c r="U447" t="s">
        <v>38</v>
      </c>
      <c r="V447" t="s">
        <v>61</v>
      </c>
      <c r="W447" s="1">
        <v>45411</v>
      </c>
      <c r="X447" t="b">
        <v>1</v>
      </c>
      <c r="Y447" t="b">
        <v>1</v>
      </c>
      <c r="Z447" t="s">
        <v>40</v>
      </c>
      <c r="AA447" t="s">
        <v>41</v>
      </c>
      <c r="AB447">
        <v>4</v>
      </c>
    </row>
    <row r="448" spans="1:28" x14ac:dyDescent="0.25">
      <c r="A448" t="s">
        <v>977</v>
      </c>
      <c r="B448">
        <v>36</v>
      </c>
      <c r="C448" t="s">
        <v>43</v>
      </c>
      <c r="D448" t="s">
        <v>44</v>
      </c>
      <c r="E448" t="s">
        <v>69</v>
      </c>
      <c r="F448" t="s">
        <v>45</v>
      </c>
      <c r="G448" t="s">
        <v>30</v>
      </c>
      <c r="H448" t="s">
        <v>978</v>
      </c>
      <c r="I448" t="s">
        <v>194</v>
      </c>
      <c r="J448">
        <v>342.39</v>
      </c>
      <c r="K448">
        <v>8</v>
      </c>
      <c r="L448" t="s">
        <v>48</v>
      </c>
      <c r="M448">
        <v>1</v>
      </c>
      <c r="N448">
        <v>5</v>
      </c>
      <c r="O448">
        <v>2</v>
      </c>
      <c r="P448" t="s">
        <v>59</v>
      </c>
      <c r="Q448" t="s">
        <v>85</v>
      </c>
      <c r="R448">
        <v>2</v>
      </c>
      <c r="S448">
        <v>3</v>
      </c>
      <c r="T448" t="s">
        <v>44</v>
      </c>
      <c r="U448" t="s">
        <v>79</v>
      </c>
      <c r="V448" t="s">
        <v>66</v>
      </c>
      <c r="W448" s="1">
        <v>45295</v>
      </c>
      <c r="X448" t="b">
        <v>0</v>
      </c>
      <c r="Y448" t="b">
        <v>0</v>
      </c>
      <c r="Z448" t="s">
        <v>40</v>
      </c>
      <c r="AA448" t="s">
        <v>53</v>
      </c>
      <c r="AB448">
        <v>9</v>
      </c>
    </row>
    <row r="449" spans="1:28" x14ac:dyDescent="0.25">
      <c r="A449" t="s">
        <v>979</v>
      </c>
      <c r="B449">
        <v>23</v>
      </c>
      <c r="C449" t="s">
        <v>29</v>
      </c>
      <c r="D449" t="s">
        <v>44</v>
      </c>
      <c r="E449" t="s">
        <v>76</v>
      </c>
      <c r="F449" t="s">
        <v>32</v>
      </c>
      <c r="G449" t="s">
        <v>44</v>
      </c>
      <c r="H449" t="s">
        <v>980</v>
      </c>
      <c r="I449" t="s">
        <v>104</v>
      </c>
      <c r="J449">
        <v>446.86</v>
      </c>
      <c r="K449">
        <v>9</v>
      </c>
      <c r="L449" t="s">
        <v>48</v>
      </c>
      <c r="M449">
        <v>2</v>
      </c>
      <c r="N449">
        <v>1</v>
      </c>
      <c r="O449">
        <v>2</v>
      </c>
      <c r="P449" t="s">
        <v>36</v>
      </c>
      <c r="Q449" t="s">
        <v>85</v>
      </c>
      <c r="R449">
        <v>0</v>
      </c>
      <c r="S449">
        <v>2</v>
      </c>
      <c r="T449" t="s">
        <v>49</v>
      </c>
      <c r="U449" t="s">
        <v>79</v>
      </c>
      <c r="V449" t="s">
        <v>51</v>
      </c>
      <c r="W449" s="1">
        <v>45603</v>
      </c>
      <c r="X449" t="b">
        <v>0</v>
      </c>
      <c r="Y449" t="b">
        <v>0</v>
      </c>
      <c r="Z449" t="s">
        <v>52</v>
      </c>
      <c r="AA449" t="s">
        <v>41</v>
      </c>
      <c r="AB449">
        <v>5</v>
      </c>
    </row>
    <row r="450" spans="1:28" x14ac:dyDescent="0.25">
      <c r="A450" t="s">
        <v>981</v>
      </c>
      <c r="B450">
        <v>49</v>
      </c>
      <c r="C450" t="s">
        <v>43</v>
      </c>
      <c r="D450" t="s">
        <v>44</v>
      </c>
      <c r="E450" t="s">
        <v>76</v>
      </c>
      <c r="F450" t="s">
        <v>56</v>
      </c>
      <c r="G450" t="s">
        <v>44</v>
      </c>
      <c r="H450" t="s">
        <v>982</v>
      </c>
      <c r="I450" t="s">
        <v>117</v>
      </c>
      <c r="J450">
        <v>463.15</v>
      </c>
      <c r="K450">
        <v>3</v>
      </c>
      <c r="L450" t="s">
        <v>35</v>
      </c>
      <c r="M450">
        <v>1</v>
      </c>
      <c r="N450">
        <v>1</v>
      </c>
      <c r="O450">
        <v>1</v>
      </c>
      <c r="P450" t="s">
        <v>36</v>
      </c>
      <c r="Q450" t="s">
        <v>37</v>
      </c>
      <c r="R450">
        <v>1</v>
      </c>
      <c r="S450">
        <v>9</v>
      </c>
      <c r="T450" t="s">
        <v>44</v>
      </c>
      <c r="U450" t="s">
        <v>60</v>
      </c>
      <c r="V450" t="s">
        <v>61</v>
      </c>
      <c r="W450" s="1">
        <v>45407</v>
      </c>
      <c r="X450" t="b">
        <v>1</v>
      </c>
      <c r="Y450" t="b">
        <v>1</v>
      </c>
      <c r="Z450" t="s">
        <v>40</v>
      </c>
      <c r="AA450" t="s">
        <v>53</v>
      </c>
      <c r="AB450">
        <v>9</v>
      </c>
    </row>
    <row r="451" spans="1:28" x14ac:dyDescent="0.25">
      <c r="A451" t="s">
        <v>983</v>
      </c>
      <c r="B451">
        <v>27</v>
      </c>
      <c r="C451" t="s">
        <v>29</v>
      </c>
      <c r="D451" t="s">
        <v>44</v>
      </c>
      <c r="E451" t="s">
        <v>76</v>
      </c>
      <c r="F451" t="s">
        <v>32</v>
      </c>
      <c r="G451" t="s">
        <v>44</v>
      </c>
      <c r="H451" t="s">
        <v>984</v>
      </c>
      <c r="I451" t="s">
        <v>158</v>
      </c>
      <c r="J451">
        <v>122.99</v>
      </c>
      <c r="K451">
        <v>12</v>
      </c>
      <c r="L451" t="s">
        <v>48</v>
      </c>
      <c r="M451">
        <v>1</v>
      </c>
      <c r="N451">
        <v>5</v>
      </c>
      <c r="O451">
        <v>1</v>
      </c>
      <c r="P451" t="s">
        <v>44</v>
      </c>
      <c r="Q451" t="s">
        <v>85</v>
      </c>
      <c r="R451">
        <v>1</v>
      </c>
      <c r="S451">
        <v>8</v>
      </c>
      <c r="T451" t="s">
        <v>36</v>
      </c>
      <c r="U451" t="s">
        <v>79</v>
      </c>
      <c r="V451" t="s">
        <v>86</v>
      </c>
      <c r="W451" s="1">
        <v>45568</v>
      </c>
      <c r="X451" t="b">
        <v>1</v>
      </c>
      <c r="Y451" t="b">
        <v>0</v>
      </c>
      <c r="Z451" t="s">
        <v>74</v>
      </c>
      <c r="AA451" t="s">
        <v>41</v>
      </c>
      <c r="AB451">
        <v>1</v>
      </c>
    </row>
    <row r="452" spans="1:28" x14ac:dyDescent="0.25">
      <c r="A452" t="s">
        <v>985</v>
      </c>
      <c r="B452">
        <v>43</v>
      </c>
      <c r="C452" t="s">
        <v>43</v>
      </c>
      <c r="D452" t="s">
        <v>44</v>
      </c>
      <c r="E452" t="s">
        <v>69</v>
      </c>
      <c r="F452" t="s">
        <v>56</v>
      </c>
      <c r="G452" t="s">
        <v>44</v>
      </c>
      <c r="H452" t="s">
        <v>986</v>
      </c>
      <c r="I452" t="s">
        <v>188</v>
      </c>
      <c r="J452">
        <v>322.39999999999998</v>
      </c>
      <c r="K452">
        <v>7</v>
      </c>
      <c r="L452" t="s">
        <v>35</v>
      </c>
      <c r="M452">
        <v>4</v>
      </c>
      <c r="N452">
        <v>2</v>
      </c>
      <c r="O452">
        <v>1</v>
      </c>
      <c r="P452" t="s">
        <v>49</v>
      </c>
      <c r="Q452" t="s">
        <v>85</v>
      </c>
      <c r="R452">
        <v>2</v>
      </c>
      <c r="S452">
        <v>3</v>
      </c>
      <c r="T452" t="s">
        <v>49</v>
      </c>
      <c r="U452" t="s">
        <v>38</v>
      </c>
      <c r="V452" t="s">
        <v>86</v>
      </c>
      <c r="W452" s="1">
        <v>45511</v>
      </c>
      <c r="X452" t="b">
        <v>1</v>
      </c>
      <c r="Y452" t="b">
        <v>1</v>
      </c>
      <c r="Z452" t="s">
        <v>40</v>
      </c>
      <c r="AA452" t="s">
        <v>67</v>
      </c>
      <c r="AB452">
        <v>2</v>
      </c>
    </row>
    <row r="453" spans="1:28" x14ac:dyDescent="0.25">
      <c r="A453" t="s">
        <v>987</v>
      </c>
      <c r="B453">
        <v>19</v>
      </c>
      <c r="C453" t="s">
        <v>29</v>
      </c>
      <c r="D453" t="s">
        <v>44</v>
      </c>
      <c r="E453" t="s">
        <v>31</v>
      </c>
      <c r="F453" t="s">
        <v>45</v>
      </c>
      <c r="G453" t="s">
        <v>30</v>
      </c>
      <c r="H453" t="s">
        <v>988</v>
      </c>
      <c r="I453" t="s">
        <v>104</v>
      </c>
      <c r="J453">
        <v>73.19</v>
      </c>
      <c r="K453">
        <v>5</v>
      </c>
      <c r="L453" t="s">
        <v>35</v>
      </c>
      <c r="M453">
        <v>2</v>
      </c>
      <c r="N453">
        <v>5</v>
      </c>
      <c r="O453">
        <v>1</v>
      </c>
      <c r="P453" t="s">
        <v>59</v>
      </c>
      <c r="Q453" t="s">
        <v>50</v>
      </c>
      <c r="R453">
        <v>2</v>
      </c>
      <c r="S453">
        <v>8</v>
      </c>
      <c r="T453" t="s">
        <v>44</v>
      </c>
      <c r="U453" t="s">
        <v>60</v>
      </c>
      <c r="V453" t="s">
        <v>51</v>
      </c>
      <c r="W453" s="1">
        <v>45393</v>
      </c>
      <c r="X453" t="b">
        <v>0</v>
      </c>
      <c r="Y453" t="b">
        <v>1</v>
      </c>
      <c r="Z453" t="s">
        <v>40</v>
      </c>
      <c r="AA453" t="s">
        <v>41</v>
      </c>
      <c r="AB453">
        <v>3</v>
      </c>
    </row>
    <row r="454" spans="1:28" x14ac:dyDescent="0.25">
      <c r="A454" t="s">
        <v>989</v>
      </c>
      <c r="B454">
        <v>41</v>
      </c>
      <c r="C454" t="s">
        <v>29</v>
      </c>
      <c r="D454" t="s">
        <v>30</v>
      </c>
      <c r="E454" t="s">
        <v>31</v>
      </c>
      <c r="F454" t="s">
        <v>56</v>
      </c>
      <c r="G454" t="s">
        <v>44</v>
      </c>
      <c r="H454" t="s">
        <v>856</v>
      </c>
      <c r="I454" t="s">
        <v>126</v>
      </c>
      <c r="J454">
        <v>279.08</v>
      </c>
      <c r="K454">
        <v>10</v>
      </c>
      <c r="L454" t="s">
        <v>78</v>
      </c>
      <c r="M454">
        <v>4</v>
      </c>
      <c r="N454">
        <v>2</v>
      </c>
      <c r="O454">
        <v>1</v>
      </c>
      <c r="P454" t="s">
        <v>44</v>
      </c>
      <c r="Q454" t="s">
        <v>50</v>
      </c>
      <c r="R454">
        <v>2</v>
      </c>
      <c r="S454">
        <v>7</v>
      </c>
      <c r="T454" t="s">
        <v>49</v>
      </c>
      <c r="U454" t="s">
        <v>60</v>
      </c>
      <c r="V454" t="s">
        <v>39</v>
      </c>
      <c r="W454" s="1">
        <v>45407</v>
      </c>
      <c r="X454" t="b">
        <v>0</v>
      </c>
      <c r="Y454" t="b">
        <v>1</v>
      </c>
      <c r="Z454" t="s">
        <v>52</v>
      </c>
      <c r="AA454" t="s">
        <v>41</v>
      </c>
      <c r="AB454">
        <v>3</v>
      </c>
    </row>
    <row r="455" spans="1:28" x14ac:dyDescent="0.25">
      <c r="A455" t="s">
        <v>990</v>
      </c>
      <c r="B455">
        <v>29</v>
      </c>
      <c r="C455" t="s">
        <v>29</v>
      </c>
      <c r="D455" t="s">
        <v>30</v>
      </c>
      <c r="E455" t="s">
        <v>55</v>
      </c>
      <c r="F455" t="s">
        <v>45</v>
      </c>
      <c r="G455" t="s">
        <v>30</v>
      </c>
      <c r="H455" t="s">
        <v>991</v>
      </c>
      <c r="I455" t="s">
        <v>194</v>
      </c>
      <c r="J455">
        <v>478.85</v>
      </c>
      <c r="K455">
        <v>10</v>
      </c>
      <c r="L455" t="s">
        <v>48</v>
      </c>
      <c r="M455">
        <v>4</v>
      </c>
      <c r="N455">
        <v>2</v>
      </c>
      <c r="O455">
        <v>2</v>
      </c>
      <c r="P455" t="s">
        <v>36</v>
      </c>
      <c r="Q455" t="s">
        <v>50</v>
      </c>
      <c r="R455">
        <v>2</v>
      </c>
      <c r="S455">
        <v>2</v>
      </c>
      <c r="T455" t="s">
        <v>36</v>
      </c>
      <c r="U455" t="s">
        <v>79</v>
      </c>
      <c r="V455" t="s">
        <v>86</v>
      </c>
      <c r="W455" s="1">
        <v>45410</v>
      </c>
      <c r="X455" t="b">
        <v>0</v>
      </c>
      <c r="Y455" t="b">
        <v>0</v>
      </c>
      <c r="Z455" t="s">
        <v>74</v>
      </c>
      <c r="AA455" t="s">
        <v>41</v>
      </c>
      <c r="AB455">
        <v>4</v>
      </c>
    </row>
    <row r="456" spans="1:28" x14ac:dyDescent="0.25">
      <c r="A456" t="s">
        <v>992</v>
      </c>
      <c r="B456">
        <v>25</v>
      </c>
      <c r="C456" t="s">
        <v>43</v>
      </c>
      <c r="D456" t="s">
        <v>44</v>
      </c>
      <c r="E456" t="s">
        <v>69</v>
      </c>
      <c r="F456" t="s">
        <v>56</v>
      </c>
      <c r="G456" t="s">
        <v>44</v>
      </c>
      <c r="H456" t="s">
        <v>993</v>
      </c>
      <c r="I456" t="s">
        <v>47</v>
      </c>
      <c r="J456">
        <v>86.39</v>
      </c>
      <c r="K456">
        <v>5</v>
      </c>
      <c r="L456" t="s">
        <v>35</v>
      </c>
      <c r="M456">
        <v>4</v>
      </c>
      <c r="N456">
        <v>5</v>
      </c>
      <c r="O456">
        <v>1</v>
      </c>
      <c r="P456" t="s">
        <v>44</v>
      </c>
      <c r="Q456" t="s">
        <v>37</v>
      </c>
      <c r="R456">
        <v>1</v>
      </c>
      <c r="S456">
        <v>1</v>
      </c>
      <c r="T456" t="s">
        <v>49</v>
      </c>
      <c r="U456" t="s">
        <v>79</v>
      </c>
      <c r="V456" t="s">
        <v>61</v>
      </c>
      <c r="W456" s="1">
        <v>45544</v>
      </c>
      <c r="X456" t="b">
        <v>0</v>
      </c>
      <c r="Y456" t="b">
        <v>0</v>
      </c>
      <c r="Z456" t="s">
        <v>40</v>
      </c>
      <c r="AA456" t="s">
        <v>53</v>
      </c>
      <c r="AB456">
        <v>7</v>
      </c>
    </row>
    <row r="457" spans="1:28" x14ac:dyDescent="0.25">
      <c r="A457" t="s">
        <v>994</v>
      </c>
      <c r="B457">
        <v>45</v>
      </c>
      <c r="C457" t="s">
        <v>43</v>
      </c>
      <c r="D457" t="s">
        <v>44</v>
      </c>
      <c r="E457" t="s">
        <v>69</v>
      </c>
      <c r="F457" t="s">
        <v>32</v>
      </c>
      <c r="G457" t="s">
        <v>30</v>
      </c>
      <c r="H457" t="s">
        <v>995</v>
      </c>
      <c r="I457" t="s">
        <v>123</v>
      </c>
      <c r="J457">
        <v>192.35</v>
      </c>
      <c r="K457">
        <v>11</v>
      </c>
      <c r="L457" t="s">
        <v>35</v>
      </c>
      <c r="M457">
        <v>3</v>
      </c>
      <c r="N457">
        <v>5</v>
      </c>
      <c r="O457">
        <v>2</v>
      </c>
      <c r="P457" t="s">
        <v>44</v>
      </c>
      <c r="Q457" t="s">
        <v>50</v>
      </c>
      <c r="R457">
        <v>2</v>
      </c>
      <c r="S457">
        <v>1</v>
      </c>
      <c r="T457" t="s">
        <v>44</v>
      </c>
      <c r="U457" t="s">
        <v>60</v>
      </c>
      <c r="V457" t="s">
        <v>39</v>
      </c>
      <c r="W457" s="1">
        <v>45420</v>
      </c>
      <c r="X457" t="b">
        <v>1</v>
      </c>
      <c r="Y457" t="b">
        <v>0</v>
      </c>
      <c r="Z457" t="s">
        <v>62</v>
      </c>
      <c r="AA457" t="s">
        <v>67</v>
      </c>
      <c r="AB457">
        <v>11</v>
      </c>
    </row>
    <row r="458" spans="1:28" x14ac:dyDescent="0.25">
      <c r="A458" t="s">
        <v>996</v>
      </c>
      <c r="B458">
        <v>36</v>
      </c>
      <c r="C458" t="s">
        <v>29</v>
      </c>
      <c r="D458" t="s">
        <v>30</v>
      </c>
      <c r="E458" t="s">
        <v>76</v>
      </c>
      <c r="F458" t="s">
        <v>32</v>
      </c>
      <c r="G458" t="s">
        <v>44</v>
      </c>
      <c r="H458" t="s">
        <v>997</v>
      </c>
      <c r="I458" t="s">
        <v>188</v>
      </c>
      <c r="J458">
        <v>235.32</v>
      </c>
      <c r="K458">
        <v>7</v>
      </c>
      <c r="L458" t="s">
        <v>78</v>
      </c>
      <c r="M458">
        <v>2</v>
      </c>
      <c r="N458">
        <v>1</v>
      </c>
      <c r="O458">
        <v>1</v>
      </c>
      <c r="P458" t="s">
        <v>49</v>
      </c>
      <c r="Q458" t="s">
        <v>85</v>
      </c>
      <c r="R458">
        <v>1</v>
      </c>
      <c r="S458">
        <v>10</v>
      </c>
      <c r="T458" t="s">
        <v>44</v>
      </c>
      <c r="U458" t="s">
        <v>79</v>
      </c>
      <c r="V458" t="s">
        <v>51</v>
      </c>
      <c r="W458" s="1">
        <v>45452</v>
      </c>
      <c r="X458" t="b">
        <v>0</v>
      </c>
      <c r="Y458" t="b">
        <v>1</v>
      </c>
      <c r="Z458" t="s">
        <v>62</v>
      </c>
      <c r="AA458" t="s">
        <v>67</v>
      </c>
      <c r="AB458">
        <v>11</v>
      </c>
    </row>
    <row r="459" spans="1:28" x14ac:dyDescent="0.25">
      <c r="A459" t="s">
        <v>998</v>
      </c>
      <c r="B459">
        <v>21</v>
      </c>
      <c r="C459" t="s">
        <v>29</v>
      </c>
      <c r="D459" t="s">
        <v>44</v>
      </c>
      <c r="E459" t="s">
        <v>69</v>
      </c>
      <c r="F459" t="s">
        <v>45</v>
      </c>
      <c r="G459" t="s">
        <v>44</v>
      </c>
      <c r="H459" t="s">
        <v>999</v>
      </c>
      <c r="I459" t="s">
        <v>117</v>
      </c>
      <c r="J459">
        <v>212.63</v>
      </c>
      <c r="K459">
        <v>8</v>
      </c>
      <c r="L459" t="s">
        <v>78</v>
      </c>
      <c r="M459">
        <v>4</v>
      </c>
      <c r="N459">
        <v>2</v>
      </c>
      <c r="O459">
        <v>1</v>
      </c>
      <c r="P459" t="s">
        <v>59</v>
      </c>
      <c r="Q459" t="s">
        <v>85</v>
      </c>
      <c r="R459">
        <v>0</v>
      </c>
      <c r="S459">
        <v>4</v>
      </c>
      <c r="T459" t="s">
        <v>44</v>
      </c>
      <c r="U459" t="s">
        <v>79</v>
      </c>
      <c r="V459" t="s">
        <v>61</v>
      </c>
      <c r="W459" s="1">
        <v>45531</v>
      </c>
      <c r="X459" t="b">
        <v>0</v>
      </c>
      <c r="Y459" t="b">
        <v>1</v>
      </c>
      <c r="Z459" t="s">
        <v>40</v>
      </c>
      <c r="AA459" t="s">
        <v>41</v>
      </c>
      <c r="AB459">
        <v>6</v>
      </c>
    </row>
    <row r="460" spans="1:28" x14ac:dyDescent="0.25">
      <c r="A460" t="s">
        <v>1000</v>
      </c>
      <c r="B460">
        <v>47</v>
      </c>
      <c r="C460" t="s">
        <v>29</v>
      </c>
      <c r="D460" t="s">
        <v>30</v>
      </c>
      <c r="E460" t="s">
        <v>69</v>
      </c>
      <c r="F460" t="s">
        <v>56</v>
      </c>
      <c r="G460" t="s">
        <v>44</v>
      </c>
      <c r="H460" t="s">
        <v>1001</v>
      </c>
      <c r="I460" t="s">
        <v>47</v>
      </c>
      <c r="J460">
        <v>246.63</v>
      </c>
      <c r="K460">
        <v>8</v>
      </c>
      <c r="L460" t="s">
        <v>48</v>
      </c>
      <c r="M460">
        <v>2</v>
      </c>
      <c r="N460">
        <v>3</v>
      </c>
      <c r="O460">
        <v>1</v>
      </c>
      <c r="P460" t="s">
        <v>36</v>
      </c>
      <c r="Q460" t="s">
        <v>37</v>
      </c>
      <c r="R460">
        <v>2</v>
      </c>
      <c r="S460">
        <v>3</v>
      </c>
      <c r="T460" t="s">
        <v>36</v>
      </c>
      <c r="U460" t="s">
        <v>38</v>
      </c>
      <c r="V460" t="s">
        <v>39</v>
      </c>
      <c r="W460" s="1">
        <v>45383</v>
      </c>
      <c r="X460" t="b">
        <v>1</v>
      </c>
      <c r="Y460" t="b">
        <v>0</v>
      </c>
      <c r="Z460" t="s">
        <v>62</v>
      </c>
      <c r="AA460" t="s">
        <v>67</v>
      </c>
      <c r="AB460">
        <v>10</v>
      </c>
    </row>
    <row r="461" spans="1:28" x14ac:dyDescent="0.25">
      <c r="A461" t="s">
        <v>1002</v>
      </c>
      <c r="B461">
        <v>26</v>
      </c>
      <c r="C461" t="s">
        <v>29</v>
      </c>
      <c r="D461" t="s">
        <v>30</v>
      </c>
      <c r="E461" t="s">
        <v>69</v>
      </c>
      <c r="F461" t="s">
        <v>32</v>
      </c>
      <c r="G461" t="s">
        <v>44</v>
      </c>
      <c r="H461" t="s">
        <v>256</v>
      </c>
      <c r="I461" t="s">
        <v>126</v>
      </c>
      <c r="J461">
        <v>228.47</v>
      </c>
      <c r="K461">
        <v>9</v>
      </c>
      <c r="L461" t="s">
        <v>78</v>
      </c>
      <c r="M461">
        <v>3</v>
      </c>
      <c r="N461">
        <v>3</v>
      </c>
      <c r="O461">
        <v>1</v>
      </c>
      <c r="P461" t="s">
        <v>36</v>
      </c>
      <c r="Q461" t="s">
        <v>85</v>
      </c>
      <c r="R461">
        <v>1</v>
      </c>
      <c r="S461">
        <v>7</v>
      </c>
      <c r="T461" t="s">
        <v>36</v>
      </c>
      <c r="U461" t="s">
        <v>79</v>
      </c>
      <c r="V461" t="s">
        <v>39</v>
      </c>
      <c r="W461" s="1">
        <v>45533</v>
      </c>
      <c r="X461" t="b">
        <v>0</v>
      </c>
      <c r="Y461" t="b">
        <v>1</v>
      </c>
      <c r="Z461" t="s">
        <v>62</v>
      </c>
      <c r="AA461" t="s">
        <v>67</v>
      </c>
      <c r="AB461">
        <v>12</v>
      </c>
    </row>
    <row r="462" spans="1:28" x14ac:dyDescent="0.25">
      <c r="A462" t="s">
        <v>1003</v>
      </c>
      <c r="B462">
        <v>25</v>
      </c>
      <c r="C462" t="s">
        <v>29</v>
      </c>
      <c r="D462" t="s">
        <v>30</v>
      </c>
      <c r="E462" t="s">
        <v>55</v>
      </c>
      <c r="F462" t="s">
        <v>56</v>
      </c>
      <c r="G462" t="s">
        <v>44</v>
      </c>
      <c r="H462" t="s">
        <v>1004</v>
      </c>
      <c r="I462" t="s">
        <v>34</v>
      </c>
      <c r="J462">
        <v>343.77</v>
      </c>
      <c r="K462">
        <v>6</v>
      </c>
      <c r="L462" t="s">
        <v>78</v>
      </c>
      <c r="M462">
        <v>4</v>
      </c>
      <c r="N462">
        <v>3</v>
      </c>
      <c r="O462">
        <v>2</v>
      </c>
      <c r="P462" t="s">
        <v>59</v>
      </c>
      <c r="Q462" t="s">
        <v>37</v>
      </c>
      <c r="R462">
        <v>2</v>
      </c>
      <c r="S462">
        <v>9</v>
      </c>
      <c r="T462" t="s">
        <v>44</v>
      </c>
      <c r="U462" t="s">
        <v>79</v>
      </c>
      <c r="V462" t="s">
        <v>86</v>
      </c>
      <c r="W462" s="1">
        <v>45553</v>
      </c>
      <c r="X462" t="b">
        <v>1</v>
      </c>
      <c r="Y462" t="b">
        <v>1</v>
      </c>
      <c r="Z462" t="s">
        <v>52</v>
      </c>
      <c r="AA462" t="s">
        <v>67</v>
      </c>
      <c r="AB462">
        <v>6</v>
      </c>
    </row>
    <row r="463" spans="1:28" x14ac:dyDescent="0.25">
      <c r="A463" t="s">
        <v>1005</v>
      </c>
      <c r="B463">
        <v>26</v>
      </c>
      <c r="C463" t="s">
        <v>88</v>
      </c>
      <c r="D463" t="s">
        <v>30</v>
      </c>
      <c r="E463" t="s">
        <v>31</v>
      </c>
      <c r="F463" t="s">
        <v>32</v>
      </c>
      <c r="G463" t="s">
        <v>44</v>
      </c>
      <c r="H463" t="s">
        <v>1006</v>
      </c>
      <c r="I463" t="s">
        <v>158</v>
      </c>
      <c r="J463">
        <v>339.32</v>
      </c>
      <c r="K463">
        <v>9</v>
      </c>
      <c r="L463" t="s">
        <v>48</v>
      </c>
      <c r="M463">
        <v>2</v>
      </c>
      <c r="N463">
        <v>4</v>
      </c>
      <c r="O463">
        <v>0</v>
      </c>
      <c r="P463" t="s">
        <v>49</v>
      </c>
      <c r="Q463" t="s">
        <v>85</v>
      </c>
      <c r="R463">
        <v>1</v>
      </c>
      <c r="S463">
        <v>4</v>
      </c>
      <c r="T463" t="s">
        <v>44</v>
      </c>
      <c r="U463" t="s">
        <v>38</v>
      </c>
      <c r="V463" t="s">
        <v>66</v>
      </c>
      <c r="W463" s="1">
        <v>45540</v>
      </c>
      <c r="X463" t="b">
        <v>0</v>
      </c>
      <c r="Y463" t="b">
        <v>0</v>
      </c>
      <c r="Z463" t="s">
        <v>40</v>
      </c>
      <c r="AA463" t="s">
        <v>41</v>
      </c>
      <c r="AB463">
        <v>7</v>
      </c>
    </row>
    <row r="464" spans="1:28" x14ac:dyDescent="0.25">
      <c r="A464" t="s">
        <v>1007</v>
      </c>
      <c r="B464">
        <v>34</v>
      </c>
      <c r="C464" t="s">
        <v>43</v>
      </c>
      <c r="D464" t="s">
        <v>44</v>
      </c>
      <c r="E464" t="s">
        <v>76</v>
      </c>
      <c r="F464" t="s">
        <v>32</v>
      </c>
      <c r="G464" t="s">
        <v>30</v>
      </c>
      <c r="H464" t="s">
        <v>1008</v>
      </c>
      <c r="I464" t="s">
        <v>183</v>
      </c>
      <c r="J464">
        <v>327.05</v>
      </c>
      <c r="K464">
        <v>9</v>
      </c>
      <c r="L464" t="s">
        <v>35</v>
      </c>
      <c r="M464">
        <v>5</v>
      </c>
      <c r="N464">
        <v>4</v>
      </c>
      <c r="O464">
        <v>0</v>
      </c>
      <c r="P464" t="s">
        <v>59</v>
      </c>
      <c r="Q464" t="s">
        <v>37</v>
      </c>
      <c r="R464">
        <v>2</v>
      </c>
      <c r="S464">
        <v>3</v>
      </c>
      <c r="T464" t="s">
        <v>44</v>
      </c>
      <c r="U464" t="s">
        <v>79</v>
      </c>
      <c r="V464" t="s">
        <v>86</v>
      </c>
      <c r="W464" s="1">
        <v>45510</v>
      </c>
      <c r="X464" t="b">
        <v>0</v>
      </c>
      <c r="Y464" t="b">
        <v>1</v>
      </c>
      <c r="Z464" t="s">
        <v>40</v>
      </c>
      <c r="AA464" t="s">
        <v>41</v>
      </c>
      <c r="AB464">
        <v>7</v>
      </c>
    </row>
    <row r="465" spans="1:28" x14ac:dyDescent="0.25">
      <c r="A465" t="s">
        <v>1009</v>
      </c>
      <c r="B465">
        <v>48</v>
      </c>
      <c r="C465" t="s">
        <v>43</v>
      </c>
      <c r="D465" t="s">
        <v>44</v>
      </c>
      <c r="E465" t="s">
        <v>76</v>
      </c>
      <c r="F465" t="s">
        <v>56</v>
      </c>
      <c r="G465" t="s">
        <v>30</v>
      </c>
      <c r="H465" t="s">
        <v>1010</v>
      </c>
      <c r="I465" t="s">
        <v>126</v>
      </c>
      <c r="J465">
        <v>334.45</v>
      </c>
      <c r="K465">
        <v>2</v>
      </c>
      <c r="L465" t="s">
        <v>48</v>
      </c>
      <c r="M465">
        <v>2</v>
      </c>
      <c r="N465">
        <v>5</v>
      </c>
      <c r="O465">
        <v>0</v>
      </c>
      <c r="P465" t="s">
        <v>49</v>
      </c>
      <c r="Q465" t="s">
        <v>50</v>
      </c>
      <c r="R465">
        <v>2</v>
      </c>
      <c r="S465">
        <v>9</v>
      </c>
      <c r="T465" t="s">
        <v>44</v>
      </c>
      <c r="U465" t="s">
        <v>38</v>
      </c>
      <c r="V465" t="s">
        <v>39</v>
      </c>
      <c r="W465" s="1">
        <v>45461</v>
      </c>
      <c r="X465" t="b">
        <v>1</v>
      </c>
      <c r="Y465" t="b">
        <v>0</v>
      </c>
      <c r="Z465" t="s">
        <v>62</v>
      </c>
      <c r="AA465" t="s">
        <v>41</v>
      </c>
      <c r="AB465">
        <v>6</v>
      </c>
    </row>
    <row r="466" spans="1:28" x14ac:dyDescent="0.25">
      <c r="A466" t="s">
        <v>1011</v>
      </c>
      <c r="B466">
        <v>19</v>
      </c>
      <c r="C466" t="s">
        <v>43</v>
      </c>
      <c r="D466" t="s">
        <v>44</v>
      </c>
      <c r="E466" t="s">
        <v>55</v>
      </c>
      <c r="F466" t="s">
        <v>32</v>
      </c>
      <c r="G466" t="s">
        <v>30</v>
      </c>
      <c r="H466" t="s">
        <v>1012</v>
      </c>
      <c r="I466" t="s">
        <v>47</v>
      </c>
      <c r="J466">
        <v>366.16</v>
      </c>
      <c r="K466">
        <v>12</v>
      </c>
      <c r="L466" t="s">
        <v>35</v>
      </c>
      <c r="M466">
        <v>4</v>
      </c>
      <c r="N466">
        <v>4</v>
      </c>
      <c r="O466">
        <v>2</v>
      </c>
      <c r="P466" t="s">
        <v>49</v>
      </c>
      <c r="Q466" t="s">
        <v>37</v>
      </c>
      <c r="R466">
        <v>1</v>
      </c>
      <c r="S466">
        <v>5</v>
      </c>
      <c r="T466" t="s">
        <v>59</v>
      </c>
      <c r="U466" t="s">
        <v>79</v>
      </c>
      <c r="V466" t="s">
        <v>39</v>
      </c>
      <c r="W466" s="1">
        <v>45530</v>
      </c>
      <c r="X466" t="b">
        <v>0</v>
      </c>
      <c r="Y466" t="b">
        <v>0</v>
      </c>
      <c r="Z466" t="s">
        <v>40</v>
      </c>
      <c r="AA466" t="s">
        <v>41</v>
      </c>
      <c r="AB466">
        <v>4</v>
      </c>
    </row>
    <row r="467" spans="1:28" x14ac:dyDescent="0.25">
      <c r="A467" t="s">
        <v>1013</v>
      </c>
      <c r="B467">
        <v>37</v>
      </c>
      <c r="C467" t="s">
        <v>29</v>
      </c>
      <c r="D467" t="s">
        <v>44</v>
      </c>
      <c r="E467" t="s">
        <v>69</v>
      </c>
      <c r="F467" t="s">
        <v>32</v>
      </c>
      <c r="G467" t="s">
        <v>30</v>
      </c>
      <c r="H467" t="s">
        <v>1014</v>
      </c>
      <c r="I467" t="s">
        <v>158</v>
      </c>
      <c r="J467">
        <v>481.78</v>
      </c>
      <c r="K467">
        <v>8</v>
      </c>
      <c r="L467" t="s">
        <v>48</v>
      </c>
      <c r="M467">
        <v>5</v>
      </c>
      <c r="N467">
        <v>2</v>
      </c>
      <c r="O467">
        <v>0</v>
      </c>
      <c r="P467" t="s">
        <v>49</v>
      </c>
      <c r="Q467" t="s">
        <v>85</v>
      </c>
      <c r="R467">
        <v>2</v>
      </c>
      <c r="S467">
        <v>4</v>
      </c>
      <c r="T467" t="s">
        <v>59</v>
      </c>
      <c r="U467" t="s">
        <v>38</v>
      </c>
      <c r="V467" t="s">
        <v>61</v>
      </c>
      <c r="W467" s="1">
        <v>45406</v>
      </c>
      <c r="X467" t="b">
        <v>1</v>
      </c>
      <c r="Y467" t="b">
        <v>1</v>
      </c>
      <c r="Z467" t="s">
        <v>52</v>
      </c>
      <c r="AA467" t="s">
        <v>67</v>
      </c>
      <c r="AB467">
        <v>1</v>
      </c>
    </row>
    <row r="468" spans="1:28" x14ac:dyDescent="0.25">
      <c r="A468" t="s">
        <v>1015</v>
      </c>
      <c r="B468">
        <v>23</v>
      </c>
      <c r="C468" t="s">
        <v>29</v>
      </c>
      <c r="D468" t="s">
        <v>44</v>
      </c>
      <c r="E468" t="s">
        <v>69</v>
      </c>
      <c r="F468" t="s">
        <v>32</v>
      </c>
      <c r="G468" t="s">
        <v>30</v>
      </c>
      <c r="H468" t="s">
        <v>1016</v>
      </c>
      <c r="I468" t="s">
        <v>34</v>
      </c>
      <c r="J468">
        <v>131.47999999999999</v>
      </c>
      <c r="K468">
        <v>8</v>
      </c>
      <c r="L468" t="s">
        <v>35</v>
      </c>
      <c r="M468">
        <v>3</v>
      </c>
      <c r="N468">
        <v>5</v>
      </c>
      <c r="O468">
        <v>0</v>
      </c>
      <c r="P468" t="s">
        <v>36</v>
      </c>
      <c r="Q468" t="s">
        <v>37</v>
      </c>
      <c r="R468">
        <v>2</v>
      </c>
      <c r="S468">
        <v>1</v>
      </c>
      <c r="T468" t="s">
        <v>59</v>
      </c>
      <c r="U468" t="s">
        <v>38</v>
      </c>
      <c r="V468" t="s">
        <v>39</v>
      </c>
      <c r="W468" s="1">
        <v>45512</v>
      </c>
      <c r="X468" t="b">
        <v>1</v>
      </c>
      <c r="Y468" t="b">
        <v>1</v>
      </c>
      <c r="Z468" t="s">
        <v>52</v>
      </c>
      <c r="AA468" t="s">
        <v>41</v>
      </c>
      <c r="AB468">
        <v>12</v>
      </c>
    </row>
    <row r="469" spans="1:28" x14ac:dyDescent="0.25">
      <c r="A469" t="s">
        <v>1017</v>
      </c>
      <c r="B469">
        <v>34</v>
      </c>
      <c r="C469" t="s">
        <v>29</v>
      </c>
      <c r="D469" t="s">
        <v>44</v>
      </c>
      <c r="E469" t="s">
        <v>69</v>
      </c>
      <c r="F469" t="s">
        <v>56</v>
      </c>
      <c r="G469" t="s">
        <v>44</v>
      </c>
      <c r="H469" t="s">
        <v>1018</v>
      </c>
      <c r="I469" t="s">
        <v>104</v>
      </c>
      <c r="J469">
        <v>402.86</v>
      </c>
      <c r="K469">
        <v>11</v>
      </c>
      <c r="L469" t="s">
        <v>48</v>
      </c>
      <c r="M469">
        <v>3</v>
      </c>
      <c r="N469">
        <v>5</v>
      </c>
      <c r="O469">
        <v>1</v>
      </c>
      <c r="P469" t="s">
        <v>44</v>
      </c>
      <c r="Q469" t="s">
        <v>50</v>
      </c>
      <c r="R469">
        <v>0</v>
      </c>
      <c r="S469">
        <v>2</v>
      </c>
      <c r="T469" t="s">
        <v>36</v>
      </c>
      <c r="U469" t="s">
        <v>79</v>
      </c>
      <c r="V469" t="s">
        <v>86</v>
      </c>
      <c r="W469" s="1">
        <v>45540</v>
      </c>
      <c r="X469" t="b">
        <v>0</v>
      </c>
      <c r="Y469" t="b">
        <v>0</v>
      </c>
      <c r="Z469" t="s">
        <v>62</v>
      </c>
      <c r="AA469" t="s">
        <v>53</v>
      </c>
      <c r="AB469">
        <v>8</v>
      </c>
    </row>
    <row r="470" spans="1:28" x14ac:dyDescent="0.25">
      <c r="A470" t="s">
        <v>1019</v>
      </c>
      <c r="B470">
        <v>42</v>
      </c>
      <c r="C470" t="s">
        <v>43</v>
      </c>
      <c r="D470" t="s">
        <v>44</v>
      </c>
      <c r="E470" t="s">
        <v>55</v>
      </c>
      <c r="F470" t="s">
        <v>32</v>
      </c>
      <c r="G470" t="s">
        <v>30</v>
      </c>
      <c r="H470" t="s">
        <v>1020</v>
      </c>
      <c r="I470" t="s">
        <v>34</v>
      </c>
      <c r="J470">
        <v>333.18</v>
      </c>
      <c r="K470">
        <v>6</v>
      </c>
      <c r="L470" t="s">
        <v>48</v>
      </c>
      <c r="M470">
        <v>1</v>
      </c>
      <c r="N470">
        <v>1</v>
      </c>
      <c r="O470">
        <v>0</v>
      </c>
      <c r="P470" t="s">
        <v>49</v>
      </c>
      <c r="Q470" t="s">
        <v>85</v>
      </c>
      <c r="R470">
        <v>2</v>
      </c>
      <c r="S470">
        <v>5</v>
      </c>
      <c r="T470" t="s">
        <v>59</v>
      </c>
      <c r="U470" t="s">
        <v>60</v>
      </c>
      <c r="V470" t="s">
        <v>66</v>
      </c>
      <c r="W470" s="1">
        <v>45398</v>
      </c>
      <c r="X470" t="b">
        <v>1</v>
      </c>
      <c r="Y470" t="b">
        <v>0</v>
      </c>
      <c r="Z470" t="s">
        <v>74</v>
      </c>
      <c r="AA470" t="s">
        <v>67</v>
      </c>
      <c r="AB470">
        <v>8</v>
      </c>
    </row>
    <row r="471" spans="1:28" x14ac:dyDescent="0.25">
      <c r="A471" t="s">
        <v>1021</v>
      </c>
      <c r="B471">
        <v>28</v>
      </c>
      <c r="C471" t="s">
        <v>29</v>
      </c>
      <c r="D471" t="s">
        <v>44</v>
      </c>
      <c r="E471" t="s">
        <v>69</v>
      </c>
      <c r="F471" t="s">
        <v>56</v>
      </c>
      <c r="G471" t="s">
        <v>30</v>
      </c>
      <c r="H471" t="s">
        <v>1022</v>
      </c>
      <c r="I471" t="s">
        <v>135</v>
      </c>
      <c r="J471">
        <v>73.23</v>
      </c>
      <c r="K471">
        <v>8</v>
      </c>
      <c r="L471" t="s">
        <v>78</v>
      </c>
      <c r="M471">
        <v>2</v>
      </c>
      <c r="N471">
        <v>2</v>
      </c>
      <c r="O471">
        <v>2</v>
      </c>
      <c r="P471" t="s">
        <v>59</v>
      </c>
      <c r="Q471" t="s">
        <v>85</v>
      </c>
      <c r="R471">
        <v>1</v>
      </c>
      <c r="S471">
        <v>2</v>
      </c>
      <c r="T471" t="s">
        <v>59</v>
      </c>
      <c r="U471" t="s">
        <v>60</v>
      </c>
      <c r="V471" t="s">
        <v>39</v>
      </c>
      <c r="W471" s="1">
        <v>45490</v>
      </c>
      <c r="X471" t="b">
        <v>1</v>
      </c>
      <c r="Y471" t="b">
        <v>1</v>
      </c>
      <c r="Z471" t="s">
        <v>40</v>
      </c>
      <c r="AA471" t="s">
        <v>41</v>
      </c>
      <c r="AB471">
        <v>6</v>
      </c>
    </row>
    <row r="472" spans="1:28" x14ac:dyDescent="0.25">
      <c r="A472" t="s">
        <v>1023</v>
      </c>
      <c r="B472">
        <v>28</v>
      </c>
      <c r="C472" t="s">
        <v>43</v>
      </c>
      <c r="D472" t="s">
        <v>44</v>
      </c>
      <c r="E472" t="s">
        <v>76</v>
      </c>
      <c r="F472" t="s">
        <v>56</v>
      </c>
      <c r="G472" t="s">
        <v>30</v>
      </c>
      <c r="H472" t="s">
        <v>1024</v>
      </c>
      <c r="I472" t="s">
        <v>71</v>
      </c>
      <c r="J472">
        <v>450.47</v>
      </c>
      <c r="K472">
        <v>11</v>
      </c>
      <c r="L472" t="s">
        <v>78</v>
      </c>
      <c r="M472">
        <v>5</v>
      </c>
      <c r="N472">
        <v>2</v>
      </c>
      <c r="O472">
        <v>2</v>
      </c>
      <c r="P472" t="s">
        <v>36</v>
      </c>
      <c r="Q472" t="s">
        <v>50</v>
      </c>
      <c r="R472">
        <v>2</v>
      </c>
      <c r="S472">
        <v>3</v>
      </c>
      <c r="T472" t="s">
        <v>36</v>
      </c>
      <c r="U472" t="s">
        <v>60</v>
      </c>
      <c r="V472" t="s">
        <v>39</v>
      </c>
      <c r="W472" s="1">
        <v>45369</v>
      </c>
      <c r="X472" t="b">
        <v>1</v>
      </c>
      <c r="Y472" t="b">
        <v>1</v>
      </c>
      <c r="Z472" t="s">
        <v>52</v>
      </c>
      <c r="AA472" t="s">
        <v>67</v>
      </c>
      <c r="AB472">
        <v>10</v>
      </c>
    </row>
    <row r="473" spans="1:28" x14ac:dyDescent="0.25">
      <c r="A473" t="s">
        <v>1025</v>
      </c>
      <c r="B473">
        <v>33</v>
      </c>
      <c r="C473" t="s">
        <v>43</v>
      </c>
      <c r="D473" t="s">
        <v>30</v>
      </c>
      <c r="E473" t="s">
        <v>55</v>
      </c>
      <c r="F473" t="s">
        <v>45</v>
      </c>
      <c r="G473" t="s">
        <v>44</v>
      </c>
      <c r="H473" t="s">
        <v>1026</v>
      </c>
      <c r="I473" t="s">
        <v>47</v>
      </c>
      <c r="J473">
        <v>175.74</v>
      </c>
      <c r="K473">
        <v>5</v>
      </c>
      <c r="L473" t="s">
        <v>78</v>
      </c>
      <c r="M473">
        <v>5</v>
      </c>
      <c r="N473">
        <v>4</v>
      </c>
      <c r="O473">
        <v>1</v>
      </c>
      <c r="P473" t="s">
        <v>49</v>
      </c>
      <c r="Q473" t="s">
        <v>50</v>
      </c>
      <c r="R473">
        <v>0</v>
      </c>
      <c r="S473">
        <v>6</v>
      </c>
      <c r="T473" t="s">
        <v>36</v>
      </c>
      <c r="U473" t="s">
        <v>38</v>
      </c>
      <c r="V473" t="s">
        <v>86</v>
      </c>
      <c r="W473" s="1">
        <v>45491</v>
      </c>
      <c r="X473" t="b">
        <v>0</v>
      </c>
      <c r="Y473" t="b">
        <v>1</v>
      </c>
      <c r="Z473" t="s">
        <v>62</v>
      </c>
      <c r="AA473" t="s">
        <v>41</v>
      </c>
      <c r="AB473">
        <v>6</v>
      </c>
    </row>
    <row r="474" spans="1:28" x14ac:dyDescent="0.25">
      <c r="A474" t="s">
        <v>1027</v>
      </c>
      <c r="B474">
        <v>31</v>
      </c>
      <c r="C474" t="s">
        <v>29</v>
      </c>
      <c r="D474" t="s">
        <v>30</v>
      </c>
      <c r="E474" t="s">
        <v>55</v>
      </c>
      <c r="F474" t="s">
        <v>56</v>
      </c>
      <c r="G474" t="s">
        <v>44</v>
      </c>
      <c r="H474" t="s">
        <v>1028</v>
      </c>
      <c r="I474" t="s">
        <v>107</v>
      </c>
      <c r="J474">
        <v>182.6</v>
      </c>
      <c r="K474">
        <v>4</v>
      </c>
      <c r="L474" t="s">
        <v>78</v>
      </c>
      <c r="M474">
        <v>5</v>
      </c>
      <c r="N474">
        <v>2</v>
      </c>
      <c r="O474">
        <v>0.3</v>
      </c>
      <c r="P474" t="s">
        <v>59</v>
      </c>
      <c r="Q474" t="s">
        <v>50</v>
      </c>
      <c r="R474">
        <v>2</v>
      </c>
      <c r="S474">
        <v>9</v>
      </c>
      <c r="T474" t="s">
        <v>44</v>
      </c>
      <c r="U474" t="s">
        <v>38</v>
      </c>
      <c r="V474" t="s">
        <v>51</v>
      </c>
      <c r="W474" s="1">
        <v>45443</v>
      </c>
      <c r="X474" t="b">
        <v>0</v>
      </c>
      <c r="Y474" t="b">
        <v>1</v>
      </c>
      <c r="Z474" t="s">
        <v>52</v>
      </c>
      <c r="AA474" t="s">
        <v>67</v>
      </c>
      <c r="AB474">
        <v>5</v>
      </c>
    </row>
    <row r="475" spans="1:28" x14ac:dyDescent="0.25">
      <c r="A475" t="s">
        <v>1029</v>
      </c>
      <c r="B475">
        <v>20</v>
      </c>
      <c r="C475" t="s">
        <v>29</v>
      </c>
      <c r="D475" t="s">
        <v>30</v>
      </c>
      <c r="E475" t="s">
        <v>69</v>
      </c>
      <c r="F475" t="s">
        <v>32</v>
      </c>
      <c r="G475" t="s">
        <v>44</v>
      </c>
      <c r="H475" t="s">
        <v>1030</v>
      </c>
      <c r="I475" t="s">
        <v>246</v>
      </c>
      <c r="J475">
        <v>497.8</v>
      </c>
      <c r="K475">
        <v>2</v>
      </c>
      <c r="L475" t="s">
        <v>78</v>
      </c>
      <c r="M475">
        <v>3</v>
      </c>
      <c r="N475">
        <v>5</v>
      </c>
      <c r="O475">
        <v>0.2</v>
      </c>
      <c r="P475" t="s">
        <v>44</v>
      </c>
      <c r="Q475" t="s">
        <v>37</v>
      </c>
      <c r="R475">
        <v>1</v>
      </c>
      <c r="S475">
        <v>2</v>
      </c>
      <c r="T475" t="s">
        <v>49</v>
      </c>
      <c r="U475" t="s">
        <v>60</v>
      </c>
      <c r="V475" t="s">
        <v>66</v>
      </c>
      <c r="W475" s="1">
        <v>45312</v>
      </c>
      <c r="X475" t="b">
        <v>1</v>
      </c>
      <c r="Y475" t="b">
        <v>0</v>
      </c>
      <c r="Z475" t="s">
        <v>52</v>
      </c>
      <c r="AA475" t="s">
        <v>41</v>
      </c>
      <c r="AB475">
        <v>9</v>
      </c>
    </row>
    <row r="476" spans="1:28" x14ac:dyDescent="0.25">
      <c r="A476" t="s">
        <v>1031</v>
      </c>
      <c r="B476">
        <v>32</v>
      </c>
      <c r="C476" t="s">
        <v>43</v>
      </c>
      <c r="D476" t="s">
        <v>44</v>
      </c>
      <c r="E476" t="s">
        <v>76</v>
      </c>
      <c r="F476" t="s">
        <v>45</v>
      </c>
      <c r="G476" t="s">
        <v>44</v>
      </c>
      <c r="H476" t="s">
        <v>1032</v>
      </c>
      <c r="I476" t="s">
        <v>47</v>
      </c>
      <c r="J476">
        <v>171.17</v>
      </c>
      <c r="K476">
        <v>4</v>
      </c>
      <c r="L476" t="s">
        <v>48</v>
      </c>
      <c r="M476">
        <v>1</v>
      </c>
      <c r="N476">
        <v>3</v>
      </c>
      <c r="O476">
        <v>0</v>
      </c>
      <c r="P476" t="s">
        <v>44</v>
      </c>
      <c r="Q476" t="s">
        <v>37</v>
      </c>
      <c r="R476">
        <v>0</v>
      </c>
      <c r="S476">
        <v>4</v>
      </c>
      <c r="T476" t="s">
        <v>49</v>
      </c>
      <c r="U476" t="s">
        <v>79</v>
      </c>
      <c r="V476" t="s">
        <v>61</v>
      </c>
      <c r="W476" s="1">
        <v>45458</v>
      </c>
      <c r="X476" t="b">
        <v>0</v>
      </c>
      <c r="Y476" t="b">
        <v>1</v>
      </c>
      <c r="Z476" t="s">
        <v>52</v>
      </c>
      <c r="AA476" t="s">
        <v>53</v>
      </c>
      <c r="AB476">
        <v>12</v>
      </c>
    </row>
    <row r="477" spans="1:28" x14ac:dyDescent="0.25">
      <c r="A477" t="s">
        <v>1033</v>
      </c>
      <c r="B477">
        <v>27</v>
      </c>
      <c r="C477" t="s">
        <v>29</v>
      </c>
      <c r="D477" t="s">
        <v>30</v>
      </c>
      <c r="E477" t="s">
        <v>55</v>
      </c>
      <c r="F477" t="s">
        <v>32</v>
      </c>
      <c r="G477" t="s">
        <v>44</v>
      </c>
      <c r="H477" t="s">
        <v>1034</v>
      </c>
      <c r="I477" t="s">
        <v>246</v>
      </c>
      <c r="J477">
        <v>425.82</v>
      </c>
      <c r="K477">
        <v>3</v>
      </c>
      <c r="L477" t="s">
        <v>48</v>
      </c>
      <c r="M477">
        <v>4</v>
      </c>
      <c r="N477">
        <v>5</v>
      </c>
      <c r="O477">
        <v>1</v>
      </c>
      <c r="P477" t="s">
        <v>59</v>
      </c>
      <c r="Q477" t="s">
        <v>50</v>
      </c>
      <c r="R477">
        <v>1</v>
      </c>
      <c r="S477">
        <v>6</v>
      </c>
      <c r="T477" t="s">
        <v>44</v>
      </c>
      <c r="U477" t="s">
        <v>60</v>
      </c>
      <c r="V477" t="s">
        <v>86</v>
      </c>
      <c r="W477" s="1">
        <v>45401</v>
      </c>
      <c r="X477" t="b">
        <v>1</v>
      </c>
      <c r="Y477" t="b">
        <v>1</v>
      </c>
      <c r="Z477" t="s">
        <v>52</v>
      </c>
      <c r="AA477" t="s">
        <v>53</v>
      </c>
      <c r="AB477">
        <v>11</v>
      </c>
    </row>
    <row r="478" spans="1:28" x14ac:dyDescent="0.25">
      <c r="A478" t="s">
        <v>1035</v>
      </c>
      <c r="B478">
        <v>19</v>
      </c>
      <c r="C478" t="s">
        <v>29</v>
      </c>
      <c r="D478" t="s">
        <v>30</v>
      </c>
      <c r="E478" t="s">
        <v>69</v>
      </c>
      <c r="F478" t="s">
        <v>32</v>
      </c>
      <c r="G478" t="s">
        <v>30</v>
      </c>
      <c r="H478" t="s">
        <v>1036</v>
      </c>
      <c r="I478" t="s">
        <v>90</v>
      </c>
      <c r="J478">
        <v>210.58</v>
      </c>
      <c r="K478">
        <v>10</v>
      </c>
      <c r="L478" t="s">
        <v>48</v>
      </c>
      <c r="M478">
        <v>5</v>
      </c>
      <c r="N478">
        <v>1</v>
      </c>
      <c r="O478">
        <v>2</v>
      </c>
      <c r="P478" t="s">
        <v>59</v>
      </c>
      <c r="Q478" t="s">
        <v>37</v>
      </c>
      <c r="R478">
        <v>1</v>
      </c>
      <c r="S478">
        <v>3</v>
      </c>
      <c r="T478" t="s">
        <v>59</v>
      </c>
      <c r="U478" t="s">
        <v>38</v>
      </c>
      <c r="V478" t="s">
        <v>61</v>
      </c>
      <c r="W478" s="1">
        <v>45547</v>
      </c>
      <c r="X478" t="b">
        <v>1</v>
      </c>
      <c r="Y478" t="b">
        <v>1</v>
      </c>
      <c r="Z478" t="s">
        <v>74</v>
      </c>
      <c r="AA478" t="s">
        <v>41</v>
      </c>
      <c r="AB478">
        <v>8</v>
      </c>
    </row>
    <row r="479" spans="1:28" x14ac:dyDescent="0.25">
      <c r="A479" t="s">
        <v>1037</v>
      </c>
      <c r="B479">
        <v>50</v>
      </c>
      <c r="C479" t="s">
        <v>43</v>
      </c>
      <c r="D479" t="s">
        <v>30</v>
      </c>
      <c r="E479" t="s">
        <v>55</v>
      </c>
      <c r="F479" t="s">
        <v>45</v>
      </c>
      <c r="G479" t="s">
        <v>30</v>
      </c>
      <c r="H479" t="s">
        <v>1038</v>
      </c>
      <c r="I479" t="s">
        <v>188</v>
      </c>
      <c r="J479">
        <v>199.64</v>
      </c>
      <c r="K479">
        <v>11</v>
      </c>
      <c r="L479" t="s">
        <v>78</v>
      </c>
      <c r="M479">
        <v>5</v>
      </c>
      <c r="N479">
        <v>4</v>
      </c>
      <c r="O479">
        <v>1</v>
      </c>
      <c r="P479" t="s">
        <v>44</v>
      </c>
      <c r="Q479" t="s">
        <v>37</v>
      </c>
      <c r="R479">
        <v>1</v>
      </c>
      <c r="S479">
        <v>5</v>
      </c>
      <c r="T479" t="s">
        <v>44</v>
      </c>
      <c r="U479" t="s">
        <v>79</v>
      </c>
      <c r="V479" t="s">
        <v>51</v>
      </c>
      <c r="W479" s="1">
        <v>45539</v>
      </c>
      <c r="X479" t="b">
        <v>0</v>
      </c>
      <c r="Y479" t="b">
        <v>1</v>
      </c>
      <c r="Z479" t="s">
        <v>74</v>
      </c>
      <c r="AA479" t="s">
        <v>67</v>
      </c>
      <c r="AB479">
        <v>8</v>
      </c>
    </row>
    <row r="480" spans="1:28" x14ac:dyDescent="0.25">
      <c r="A480" t="s">
        <v>1039</v>
      </c>
      <c r="B480">
        <v>40</v>
      </c>
      <c r="C480" t="s">
        <v>212</v>
      </c>
      <c r="D480" t="s">
        <v>44</v>
      </c>
      <c r="E480" t="s">
        <v>31</v>
      </c>
      <c r="F480" t="s">
        <v>32</v>
      </c>
      <c r="G480" t="s">
        <v>30</v>
      </c>
      <c r="H480" t="s">
        <v>1040</v>
      </c>
      <c r="I480" t="s">
        <v>114</v>
      </c>
      <c r="J480">
        <v>162.22</v>
      </c>
      <c r="K480">
        <v>10</v>
      </c>
      <c r="L480" t="s">
        <v>48</v>
      </c>
      <c r="M480">
        <v>5</v>
      </c>
      <c r="N480">
        <v>5</v>
      </c>
      <c r="O480">
        <v>0.2</v>
      </c>
      <c r="P480" t="s">
        <v>44</v>
      </c>
      <c r="Q480" t="s">
        <v>37</v>
      </c>
      <c r="R480">
        <v>1</v>
      </c>
      <c r="S480">
        <v>1</v>
      </c>
      <c r="T480" t="s">
        <v>49</v>
      </c>
      <c r="U480" t="s">
        <v>79</v>
      </c>
      <c r="V480" t="s">
        <v>66</v>
      </c>
      <c r="W480" s="1">
        <v>45410</v>
      </c>
      <c r="X480" t="b">
        <v>1</v>
      </c>
      <c r="Y480" t="b">
        <v>1</v>
      </c>
      <c r="Z480" t="s">
        <v>52</v>
      </c>
      <c r="AA480" t="s">
        <v>41</v>
      </c>
      <c r="AB480">
        <v>8</v>
      </c>
    </row>
    <row r="481" spans="1:28" x14ac:dyDescent="0.25">
      <c r="A481" t="s">
        <v>1041</v>
      </c>
      <c r="B481">
        <v>20</v>
      </c>
      <c r="C481" t="s">
        <v>43</v>
      </c>
      <c r="D481" t="s">
        <v>44</v>
      </c>
      <c r="E481" t="s">
        <v>31</v>
      </c>
      <c r="F481" t="s">
        <v>32</v>
      </c>
      <c r="G481" t="s">
        <v>44</v>
      </c>
      <c r="H481" t="s">
        <v>1042</v>
      </c>
      <c r="I481" t="s">
        <v>90</v>
      </c>
      <c r="J481">
        <v>401.75</v>
      </c>
      <c r="K481">
        <v>8</v>
      </c>
      <c r="L481" t="s">
        <v>78</v>
      </c>
      <c r="M481">
        <v>3</v>
      </c>
      <c r="N481">
        <v>4</v>
      </c>
      <c r="O481">
        <v>0.3</v>
      </c>
      <c r="P481" t="s">
        <v>36</v>
      </c>
      <c r="Q481" t="s">
        <v>37</v>
      </c>
      <c r="R481">
        <v>1</v>
      </c>
      <c r="S481">
        <v>8</v>
      </c>
      <c r="T481" t="s">
        <v>44</v>
      </c>
      <c r="U481" t="s">
        <v>60</v>
      </c>
      <c r="V481" t="s">
        <v>51</v>
      </c>
      <c r="W481" s="1">
        <v>45634</v>
      </c>
      <c r="X481" t="b">
        <v>0</v>
      </c>
      <c r="Y481" t="b">
        <v>1</v>
      </c>
      <c r="Z481" t="s">
        <v>52</v>
      </c>
      <c r="AA481" t="s">
        <v>53</v>
      </c>
      <c r="AB481">
        <v>6</v>
      </c>
    </row>
    <row r="482" spans="1:28" x14ac:dyDescent="0.25">
      <c r="A482" t="s">
        <v>1043</v>
      </c>
      <c r="B482">
        <v>24</v>
      </c>
      <c r="C482" t="s">
        <v>29</v>
      </c>
      <c r="D482" t="s">
        <v>30</v>
      </c>
      <c r="E482" t="s">
        <v>31</v>
      </c>
      <c r="F482" t="s">
        <v>56</v>
      </c>
      <c r="G482" t="s">
        <v>30</v>
      </c>
      <c r="H482" t="s">
        <v>1044</v>
      </c>
      <c r="I482" t="s">
        <v>98</v>
      </c>
      <c r="J482">
        <v>365.88</v>
      </c>
      <c r="K482">
        <v>12</v>
      </c>
      <c r="L482" t="s">
        <v>78</v>
      </c>
      <c r="M482">
        <v>3</v>
      </c>
      <c r="N482">
        <v>3</v>
      </c>
      <c r="O482">
        <v>2</v>
      </c>
      <c r="P482" t="s">
        <v>49</v>
      </c>
      <c r="Q482" t="s">
        <v>85</v>
      </c>
      <c r="R482">
        <v>0</v>
      </c>
      <c r="S482">
        <v>9</v>
      </c>
      <c r="T482" t="s">
        <v>44</v>
      </c>
      <c r="U482" t="s">
        <v>60</v>
      </c>
      <c r="V482" t="s">
        <v>66</v>
      </c>
      <c r="W482" s="1">
        <v>45601</v>
      </c>
      <c r="X482" t="b">
        <v>1</v>
      </c>
      <c r="Y482" t="b">
        <v>0</v>
      </c>
      <c r="Z482" t="s">
        <v>40</v>
      </c>
      <c r="AA482" t="s">
        <v>67</v>
      </c>
      <c r="AB482">
        <v>7</v>
      </c>
    </row>
    <row r="483" spans="1:28" x14ac:dyDescent="0.25">
      <c r="A483" t="s">
        <v>1045</v>
      </c>
      <c r="B483">
        <v>46</v>
      </c>
      <c r="C483" t="s">
        <v>43</v>
      </c>
      <c r="D483" t="s">
        <v>30</v>
      </c>
      <c r="E483" t="s">
        <v>55</v>
      </c>
      <c r="F483" t="s">
        <v>45</v>
      </c>
      <c r="G483" t="s">
        <v>30</v>
      </c>
      <c r="H483" t="s">
        <v>1046</v>
      </c>
      <c r="I483" t="s">
        <v>188</v>
      </c>
      <c r="J483">
        <v>58.29</v>
      </c>
      <c r="K483">
        <v>6</v>
      </c>
      <c r="L483" t="s">
        <v>35</v>
      </c>
      <c r="M483">
        <v>2</v>
      </c>
      <c r="N483">
        <v>3</v>
      </c>
      <c r="O483">
        <v>2</v>
      </c>
      <c r="P483" t="s">
        <v>49</v>
      </c>
      <c r="Q483" t="s">
        <v>37</v>
      </c>
      <c r="R483">
        <v>1</v>
      </c>
      <c r="S483">
        <v>7</v>
      </c>
      <c r="T483" t="s">
        <v>59</v>
      </c>
      <c r="U483" t="s">
        <v>38</v>
      </c>
      <c r="V483" t="s">
        <v>66</v>
      </c>
      <c r="W483" s="1">
        <v>45335</v>
      </c>
      <c r="X483" t="b">
        <v>0</v>
      </c>
      <c r="Y483" t="b">
        <v>1</v>
      </c>
      <c r="Z483" t="s">
        <v>62</v>
      </c>
      <c r="AA483" t="s">
        <v>53</v>
      </c>
      <c r="AB483">
        <v>14</v>
      </c>
    </row>
    <row r="484" spans="1:28" x14ac:dyDescent="0.25">
      <c r="A484" t="s">
        <v>1047</v>
      </c>
      <c r="B484">
        <v>50</v>
      </c>
      <c r="C484" t="s">
        <v>43</v>
      </c>
      <c r="D484" t="s">
        <v>44</v>
      </c>
      <c r="E484" t="s">
        <v>31</v>
      </c>
      <c r="F484" t="s">
        <v>56</v>
      </c>
      <c r="G484" t="s">
        <v>44</v>
      </c>
      <c r="H484" t="s">
        <v>64</v>
      </c>
      <c r="I484" t="s">
        <v>142</v>
      </c>
      <c r="J484">
        <v>66.86</v>
      </c>
      <c r="K484">
        <v>3</v>
      </c>
      <c r="L484" t="s">
        <v>35</v>
      </c>
      <c r="M484">
        <v>1</v>
      </c>
      <c r="N484">
        <v>1</v>
      </c>
      <c r="O484">
        <v>1</v>
      </c>
      <c r="P484" t="s">
        <v>49</v>
      </c>
      <c r="Q484" t="s">
        <v>85</v>
      </c>
      <c r="R484">
        <v>0</v>
      </c>
      <c r="S484">
        <v>10</v>
      </c>
      <c r="T484" t="s">
        <v>49</v>
      </c>
      <c r="U484" t="s">
        <v>79</v>
      </c>
      <c r="V484" t="s">
        <v>66</v>
      </c>
      <c r="W484" s="1">
        <v>45316</v>
      </c>
      <c r="X484" t="b">
        <v>1</v>
      </c>
      <c r="Y484" t="b">
        <v>1</v>
      </c>
      <c r="Z484" t="s">
        <v>52</v>
      </c>
      <c r="AA484" t="s">
        <v>67</v>
      </c>
      <c r="AB484">
        <v>9</v>
      </c>
    </row>
    <row r="485" spans="1:28" x14ac:dyDescent="0.25">
      <c r="A485" t="s">
        <v>1048</v>
      </c>
      <c r="B485">
        <v>29</v>
      </c>
      <c r="C485" t="s">
        <v>29</v>
      </c>
      <c r="D485" t="s">
        <v>44</v>
      </c>
      <c r="E485" t="s">
        <v>55</v>
      </c>
      <c r="F485" t="s">
        <v>32</v>
      </c>
      <c r="G485" t="s">
        <v>30</v>
      </c>
      <c r="H485" t="s">
        <v>1049</v>
      </c>
      <c r="I485" t="s">
        <v>158</v>
      </c>
      <c r="J485">
        <v>279.33999999999997</v>
      </c>
      <c r="K485">
        <v>5</v>
      </c>
      <c r="L485" t="s">
        <v>35</v>
      </c>
      <c r="M485">
        <v>3</v>
      </c>
      <c r="N485">
        <v>1</v>
      </c>
      <c r="O485">
        <v>0</v>
      </c>
      <c r="P485" t="s">
        <v>49</v>
      </c>
      <c r="Q485" t="s">
        <v>85</v>
      </c>
      <c r="R485">
        <v>2</v>
      </c>
      <c r="S485">
        <v>6</v>
      </c>
      <c r="T485" t="s">
        <v>59</v>
      </c>
      <c r="U485" t="s">
        <v>38</v>
      </c>
      <c r="V485" t="s">
        <v>51</v>
      </c>
      <c r="W485" s="1">
        <v>45526</v>
      </c>
      <c r="X485" t="b">
        <v>0</v>
      </c>
      <c r="Y485" t="b">
        <v>1</v>
      </c>
      <c r="Z485" t="s">
        <v>52</v>
      </c>
      <c r="AA485" t="s">
        <v>41</v>
      </c>
      <c r="AB485">
        <v>11</v>
      </c>
    </row>
    <row r="486" spans="1:28" x14ac:dyDescent="0.25">
      <c r="A486" t="s">
        <v>1050</v>
      </c>
      <c r="B486">
        <v>34</v>
      </c>
      <c r="C486" t="s">
        <v>148</v>
      </c>
      <c r="D486" t="s">
        <v>44</v>
      </c>
      <c r="E486" t="s">
        <v>76</v>
      </c>
      <c r="F486" t="s">
        <v>32</v>
      </c>
      <c r="G486" t="s">
        <v>44</v>
      </c>
      <c r="H486" t="s">
        <v>1051</v>
      </c>
      <c r="I486" t="s">
        <v>117</v>
      </c>
      <c r="J486">
        <v>358.5</v>
      </c>
      <c r="K486">
        <v>3</v>
      </c>
      <c r="L486" t="s">
        <v>78</v>
      </c>
      <c r="M486">
        <v>3</v>
      </c>
      <c r="N486">
        <v>4</v>
      </c>
      <c r="O486">
        <v>2</v>
      </c>
      <c r="P486" t="s">
        <v>49</v>
      </c>
      <c r="Q486" t="s">
        <v>85</v>
      </c>
      <c r="R486">
        <v>2</v>
      </c>
      <c r="S486">
        <v>3</v>
      </c>
      <c r="T486" t="s">
        <v>36</v>
      </c>
      <c r="U486" t="s">
        <v>38</v>
      </c>
      <c r="V486" t="s">
        <v>86</v>
      </c>
      <c r="W486" s="1">
        <v>45610</v>
      </c>
      <c r="X486" t="b">
        <v>0</v>
      </c>
      <c r="Y486" t="b">
        <v>1</v>
      </c>
      <c r="Z486" t="s">
        <v>62</v>
      </c>
      <c r="AA486" t="s">
        <v>53</v>
      </c>
      <c r="AB486">
        <v>8</v>
      </c>
    </row>
    <row r="487" spans="1:28" x14ac:dyDescent="0.25">
      <c r="A487" t="s">
        <v>1052</v>
      </c>
      <c r="B487">
        <v>44</v>
      </c>
      <c r="C487" t="s">
        <v>29</v>
      </c>
      <c r="D487" t="s">
        <v>44</v>
      </c>
      <c r="E487" t="s">
        <v>69</v>
      </c>
      <c r="F487" t="s">
        <v>32</v>
      </c>
      <c r="G487" t="s">
        <v>44</v>
      </c>
      <c r="H487" t="s">
        <v>1053</v>
      </c>
      <c r="I487" t="s">
        <v>246</v>
      </c>
      <c r="J487">
        <v>360.92</v>
      </c>
      <c r="K487">
        <v>7</v>
      </c>
      <c r="L487" t="s">
        <v>78</v>
      </c>
      <c r="M487">
        <v>2</v>
      </c>
      <c r="N487">
        <v>1</v>
      </c>
      <c r="O487">
        <v>2</v>
      </c>
      <c r="P487" t="s">
        <v>36</v>
      </c>
      <c r="Q487" t="s">
        <v>85</v>
      </c>
      <c r="R487">
        <v>0</v>
      </c>
      <c r="S487">
        <v>9</v>
      </c>
      <c r="T487" t="s">
        <v>59</v>
      </c>
      <c r="U487" t="s">
        <v>60</v>
      </c>
      <c r="V487" t="s">
        <v>51</v>
      </c>
      <c r="W487" s="1">
        <v>45606</v>
      </c>
      <c r="X487" t="b">
        <v>0</v>
      </c>
      <c r="Y487" t="b">
        <v>1</v>
      </c>
      <c r="Z487" t="s">
        <v>62</v>
      </c>
      <c r="AA487" t="s">
        <v>53</v>
      </c>
      <c r="AB487">
        <v>8</v>
      </c>
    </row>
    <row r="488" spans="1:28" x14ac:dyDescent="0.25">
      <c r="A488" t="s">
        <v>1054</v>
      </c>
      <c r="B488">
        <v>38</v>
      </c>
      <c r="C488" t="s">
        <v>352</v>
      </c>
      <c r="D488" t="s">
        <v>30</v>
      </c>
      <c r="E488" t="s">
        <v>31</v>
      </c>
      <c r="F488" t="s">
        <v>56</v>
      </c>
      <c r="G488" t="s">
        <v>44</v>
      </c>
      <c r="H488" t="s">
        <v>1055</v>
      </c>
      <c r="I488" t="s">
        <v>158</v>
      </c>
      <c r="J488">
        <v>374.36</v>
      </c>
      <c r="K488">
        <v>4</v>
      </c>
      <c r="L488" t="s">
        <v>78</v>
      </c>
      <c r="M488">
        <v>2</v>
      </c>
      <c r="N488">
        <v>2</v>
      </c>
      <c r="O488">
        <v>0</v>
      </c>
      <c r="P488" t="s">
        <v>36</v>
      </c>
      <c r="Q488" t="s">
        <v>37</v>
      </c>
      <c r="R488">
        <v>1</v>
      </c>
      <c r="S488">
        <v>9</v>
      </c>
      <c r="T488" t="s">
        <v>36</v>
      </c>
      <c r="U488" t="s">
        <v>60</v>
      </c>
      <c r="V488" t="s">
        <v>66</v>
      </c>
      <c r="W488" s="1">
        <v>45568</v>
      </c>
      <c r="X488" t="b">
        <v>0</v>
      </c>
      <c r="Y488" t="b">
        <v>0</v>
      </c>
      <c r="Z488" t="s">
        <v>52</v>
      </c>
      <c r="AA488" t="s">
        <v>53</v>
      </c>
      <c r="AB488">
        <v>1</v>
      </c>
    </row>
    <row r="489" spans="1:28" x14ac:dyDescent="0.25">
      <c r="A489" t="s">
        <v>1056</v>
      </c>
      <c r="B489">
        <v>22</v>
      </c>
      <c r="C489" t="s">
        <v>148</v>
      </c>
      <c r="D489" t="s">
        <v>44</v>
      </c>
      <c r="E489" t="s">
        <v>69</v>
      </c>
      <c r="F489" t="s">
        <v>45</v>
      </c>
      <c r="G489" t="s">
        <v>30</v>
      </c>
      <c r="H489" t="s">
        <v>1057</v>
      </c>
      <c r="I489" t="s">
        <v>123</v>
      </c>
      <c r="J489">
        <v>435.37</v>
      </c>
      <c r="K489">
        <v>11</v>
      </c>
      <c r="L489" t="s">
        <v>78</v>
      </c>
      <c r="M489">
        <v>4</v>
      </c>
      <c r="N489">
        <v>2</v>
      </c>
      <c r="O489">
        <v>1</v>
      </c>
      <c r="P489" t="s">
        <v>59</v>
      </c>
      <c r="Q489" t="s">
        <v>85</v>
      </c>
      <c r="R489">
        <v>0</v>
      </c>
      <c r="S489">
        <v>3</v>
      </c>
      <c r="T489" t="s">
        <v>44</v>
      </c>
      <c r="U489" t="s">
        <v>38</v>
      </c>
      <c r="V489" t="s">
        <v>39</v>
      </c>
      <c r="W489" s="1">
        <v>45534</v>
      </c>
      <c r="X489" t="b">
        <v>1</v>
      </c>
      <c r="Y489" t="b">
        <v>1</v>
      </c>
      <c r="Z489" t="s">
        <v>74</v>
      </c>
      <c r="AA489" t="s">
        <v>53</v>
      </c>
      <c r="AB489">
        <v>4</v>
      </c>
    </row>
    <row r="490" spans="1:28" x14ac:dyDescent="0.25">
      <c r="A490" t="s">
        <v>1058</v>
      </c>
      <c r="B490">
        <v>44</v>
      </c>
      <c r="C490" t="s">
        <v>43</v>
      </c>
      <c r="D490" t="s">
        <v>44</v>
      </c>
      <c r="E490" t="s">
        <v>55</v>
      </c>
      <c r="F490" t="s">
        <v>56</v>
      </c>
      <c r="G490" t="s">
        <v>44</v>
      </c>
      <c r="H490" t="s">
        <v>1059</v>
      </c>
      <c r="I490" t="s">
        <v>65</v>
      </c>
      <c r="J490">
        <v>459.3</v>
      </c>
      <c r="K490">
        <v>9</v>
      </c>
      <c r="L490" t="s">
        <v>78</v>
      </c>
      <c r="M490">
        <v>4</v>
      </c>
      <c r="N490">
        <v>4</v>
      </c>
      <c r="O490">
        <v>1</v>
      </c>
      <c r="P490" t="s">
        <v>36</v>
      </c>
      <c r="Q490" t="s">
        <v>37</v>
      </c>
      <c r="R490">
        <v>2</v>
      </c>
      <c r="S490">
        <v>5</v>
      </c>
      <c r="T490" t="s">
        <v>49</v>
      </c>
      <c r="U490" t="s">
        <v>79</v>
      </c>
      <c r="V490" t="s">
        <v>66</v>
      </c>
      <c r="W490" s="1">
        <v>45574</v>
      </c>
      <c r="X490" t="b">
        <v>0</v>
      </c>
      <c r="Y490" t="b">
        <v>1</v>
      </c>
      <c r="Z490" t="s">
        <v>74</v>
      </c>
      <c r="AA490" t="s">
        <v>41</v>
      </c>
      <c r="AB490">
        <v>1</v>
      </c>
    </row>
    <row r="491" spans="1:28" x14ac:dyDescent="0.25">
      <c r="A491" t="s">
        <v>1060</v>
      </c>
      <c r="B491">
        <v>43</v>
      </c>
      <c r="C491" t="s">
        <v>29</v>
      </c>
      <c r="D491" t="s">
        <v>44</v>
      </c>
      <c r="E491" t="s">
        <v>76</v>
      </c>
      <c r="F491" t="s">
        <v>56</v>
      </c>
      <c r="G491" t="s">
        <v>30</v>
      </c>
      <c r="H491" t="s">
        <v>1061</v>
      </c>
      <c r="I491" t="s">
        <v>246</v>
      </c>
      <c r="J491">
        <v>426.89</v>
      </c>
      <c r="K491">
        <v>2</v>
      </c>
      <c r="L491" t="s">
        <v>35</v>
      </c>
      <c r="M491">
        <v>5</v>
      </c>
      <c r="N491">
        <v>1</v>
      </c>
      <c r="O491">
        <v>1</v>
      </c>
      <c r="P491" t="s">
        <v>44</v>
      </c>
      <c r="Q491" t="s">
        <v>50</v>
      </c>
      <c r="R491">
        <v>1</v>
      </c>
      <c r="S491">
        <v>3</v>
      </c>
      <c r="T491" t="s">
        <v>59</v>
      </c>
      <c r="U491" t="s">
        <v>60</v>
      </c>
      <c r="V491" t="s">
        <v>51</v>
      </c>
      <c r="W491" s="1">
        <v>45598</v>
      </c>
      <c r="X491" t="b">
        <v>1</v>
      </c>
      <c r="Y491" t="b">
        <v>0</v>
      </c>
      <c r="Z491" t="s">
        <v>52</v>
      </c>
      <c r="AA491" t="s">
        <v>67</v>
      </c>
      <c r="AB491">
        <v>10</v>
      </c>
    </row>
    <row r="492" spans="1:28" x14ac:dyDescent="0.25">
      <c r="A492" t="s">
        <v>1062</v>
      </c>
      <c r="B492">
        <v>25</v>
      </c>
      <c r="C492" t="s">
        <v>43</v>
      </c>
      <c r="D492" t="s">
        <v>30</v>
      </c>
      <c r="E492" t="s">
        <v>76</v>
      </c>
      <c r="F492" t="s">
        <v>56</v>
      </c>
      <c r="G492" t="s">
        <v>44</v>
      </c>
      <c r="H492" t="s">
        <v>1063</v>
      </c>
      <c r="I492" t="s">
        <v>101</v>
      </c>
      <c r="J492">
        <v>365.37</v>
      </c>
      <c r="K492">
        <v>6</v>
      </c>
      <c r="L492" t="s">
        <v>35</v>
      </c>
      <c r="M492">
        <v>1</v>
      </c>
      <c r="N492">
        <v>2</v>
      </c>
      <c r="O492">
        <v>1</v>
      </c>
      <c r="P492" t="s">
        <v>59</v>
      </c>
      <c r="Q492" t="s">
        <v>85</v>
      </c>
      <c r="R492">
        <v>1</v>
      </c>
      <c r="S492">
        <v>5</v>
      </c>
      <c r="T492" t="s">
        <v>59</v>
      </c>
      <c r="U492" t="s">
        <v>60</v>
      </c>
      <c r="V492" t="s">
        <v>51</v>
      </c>
      <c r="W492" s="1">
        <v>45475</v>
      </c>
      <c r="X492" t="b">
        <v>1</v>
      </c>
      <c r="Y492" t="b">
        <v>1</v>
      </c>
      <c r="Z492" t="s">
        <v>52</v>
      </c>
      <c r="AA492" t="s">
        <v>67</v>
      </c>
      <c r="AB492">
        <v>7</v>
      </c>
    </row>
    <row r="493" spans="1:28" x14ac:dyDescent="0.25">
      <c r="A493" t="s">
        <v>1064</v>
      </c>
      <c r="B493">
        <v>21</v>
      </c>
      <c r="C493" t="s">
        <v>29</v>
      </c>
      <c r="D493" t="s">
        <v>30</v>
      </c>
      <c r="E493" t="s">
        <v>76</v>
      </c>
      <c r="F493" t="s">
        <v>56</v>
      </c>
      <c r="G493" t="s">
        <v>44</v>
      </c>
      <c r="H493" t="s">
        <v>1065</v>
      </c>
      <c r="I493" t="s">
        <v>93</v>
      </c>
      <c r="J493">
        <v>487.25</v>
      </c>
      <c r="K493">
        <v>4</v>
      </c>
      <c r="L493" t="s">
        <v>78</v>
      </c>
      <c r="M493">
        <v>3</v>
      </c>
      <c r="N493">
        <v>2</v>
      </c>
      <c r="O493">
        <v>1</v>
      </c>
      <c r="P493" t="s">
        <v>44</v>
      </c>
      <c r="Q493" t="s">
        <v>85</v>
      </c>
      <c r="R493">
        <v>0</v>
      </c>
      <c r="S493">
        <v>4</v>
      </c>
      <c r="T493" t="s">
        <v>44</v>
      </c>
      <c r="U493" t="s">
        <v>79</v>
      </c>
      <c r="V493" t="s">
        <v>86</v>
      </c>
      <c r="W493" s="1">
        <v>45573</v>
      </c>
      <c r="X493" t="b">
        <v>0</v>
      </c>
      <c r="Y493" t="b">
        <v>0</v>
      </c>
      <c r="Z493" t="s">
        <v>52</v>
      </c>
      <c r="AA493" t="s">
        <v>53</v>
      </c>
      <c r="AB493">
        <v>1</v>
      </c>
    </row>
    <row r="494" spans="1:28" x14ac:dyDescent="0.25">
      <c r="A494" t="s">
        <v>1066</v>
      </c>
      <c r="B494">
        <v>29</v>
      </c>
      <c r="C494" t="s">
        <v>29</v>
      </c>
      <c r="D494" t="s">
        <v>30</v>
      </c>
      <c r="E494" t="s">
        <v>31</v>
      </c>
      <c r="F494" t="s">
        <v>45</v>
      </c>
      <c r="G494" t="s">
        <v>44</v>
      </c>
      <c r="H494" t="s">
        <v>1067</v>
      </c>
      <c r="I494" t="s">
        <v>123</v>
      </c>
      <c r="J494">
        <v>187.22</v>
      </c>
      <c r="K494">
        <v>10</v>
      </c>
      <c r="L494" t="s">
        <v>78</v>
      </c>
      <c r="M494">
        <v>5</v>
      </c>
      <c r="N494">
        <v>3</v>
      </c>
      <c r="O494">
        <v>0</v>
      </c>
      <c r="P494" t="s">
        <v>49</v>
      </c>
      <c r="Q494" t="s">
        <v>85</v>
      </c>
      <c r="R494">
        <v>1</v>
      </c>
      <c r="S494">
        <v>4</v>
      </c>
      <c r="T494" t="s">
        <v>59</v>
      </c>
      <c r="U494" t="s">
        <v>79</v>
      </c>
      <c r="V494" t="s">
        <v>39</v>
      </c>
      <c r="W494" s="1">
        <v>45447</v>
      </c>
      <c r="X494" t="b">
        <v>0</v>
      </c>
      <c r="Y494" t="b">
        <v>0</v>
      </c>
      <c r="Z494" t="s">
        <v>52</v>
      </c>
      <c r="AA494" t="s">
        <v>53</v>
      </c>
      <c r="AB494">
        <v>4</v>
      </c>
    </row>
    <row r="495" spans="1:28" x14ac:dyDescent="0.25">
      <c r="A495" t="s">
        <v>1068</v>
      </c>
      <c r="B495">
        <v>41</v>
      </c>
      <c r="C495" t="s">
        <v>43</v>
      </c>
      <c r="D495" t="s">
        <v>44</v>
      </c>
      <c r="E495" t="s">
        <v>76</v>
      </c>
      <c r="F495" t="s">
        <v>56</v>
      </c>
      <c r="G495" t="s">
        <v>44</v>
      </c>
      <c r="H495" t="s">
        <v>1069</v>
      </c>
      <c r="I495" t="s">
        <v>126</v>
      </c>
      <c r="J495">
        <v>396.82</v>
      </c>
      <c r="K495">
        <v>7</v>
      </c>
      <c r="L495" t="s">
        <v>35</v>
      </c>
      <c r="M495">
        <v>3</v>
      </c>
      <c r="N495">
        <v>4</v>
      </c>
      <c r="O495">
        <v>1</v>
      </c>
      <c r="P495" t="s">
        <v>36</v>
      </c>
      <c r="Q495" t="s">
        <v>37</v>
      </c>
      <c r="R495">
        <v>1</v>
      </c>
      <c r="S495">
        <v>9</v>
      </c>
      <c r="T495" t="s">
        <v>44</v>
      </c>
      <c r="U495" t="s">
        <v>79</v>
      </c>
      <c r="V495" t="s">
        <v>39</v>
      </c>
      <c r="W495" s="1">
        <v>45517</v>
      </c>
      <c r="X495" t="b">
        <v>1</v>
      </c>
      <c r="Y495" t="b">
        <v>1</v>
      </c>
      <c r="Z495" t="s">
        <v>40</v>
      </c>
      <c r="AA495" t="s">
        <v>41</v>
      </c>
      <c r="AB495">
        <v>9</v>
      </c>
    </row>
    <row r="496" spans="1:28" x14ac:dyDescent="0.25">
      <c r="A496" t="s">
        <v>1070</v>
      </c>
      <c r="B496">
        <v>38</v>
      </c>
      <c r="C496" t="s">
        <v>148</v>
      </c>
      <c r="D496" t="s">
        <v>44</v>
      </c>
      <c r="E496" t="s">
        <v>76</v>
      </c>
      <c r="F496" t="s">
        <v>56</v>
      </c>
      <c r="G496" t="s">
        <v>44</v>
      </c>
      <c r="H496" t="s">
        <v>1071</v>
      </c>
      <c r="I496" t="s">
        <v>194</v>
      </c>
      <c r="J496">
        <v>246.74</v>
      </c>
      <c r="K496">
        <v>10</v>
      </c>
      <c r="L496" t="s">
        <v>78</v>
      </c>
      <c r="M496">
        <v>2</v>
      </c>
      <c r="N496">
        <v>3</v>
      </c>
      <c r="O496">
        <v>0</v>
      </c>
      <c r="P496" t="s">
        <v>49</v>
      </c>
      <c r="Q496" t="s">
        <v>50</v>
      </c>
      <c r="R496">
        <v>1</v>
      </c>
      <c r="S496">
        <v>6</v>
      </c>
      <c r="T496" t="s">
        <v>44</v>
      </c>
      <c r="U496" t="s">
        <v>79</v>
      </c>
      <c r="V496" t="s">
        <v>51</v>
      </c>
      <c r="W496" s="1">
        <v>45378</v>
      </c>
      <c r="X496" t="b">
        <v>0</v>
      </c>
      <c r="Y496" t="b">
        <v>0</v>
      </c>
      <c r="Z496" t="s">
        <v>40</v>
      </c>
      <c r="AA496" t="s">
        <v>67</v>
      </c>
      <c r="AB496">
        <v>8</v>
      </c>
    </row>
    <row r="497" spans="1:28" x14ac:dyDescent="0.25">
      <c r="A497" t="s">
        <v>1072</v>
      </c>
      <c r="B497">
        <v>26</v>
      </c>
      <c r="C497" t="s">
        <v>43</v>
      </c>
      <c r="D497" t="s">
        <v>44</v>
      </c>
      <c r="E497" t="s">
        <v>69</v>
      </c>
      <c r="F497" t="s">
        <v>32</v>
      </c>
      <c r="G497" t="s">
        <v>44</v>
      </c>
      <c r="H497" t="s">
        <v>1073</v>
      </c>
      <c r="I497" t="s">
        <v>98</v>
      </c>
      <c r="J497">
        <v>128.74</v>
      </c>
      <c r="K497">
        <v>12</v>
      </c>
      <c r="L497" t="s">
        <v>35</v>
      </c>
      <c r="M497">
        <v>5</v>
      </c>
      <c r="N497">
        <v>1</v>
      </c>
      <c r="O497">
        <v>1</v>
      </c>
      <c r="P497" t="s">
        <v>49</v>
      </c>
      <c r="Q497" t="s">
        <v>37</v>
      </c>
      <c r="R497">
        <v>1</v>
      </c>
      <c r="S497">
        <v>8</v>
      </c>
      <c r="T497" t="s">
        <v>44</v>
      </c>
      <c r="U497" t="s">
        <v>79</v>
      </c>
      <c r="V497" t="s">
        <v>51</v>
      </c>
      <c r="W497" s="1">
        <v>45297</v>
      </c>
      <c r="X497" t="b">
        <v>0</v>
      </c>
      <c r="Y497" t="b">
        <v>1</v>
      </c>
      <c r="Z497" t="s">
        <v>74</v>
      </c>
      <c r="AA497" t="s">
        <v>53</v>
      </c>
      <c r="AB497">
        <v>1</v>
      </c>
    </row>
    <row r="498" spans="1:28" x14ac:dyDescent="0.25">
      <c r="A498" t="s">
        <v>1074</v>
      </c>
      <c r="B498">
        <v>41</v>
      </c>
      <c r="C498" t="s">
        <v>29</v>
      </c>
      <c r="D498" t="s">
        <v>30</v>
      </c>
      <c r="E498" t="s">
        <v>69</v>
      </c>
      <c r="F498" t="s">
        <v>56</v>
      </c>
      <c r="G498" t="s">
        <v>30</v>
      </c>
      <c r="H498" t="s">
        <v>1075</v>
      </c>
      <c r="I498" t="s">
        <v>126</v>
      </c>
      <c r="J498">
        <v>339.63</v>
      </c>
      <c r="K498">
        <v>2</v>
      </c>
      <c r="L498" t="s">
        <v>48</v>
      </c>
      <c r="M498">
        <v>3</v>
      </c>
      <c r="N498">
        <v>3</v>
      </c>
      <c r="O498">
        <v>2</v>
      </c>
      <c r="P498" t="s">
        <v>49</v>
      </c>
      <c r="Q498" t="s">
        <v>85</v>
      </c>
      <c r="R498">
        <v>2</v>
      </c>
      <c r="S498">
        <v>1</v>
      </c>
      <c r="T498" t="s">
        <v>59</v>
      </c>
      <c r="U498" t="s">
        <v>38</v>
      </c>
      <c r="V498" t="s">
        <v>51</v>
      </c>
      <c r="W498" s="1">
        <v>45530</v>
      </c>
      <c r="X498" t="b">
        <v>1</v>
      </c>
      <c r="Y498" t="b">
        <v>0</v>
      </c>
      <c r="Z498" t="s">
        <v>62</v>
      </c>
      <c r="AA498" t="s">
        <v>41</v>
      </c>
      <c r="AB498">
        <v>6</v>
      </c>
    </row>
    <row r="499" spans="1:28" x14ac:dyDescent="0.25">
      <c r="A499" t="s">
        <v>1076</v>
      </c>
      <c r="B499">
        <v>46</v>
      </c>
      <c r="C499" t="s">
        <v>29</v>
      </c>
      <c r="D499" t="s">
        <v>44</v>
      </c>
      <c r="E499" t="s">
        <v>55</v>
      </c>
      <c r="F499" t="s">
        <v>32</v>
      </c>
      <c r="G499" t="s">
        <v>44</v>
      </c>
      <c r="H499" t="s">
        <v>1077</v>
      </c>
      <c r="I499" t="s">
        <v>90</v>
      </c>
      <c r="J499">
        <v>223.58</v>
      </c>
      <c r="K499">
        <v>11</v>
      </c>
      <c r="L499" t="s">
        <v>35</v>
      </c>
      <c r="M499">
        <v>4</v>
      </c>
      <c r="N499">
        <v>3</v>
      </c>
      <c r="O499">
        <v>0</v>
      </c>
      <c r="P499" t="s">
        <v>44</v>
      </c>
      <c r="Q499" t="s">
        <v>85</v>
      </c>
      <c r="R499">
        <v>0</v>
      </c>
      <c r="S499">
        <v>6</v>
      </c>
      <c r="T499" t="s">
        <v>36</v>
      </c>
      <c r="U499" t="s">
        <v>38</v>
      </c>
      <c r="V499" t="s">
        <v>51</v>
      </c>
      <c r="W499" s="1">
        <v>45432</v>
      </c>
      <c r="X499" t="b">
        <v>0</v>
      </c>
      <c r="Y499" t="b">
        <v>0</v>
      </c>
      <c r="Z499" t="s">
        <v>62</v>
      </c>
      <c r="AA499" t="s">
        <v>41</v>
      </c>
      <c r="AB499">
        <v>11</v>
      </c>
    </row>
    <row r="500" spans="1:28" x14ac:dyDescent="0.25">
      <c r="A500" t="s">
        <v>1078</v>
      </c>
      <c r="B500">
        <v>39</v>
      </c>
      <c r="C500" t="s">
        <v>352</v>
      </c>
      <c r="D500" t="s">
        <v>44</v>
      </c>
      <c r="E500" t="s">
        <v>69</v>
      </c>
      <c r="F500" t="s">
        <v>32</v>
      </c>
      <c r="G500" t="s">
        <v>30</v>
      </c>
      <c r="H500" t="s">
        <v>1079</v>
      </c>
      <c r="I500" t="s">
        <v>34</v>
      </c>
      <c r="J500">
        <v>446.92</v>
      </c>
      <c r="K500">
        <v>5</v>
      </c>
      <c r="L500" t="s">
        <v>35</v>
      </c>
      <c r="M500">
        <v>1</v>
      </c>
      <c r="N500">
        <v>1</v>
      </c>
      <c r="O500">
        <v>1</v>
      </c>
      <c r="P500" t="s">
        <v>49</v>
      </c>
      <c r="Q500" t="s">
        <v>85</v>
      </c>
      <c r="R500">
        <v>2</v>
      </c>
      <c r="S500">
        <v>6</v>
      </c>
      <c r="T500" t="s">
        <v>36</v>
      </c>
      <c r="U500" t="s">
        <v>60</v>
      </c>
      <c r="V500" t="s">
        <v>51</v>
      </c>
      <c r="W500" s="1">
        <v>45492</v>
      </c>
      <c r="X500" t="b">
        <v>1</v>
      </c>
      <c r="Y500" t="b">
        <v>0</v>
      </c>
      <c r="Z500" t="s">
        <v>74</v>
      </c>
      <c r="AA500" t="s">
        <v>67</v>
      </c>
      <c r="AB500">
        <v>10</v>
      </c>
    </row>
    <row r="501" spans="1:28" x14ac:dyDescent="0.25">
      <c r="A501" t="s">
        <v>1080</v>
      </c>
      <c r="B501">
        <v>43</v>
      </c>
      <c r="C501" t="s">
        <v>43</v>
      </c>
      <c r="D501" t="s">
        <v>30</v>
      </c>
      <c r="E501" t="s">
        <v>76</v>
      </c>
      <c r="F501" t="s">
        <v>32</v>
      </c>
      <c r="G501" t="s">
        <v>30</v>
      </c>
      <c r="H501" t="s">
        <v>1081</v>
      </c>
      <c r="I501" t="s">
        <v>117</v>
      </c>
      <c r="J501">
        <v>175.65</v>
      </c>
      <c r="K501">
        <v>11</v>
      </c>
      <c r="L501" t="s">
        <v>35</v>
      </c>
      <c r="M501">
        <v>4</v>
      </c>
      <c r="N501">
        <v>3</v>
      </c>
      <c r="O501">
        <v>2</v>
      </c>
      <c r="P501" t="s">
        <v>59</v>
      </c>
      <c r="Q501" t="s">
        <v>50</v>
      </c>
      <c r="R501">
        <v>1</v>
      </c>
      <c r="S501">
        <v>7</v>
      </c>
      <c r="T501" t="s">
        <v>36</v>
      </c>
      <c r="U501" t="s">
        <v>38</v>
      </c>
      <c r="V501" t="s">
        <v>66</v>
      </c>
      <c r="W501" s="1">
        <v>45634</v>
      </c>
      <c r="X501" t="b">
        <v>0</v>
      </c>
      <c r="Y501" t="b">
        <v>1</v>
      </c>
      <c r="Z501" t="s">
        <v>52</v>
      </c>
      <c r="AA501" t="s">
        <v>67</v>
      </c>
      <c r="AB501">
        <v>8</v>
      </c>
    </row>
    <row r="502" spans="1:28" x14ac:dyDescent="0.25">
      <c r="A502" t="s">
        <v>1082</v>
      </c>
      <c r="B502">
        <v>44</v>
      </c>
      <c r="C502" t="s">
        <v>148</v>
      </c>
      <c r="D502" t="s">
        <v>30</v>
      </c>
      <c r="E502" t="s">
        <v>31</v>
      </c>
      <c r="F502" t="s">
        <v>32</v>
      </c>
      <c r="G502" t="s">
        <v>30</v>
      </c>
      <c r="H502" t="s">
        <v>1083</v>
      </c>
      <c r="I502" t="s">
        <v>183</v>
      </c>
      <c r="J502">
        <v>491.49</v>
      </c>
      <c r="K502">
        <v>10</v>
      </c>
      <c r="L502" t="s">
        <v>35</v>
      </c>
      <c r="M502">
        <v>1</v>
      </c>
      <c r="N502">
        <v>1</v>
      </c>
      <c r="O502">
        <v>0</v>
      </c>
      <c r="P502" t="s">
        <v>59</v>
      </c>
      <c r="Q502" t="s">
        <v>37</v>
      </c>
      <c r="R502">
        <v>2</v>
      </c>
      <c r="S502">
        <v>7</v>
      </c>
      <c r="T502" t="s">
        <v>36</v>
      </c>
      <c r="U502" t="s">
        <v>79</v>
      </c>
      <c r="V502" t="s">
        <v>51</v>
      </c>
      <c r="W502" s="1">
        <v>45440</v>
      </c>
      <c r="X502" t="b">
        <v>0</v>
      </c>
      <c r="Y502" t="b">
        <v>0</v>
      </c>
      <c r="Z502" t="s">
        <v>74</v>
      </c>
      <c r="AA502" t="s">
        <v>53</v>
      </c>
      <c r="AB502">
        <v>1</v>
      </c>
    </row>
    <row r="503" spans="1:28" x14ac:dyDescent="0.25">
      <c r="A503" t="s">
        <v>1084</v>
      </c>
      <c r="B503">
        <v>26</v>
      </c>
      <c r="C503" t="s">
        <v>43</v>
      </c>
      <c r="D503" t="s">
        <v>30</v>
      </c>
      <c r="E503" t="s">
        <v>69</v>
      </c>
      <c r="F503" t="s">
        <v>32</v>
      </c>
      <c r="G503" t="s">
        <v>30</v>
      </c>
      <c r="H503" t="s">
        <v>1085</v>
      </c>
      <c r="I503" t="s">
        <v>188</v>
      </c>
      <c r="J503">
        <v>88.4</v>
      </c>
      <c r="K503">
        <v>5</v>
      </c>
      <c r="L503" t="s">
        <v>48</v>
      </c>
      <c r="M503">
        <v>5</v>
      </c>
      <c r="N503">
        <v>2</v>
      </c>
      <c r="O503">
        <v>0</v>
      </c>
      <c r="P503" t="s">
        <v>49</v>
      </c>
      <c r="Q503" t="s">
        <v>50</v>
      </c>
      <c r="R503">
        <v>0</v>
      </c>
      <c r="S503">
        <v>4</v>
      </c>
      <c r="T503" t="s">
        <v>49</v>
      </c>
      <c r="U503" t="s">
        <v>79</v>
      </c>
      <c r="V503" t="s">
        <v>86</v>
      </c>
      <c r="W503" s="1">
        <v>45438</v>
      </c>
      <c r="X503" t="b">
        <v>1</v>
      </c>
      <c r="Y503" t="b">
        <v>0</v>
      </c>
      <c r="Z503" t="s">
        <v>40</v>
      </c>
      <c r="AA503" t="s">
        <v>41</v>
      </c>
      <c r="AB503">
        <v>4</v>
      </c>
    </row>
    <row r="504" spans="1:28" x14ac:dyDescent="0.25">
      <c r="A504" t="s">
        <v>1086</v>
      </c>
      <c r="B504">
        <v>29</v>
      </c>
      <c r="C504" t="s">
        <v>43</v>
      </c>
      <c r="D504" t="s">
        <v>30</v>
      </c>
      <c r="E504" t="s">
        <v>69</v>
      </c>
      <c r="F504" t="s">
        <v>56</v>
      </c>
      <c r="G504" t="s">
        <v>44</v>
      </c>
      <c r="H504" t="s">
        <v>1087</v>
      </c>
      <c r="I504" t="s">
        <v>58</v>
      </c>
      <c r="J504">
        <v>430.9</v>
      </c>
      <c r="K504">
        <v>8</v>
      </c>
      <c r="L504" t="s">
        <v>78</v>
      </c>
      <c r="M504">
        <v>4</v>
      </c>
      <c r="N504">
        <v>5</v>
      </c>
      <c r="O504">
        <v>1</v>
      </c>
      <c r="P504" t="s">
        <v>44</v>
      </c>
      <c r="Q504" t="s">
        <v>50</v>
      </c>
      <c r="R504">
        <v>0</v>
      </c>
      <c r="S504">
        <v>6</v>
      </c>
      <c r="T504" t="s">
        <v>36</v>
      </c>
      <c r="U504" t="s">
        <v>38</v>
      </c>
      <c r="V504" t="s">
        <v>39</v>
      </c>
      <c r="W504" s="1">
        <v>45449</v>
      </c>
      <c r="X504" t="b">
        <v>0</v>
      </c>
      <c r="Y504" t="b">
        <v>0</v>
      </c>
      <c r="Z504" t="s">
        <v>52</v>
      </c>
      <c r="AA504" t="s">
        <v>53</v>
      </c>
      <c r="AB504">
        <v>11</v>
      </c>
    </row>
    <row r="505" spans="1:28" x14ac:dyDescent="0.25">
      <c r="A505" t="s">
        <v>1088</v>
      </c>
      <c r="B505">
        <v>50</v>
      </c>
      <c r="C505" t="s">
        <v>43</v>
      </c>
      <c r="D505" t="s">
        <v>44</v>
      </c>
      <c r="E505" t="s">
        <v>69</v>
      </c>
      <c r="F505" t="s">
        <v>45</v>
      </c>
      <c r="G505" t="s">
        <v>44</v>
      </c>
      <c r="H505" t="s">
        <v>1089</v>
      </c>
      <c r="I505" t="s">
        <v>93</v>
      </c>
      <c r="J505">
        <v>435.23</v>
      </c>
      <c r="K505">
        <v>2</v>
      </c>
      <c r="L505" t="s">
        <v>48</v>
      </c>
      <c r="M505">
        <v>2</v>
      </c>
      <c r="N505">
        <v>4</v>
      </c>
      <c r="O505">
        <v>0</v>
      </c>
      <c r="P505" t="s">
        <v>36</v>
      </c>
      <c r="Q505" t="s">
        <v>37</v>
      </c>
      <c r="R505">
        <v>2</v>
      </c>
      <c r="S505">
        <v>2</v>
      </c>
      <c r="T505" t="s">
        <v>49</v>
      </c>
      <c r="U505" t="s">
        <v>60</v>
      </c>
      <c r="V505" t="s">
        <v>86</v>
      </c>
      <c r="W505" s="1">
        <v>45349</v>
      </c>
      <c r="X505" t="b">
        <v>0</v>
      </c>
      <c r="Y505" t="b">
        <v>1</v>
      </c>
      <c r="Z505" t="s">
        <v>62</v>
      </c>
      <c r="AA505" t="s">
        <v>67</v>
      </c>
      <c r="AB505">
        <v>13</v>
      </c>
    </row>
    <row r="506" spans="1:28" x14ac:dyDescent="0.25">
      <c r="A506" t="s">
        <v>1090</v>
      </c>
      <c r="B506">
        <v>19</v>
      </c>
      <c r="C506" t="s">
        <v>29</v>
      </c>
      <c r="D506" t="s">
        <v>44</v>
      </c>
      <c r="E506" t="s">
        <v>76</v>
      </c>
      <c r="F506" t="s">
        <v>56</v>
      </c>
      <c r="G506" t="s">
        <v>30</v>
      </c>
      <c r="H506" t="s">
        <v>1091</v>
      </c>
      <c r="I506" t="s">
        <v>126</v>
      </c>
      <c r="J506">
        <v>218.65</v>
      </c>
      <c r="K506">
        <v>3</v>
      </c>
      <c r="L506" t="s">
        <v>78</v>
      </c>
      <c r="M506">
        <v>4</v>
      </c>
      <c r="N506">
        <v>2</v>
      </c>
      <c r="O506">
        <v>2</v>
      </c>
      <c r="P506" t="s">
        <v>59</v>
      </c>
      <c r="Q506" t="s">
        <v>85</v>
      </c>
      <c r="R506">
        <v>0</v>
      </c>
      <c r="S506">
        <v>9</v>
      </c>
      <c r="T506" t="s">
        <v>49</v>
      </c>
      <c r="U506" t="s">
        <v>60</v>
      </c>
      <c r="V506" t="s">
        <v>39</v>
      </c>
      <c r="W506" s="1">
        <v>45490</v>
      </c>
      <c r="X506" t="b">
        <v>1</v>
      </c>
      <c r="Y506" t="b">
        <v>1</v>
      </c>
      <c r="Z506" t="s">
        <v>62</v>
      </c>
      <c r="AA506" t="s">
        <v>53</v>
      </c>
      <c r="AB506">
        <v>4</v>
      </c>
    </row>
    <row r="507" spans="1:28" x14ac:dyDescent="0.25">
      <c r="A507" t="s">
        <v>1092</v>
      </c>
      <c r="B507">
        <v>27</v>
      </c>
      <c r="C507" t="s">
        <v>43</v>
      </c>
      <c r="D507" t="s">
        <v>44</v>
      </c>
      <c r="E507" t="s">
        <v>69</v>
      </c>
      <c r="F507" t="s">
        <v>45</v>
      </c>
      <c r="G507" t="s">
        <v>30</v>
      </c>
      <c r="H507" t="s">
        <v>1093</v>
      </c>
      <c r="I507" t="s">
        <v>142</v>
      </c>
      <c r="J507">
        <v>207.66</v>
      </c>
      <c r="K507">
        <v>10</v>
      </c>
      <c r="L507" t="s">
        <v>48</v>
      </c>
      <c r="M507">
        <v>2</v>
      </c>
      <c r="N507">
        <v>3</v>
      </c>
      <c r="O507">
        <v>1</v>
      </c>
      <c r="P507" t="s">
        <v>44</v>
      </c>
      <c r="Q507" t="s">
        <v>85</v>
      </c>
      <c r="R507">
        <v>2</v>
      </c>
      <c r="S507">
        <v>2</v>
      </c>
      <c r="T507" t="s">
        <v>49</v>
      </c>
      <c r="U507" t="s">
        <v>79</v>
      </c>
      <c r="V507" t="s">
        <v>66</v>
      </c>
      <c r="W507" s="1">
        <v>45481</v>
      </c>
      <c r="X507" t="b">
        <v>0</v>
      </c>
      <c r="Y507" t="b">
        <v>1</v>
      </c>
      <c r="Z507" t="s">
        <v>52</v>
      </c>
      <c r="AA507" t="s">
        <v>53</v>
      </c>
      <c r="AB507">
        <v>8</v>
      </c>
    </row>
    <row r="508" spans="1:28" x14ac:dyDescent="0.25">
      <c r="A508" t="s">
        <v>1094</v>
      </c>
      <c r="B508">
        <v>34</v>
      </c>
      <c r="C508" t="s">
        <v>29</v>
      </c>
      <c r="D508" t="s">
        <v>44</v>
      </c>
      <c r="E508" t="s">
        <v>31</v>
      </c>
      <c r="F508" t="s">
        <v>45</v>
      </c>
      <c r="G508" t="s">
        <v>44</v>
      </c>
      <c r="H508" t="s">
        <v>1095</v>
      </c>
      <c r="I508" t="s">
        <v>135</v>
      </c>
      <c r="J508">
        <v>141.09</v>
      </c>
      <c r="K508">
        <v>7</v>
      </c>
      <c r="L508" t="s">
        <v>48</v>
      </c>
      <c r="M508">
        <v>3</v>
      </c>
      <c r="N508">
        <v>4</v>
      </c>
      <c r="O508">
        <v>0</v>
      </c>
      <c r="P508" t="s">
        <v>44</v>
      </c>
      <c r="Q508" t="s">
        <v>85</v>
      </c>
      <c r="R508">
        <v>2</v>
      </c>
      <c r="S508">
        <v>3</v>
      </c>
      <c r="T508" t="s">
        <v>44</v>
      </c>
      <c r="U508" t="s">
        <v>79</v>
      </c>
      <c r="V508" t="s">
        <v>61</v>
      </c>
      <c r="W508" s="1">
        <v>45462</v>
      </c>
      <c r="X508" t="b">
        <v>0</v>
      </c>
      <c r="Y508" t="b">
        <v>1</v>
      </c>
      <c r="Z508" t="s">
        <v>52</v>
      </c>
      <c r="AA508" t="s">
        <v>67</v>
      </c>
      <c r="AB508">
        <v>1</v>
      </c>
    </row>
    <row r="509" spans="1:28" x14ac:dyDescent="0.25">
      <c r="A509" t="s">
        <v>1096</v>
      </c>
      <c r="B509">
        <v>39</v>
      </c>
      <c r="C509" t="s">
        <v>43</v>
      </c>
      <c r="D509" t="s">
        <v>44</v>
      </c>
      <c r="E509" t="s">
        <v>76</v>
      </c>
      <c r="F509" t="s">
        <v>32</v>
      </c>
      <c r="G509" t="s">
        <v>30</v>
      </c>
      <c r="H509" t="s">
        <v>1097</v>
      </c>
      <c r="I509" t="s">
        <v>114</v>
      </c>
      <c r="J509">
        <v>142.69999999999999</v>
      </c>
      <c r="K509">
        <v>6</v>
      </c>
      <c r="L509" t="s">
        <v>48</v>
      </c>
      <c r="M509">
        <v>3</v>
      </c>
      <c r="N509">
        <v>2</v>
      </c>
      <c r="O509">
        <v>1</v>
      </c>
      <c r="P509" t="s">
        <v>36</v>
      </c>
      <c r="Q509" t="s">
        <v>85</v>
      </c>
      <c r="R509">
        <v>0</v>
      </c>
      <c r="S509">
        <v>4</v>
      </c>
      <c r="T509" t="s">
        <v>36</v>
      </c>
      <c r="U509" t="s">
        <v>79</v>
      </c>
      <c r="V509" t="s">
        <v>39</v>
      </c>
      <c r="W509" s="1">
        <v>45429</v>
      </c>
      <c r="X509" t="b">
        <v>0</v>
      </c>
      <c r="Y509" t="b">
        <v>1</v>
      </c>
      <c r="Z509" t="s">
        <v>62</v>
      </c>
      <c r="AA509" t="s">
        <v>41</v>
      </c>
      <c r="AB509">
        <v>11</v>
      </c>
    </row>
    <row r="510" spans="1:28" x14ac:dyDescent="0.25">
      <c r="A510" t="s">
        <v>1098</v>
      </c>
      <c r="B510">
        <v>44</v>
      </c>
      <c r="C510" t="s">
        <v>43</v>
      </c>
      <c r="D510" t="s">
        <v>44</v>
      </c>
      <c r="E510" t="s">
        <v>76</v>
      </c>
      <c r="F510" t="s">
        <v>56</v>
      </c>
      <c r="G510" t="s">
        <v>44</v>
      </c>
      <c r="H510" t="s">
        <v>1099</v>
      </c>
      <c r="I510" t="s">
        <v>101</v>
      </c>
      <c r="J510">
        <v>64.09</v>
      </c>
      <c r="K510">
        <v>10</v>
      </c>
      <c r="L510" t="s">
        <v>78</v>
      </c>
      <c r="M510">
        <v>5</v>
      </c>
      <c r="N510">
        <v>5</v>
      </c>
      <c r="O510">
        <v>0</v>
      </c>
      <c r="P510" t="s">
        <v>36</v>
      </c>
      <c r="Q510" t="s">
        <v>37</v>
      </c>
      <c r="R510">
        <v>0</v>
      </c>
      <c r="S510">
        <v>6</v>
      </c>
      <c r="T510" t="s">
        <v>59</v>
      </c>
      <c r="U510" t="s">
        <v>79</v>
      </c>
      <c r="V510" t="s">
        <v>39</v>
      </c>
      <c r="W510" s="1">
        <v>45585</v>
      </c>
      <c r="X510" t="b">
        <v>1</v>
      </c>
      <c r="Y510" t="b">
        <v>0</v>
      </c>
      <c r="Z510" t="s">
        <v>40</v>
      </c>
      <c r="AA510" t="s">
        <v>67</v>
      </c>
      <c r="AB510">
        <v>7</v>
      </c>
    </row>
    <row r="511" spans="1:28" x14ac:dyDescent="0.25">
      <c r="A511" t="s">
        <v>1100</v>
      </c>
      <c r="B511">
        <v>20</v>
      </c>
      <c r="C511" t="s">
        <v>29</v>
      </c>
      <c r="D511" t="s">
        <v>30</v>
      </c>
      <c r="E511" t="s">
        <v>31</v>
      </c>
      <c r="F511" t="s">
        <v>45</v>
      </c>
      <c r="G511" t="s">
        <v>30</v>
      </c>
      <c r="H511" t="s">
        <v>820</v>
      </c>
      <c r="I511" t="s">
        <v>126</v>
      </c>
      <c r="J511">
        <v>126.26</v>
      </c>
      <c r="K511">
        <v>2</v>
      </c>
      <c r="L511" t="s">
        <v>78</v>
      </c>
      <c r="M511">
        <v>4</v>
      </c>
      <c r="N511">
        <v>5</v>
      </c>
      <c r="O511">
        <v>1</v>
      </c>
      <c r="P511" t="s">
        <v>36</v>
      </c>
      <c r="Q511" t="s">
        <v>37</v>
      </c>
      <c r="R511">
        <v>1</v>
      </c>
      <c r="S511">
        <v>6</v>
      </c>
      <c r="T511" t="s">
        <v>36</v>
      </c>
      <c r="U511" t="s">
        <v>60</v>
      </c>
      <c r="V511" t="s">
        <v>61</v>
      </c>
      <c r="W511" s="1">
        <v>45554</v>
      </c>
      <c r="X511" t="b">
        <v>1</v>
      </c>
      <c r="Y511" t="b">
        <v>0</v>
      </c>
      <c r="Z511" t="s">
        <v>74</v>
      </c>
      <c r="AA511" t="s">
        <v>53</v>
      </c>
      <c r="AB511">
        <v>13</v>
      </c>
    </row>
    <row r="512" spans="1:28" x14ac:dyDescent="0.25">
      <c r="A512" t="s">
        <v>1101</v>
      </c>
      <c r="B512">
        <v>42</v>
      </c>
      <c r="C512" t="s">
        <v>29</v>
      </c>
      <c r="D512" t="s">
        <v>30</v>
      </c>
      <c r="E512" t="s">
        <v>55</v>
      </c>
      <c r="F512" t="s">
        <v>45</v>
      </c>
      <c r="G512" t="s">
        <v>44</v>
      </c>
      <c r="H512" t="s">
        <v>1102</v>
      </c>
      <c r="I512" t="s">
        <v>107</v>
      </c>
      <c r="J512">
        <v>195.05</v>
      </c>
      <c r="K512">
        <v>5</v>
      </c>
      <c r="L512" t="s">
        <v>48</v>
      </c>
      <c r="M512">
        <v>2</v>
      </c>
      <c r="N512">
        <v>1</v>
      </c>
      <c r="O512">
        <v>2</v>
      </c>
      <c r="P512" t="s">
        <v>49</v>
      </c>
      <c r="Q512" t="s">
        <v>50</v>
      </c>
      <c r="R512">
        <v>0</v>
      </c>
      <c r="S512">
        <v>10</v>
      </c>
      <c r="T512" t="s">
        <v>44</v>
      </c>
      <c r="U512" t="s">
        <v>60</v>
      </c>
      <c r="V512" t="s">
        <v>66</v>
      </c>
      <c r="W512" s="1">
        <v>45433</v>
      </c>
      <c r="X512" t="b">
        <v>1</v>
      </c>
      <c r="Y512" t="b">
        <v>0</v>
      </c>
      <c r="Z512" t="s">
        <v>62</v>
      </c>
      <c r="AA512" t="s">
        <v>41</v>
      </c>
      <c r="AB512">
        <v>11</v>
      </c>
    </row>
    <row r="513" spans="1:28" x14ac:dyDescent="0.25">
      <c r="A513" t="s">
        <v>1103</v>
      </c>
      <c r="B513">
        <v>22</v>
      </c>
      <c r="C513" t="s">
        <v>29</v>
      </c>
      <c r="D513" t="s">
        <v>30</v>
      </c>
      <c r="E513" t="s">
        <v>31</v>
      </c>
      <c r="F513" t="s">
        <v>56</v>
      </c>
      <c r="G513" t="s">
        <v>44</v>
      </c>
      <c r="H513" t="s">
        <v>1104</v>
      </c>
      <c r="I513" t="s">
        <v>158</v>
      </c>
      <c r="J513">
        <v>432.84</v>
      </c>
      <c r="K513">
        <v>7</v>
      </c>
      <c r="L513" t="s">
        <v>35</v>
      </c>
      <c r="M513">
        <v>4</v>
      </c>
      <c r="N513">
        <v>5</v>
      </c>
      <c r="O513">
        <v>2</v>
      </c>
      <c r="P513" t="s">
        <v>44</v>
      </c>
      <c r="Q513" t="s">
        <v>85</v>
      </c>
      <c r="R513">
        <v>0</v>
      </c>
      <c r="S513">
        <v>1</v>
      </c>
      <c r="T513" t="s">
        <v>44</v>
      </c>
      <c r="U513" t="s">
        <v>38</v>
      </c>
      <c r="V513" t="s">
        <v>61</v>
      </c>
      <c r="W513" s="1">
        <v>45327</v>
      </c>
      <c r="X513" t="b">
        <v>0</v>
      </c>
      <c r="Y513" t="b">
        <v>0</v>
      </c>
      <c r="Z513" t="s">
        <v>52</v>
      </c>
      <c r="AA513" t="s">
        <v>41</v>
      </c>
      <c r="AB513">
        <v>4</v>
      </c>
    </row>
    <row r="514" spans="1:28" x14ac:dyDescent="0.25">
      <c r="A514" t="s">
        <v>1105</v>
      </c>
      <c r="B514">
        <v>30</v>
      </c>
      <c r="C514" t="s">
        <v>43</v>
      </c>
      <c r="D514" t="s">
        <v>44</v>
      </c>
      <c r="E514" t="s">
        <v>31</v>
      </c>
      <c r="F514" t="s">
        <v>32</v>
      </c>
      <c r="G514" t="s">
        <v>30</v>
      </c>
      <c r="H514" t="s">
        <v>1106</v>
      </c>
      <c r="I514" t="s">
        <v>246</v>
      </c>
      <c r="J514">
        <v>404.12</v>
      </c>
      <c r="K514">
        <v>6</v>
      </c>
      <c r="L514" t="s">
        <v>48</v>
      </c>
      <c r="M514">
        <v>1</v>
      </c>
      <c r="N514">
        <v>3</v>
      </c>
      <c r="O514">
        <v>1</v>
      </c>
      <c r="P514" t="s">
        <v>44</v>
      </c>
      <c r="Q514" t="s">
        <v>85</v>
      </c>
      <c r="R514">
        <v>0</v>
      </c>
      <c r="S514">
        <v>4</v>
      </c>
      <c r="T514" t="s">
        <v>59</v>
      </c>
      <c r="U514" t="s">
        <v>60</v>
      </c>
      <c r="V514" t="s">
        <v>61</v>
      </c>
      <c r="W514" s="1">
        <v>45351</v>
      </c>
      <c r="X514" t="b">
        <v>0</v>
      </c>
      <c r="Y514" t="b">
        <v>0</v>
      </c>
      <c r="Z514" t="s">
        <v>62</v>
      </c>
      <c r="AA514" t="s">
        <v>67</v>
      </c>
      <c r="AB514">
        <v>11</v>
      </c>
    </row>
    <row r="515" spans="1:28" x14ac:dyDescent="0.25">
      <c r="A515" t="s">
        <v>1107</v>
      </c>
      <c r="B515">
        <v>39</v>
      </c>
      <c r="C515" t="s">
        <v>43</v>
      </c>
      <c r="D515" t="s">
        <v>44</v>
      </c>
      <c r="E515" t="s">
        <v>76</v>
      </c>
      <c r="F515" t="s">
        <v>56</v>
      </c>
      <c r="G515" t="s">
        <v>44</v>
      </c>
      <c r="H515" t="s">
        <v>1108</v>
      </c>
      <c r="I515" t="s">
        <v>158</v>
      </c>
      <c r="J515">
        <v>438.26</v>
      </c>
      <c r="K515">
        <v>10</v>
      </c>
      <c r="L515" t="s">
        <v>48</v>
      </c>
      <c r="M515">
        <v>3</v>
      </c>
      <c r="N515">
        <v>4</v>
      </c>
      <c r="O515">
        <v>1</v>
      </c>
      <c r="P515" t="s">
        <v>36</v>
      </c>
      <c r="Q515" t="s">
        <v>37</v>
      </c>
      <c r="R515">
        <v>1</v>
      </c>
      <c r="S515">
        <v>3</v>
      </c>
      <c r="T515" t="s">
        <v>49</v>
      </c>
      <c r="U515" t="s">
        <v>60</v>
      </c>
      <c r="V515" t="s">
        <v>61</v>
      </c>
      <c r="W515" s="1">
        <v>45477</v>
      </c>
      <c r="X515" t="b">
        <v>1</v>
      </c>
      <c r="Y515" t="b">
        <v>0</v>
      </c>
      <c r="Z515" t="s">
        <v>74</v>
      </c>
      <c r="AA515" t="s">
        <v>67</v>
      </c>
      <c r="AB515">
        <v>10</v>
      </c>
    </row>
    <row r="516" spans="1:28" x14ac:dyDescent="0.25">
      <c r="A516" t="s">
        <v>1109</v>
      </c>
      <c r="B516">
        <v>19</v>
      </c>
      <c r="C516" t="s">
        <v>29</v>
      </c>
      <c r="D516" t="s">
        <v>44</v>
      </c>
      <c r="E516" t="s">
        <v>55</v>
      </c>
      <c r="F516" t="s">
        <v>32</v>
      </c>
      <c r="G516" t="s">
        <v>44</v>
      </c>
      <c r="H516" t="s">
        <v>1110</v>
      </c>
      <c r="I516" t="s">
        <v>246</v>
      </c>
      <c r="J516">
        <v>233.02</v>
      </c>
      <c r="K516">
        <v>4</v>
      </c>
      <c r="L516" t="s">
        <v>35</v>
      </c>
      <c r="M516">
        <v>3</v>
      </c>
      <c r="N516">
        <v>3</v>
      </c>
      <c r="O516">
        <v>1</v>
      </c>
      <c r="P516" t="s">
        <v>49</v>
      </c>
      <c r="Q516" t="s">
        <v>50</v>
      </c>
      <c r="R516">
        <v>0</v>
      </c>
      <c r="S516">
        <v>3</v>
      </c>
      <c r="T516" t="s">
        <v>49</v>
      </c>
      <c r="U516" t="s">
        <v>60</v>
      </c>
      <c r="V516" t="s">
        <v>86</v>
      </c>
      <c r="W516" s="1">
        <v>45594</v>
      </c>
      <c r="X516" t="b">
        <v>0</v>
      </c>
      <c r="Y516" t="b">
        <v>0</v>
      </c>
      <c r="Z516" t="s">
        <v>62</v>
      </c>
      <c r="AA516" t="s">
        <v>53</v>
      </c>
      <c r="AB516">
        <v>8</v>
      </c>
    </row>
    <row r="517" spans="1:28" x14ac:dyDescent="0.25">
      <c r="A517" t="s">
        <v>1111</v>
      </c>
      <c r="B517">
        <v>26</v>
      </c>
      <c r="C517" t="s">
        <v>29</v>
      </c>
      <c r="D517" t="s">
        <v>30</v>
      </c>
      <c r="E517" t="s">
        <v>69</v>
      </c>
      <c r="F517" t="s">
        <v>32</v>
      </c>
      <c r="G517" t="s">
        <v>30</v>
      </c>
      <c r="H517" t="s">
        <v>1112</v>
      </c>
      <c r="I517" t="s">
        <v>114</v>
      </c>
      <c r="J517">
        <v>273.41000000000003</v>
      </c>
      <c r="K517">
        <v>7</v>
      </c>
      <c r="L517" t="s">
        <v>78</v>
      </c>
      <c r="M517">
        <v>3</v>
      </c>
      <c r="N517">
        <v>5</v>
      </c>
      <c r="O517">
        <v>2</v>
      </c>
      <c r="P517" t="s">
        <v>59</v>
      </c>
      <c r="Q517" t="s">
        <v>85</v>
      </c>
      <c r="R517">
        <v>0</v>
      </c>
      <c r="S517">
        <v>9</v>
      </c>
      <c r="T517" t="s">
        <v>49</v>
      </c>
      <c r="U517" t="s">
        <v>38</v>
      </c>
      <c r="V517" t="s">
        <v>66</v>
      </c>
      <c r="W517" s="1">
        <v>45582</v>
      </c>
      <c r="X517" t="b">
        <v>1</v>
      </c>
      <c r="Y517" t="b">
        <v>0</v>
      </c>
      <c r="Z517" t="s">
        <v>74</v>
      </c>
      <c r="AA517" t="s">
        <v>53</v>
      </c>
      <c r="AB517">
        <v>2</v>
      </c>
    </row>
    <row r="518" spans="1:28" x14ac:dyDescent="0.25">
      <c r="A518" t="s">
        <v>1113</v>
      </c>
      <c r="B518">
        <v>21</v>
      </c>
      <c r="C518" t="s">
        <v>29</v>
      </c>
      <c r="D518" t="s">
        <v>44</v>
      </c>
      <c r="E518" t="s">
        <v>31</v>
      </c>
      <c r="F518" t="s">
        <v>45</v>
      </c>
      <c r="G518" t="s">
        <v>30</v>
      </c>
      <c r="H518" t="s">
        <v>1114</v>
      </c>
      <c r="I518" t="s">
        <v>71</v>
      </c>
      <c r="J518">
        <v>338.96</v>
      </c>
      <c r="K518">
        <v>10</v>
      </c>
      <c r="L518" t="s">
        <v>78</v>
      </c>
      <c r="M518">
        <v>1</v>
      </c>
      <c r="N518">
        <v>4</v>
      </c>
      <c r="O518">
        <v>2</v>
      </c>
      <c r="P518" t="s">
        <v>44</v>
      </c>
      <c r="Q518" t="s">
        <v>37</v>
      </c>
      <c r="R518">
        <v>1</v>
      </c>
      <c r="S518">
        <v>9</v>
      </c>
      <c r="T518" t="s">
        <v>44</v>
      </c>
      <c r="U518" t="s">
        <v>79</v>
      </c>
      <c r="V518" t="s">
        <v>61</v>
      </c>
      <c r="W518" s="1">
        <v>45600</v>
      </c>
      <c r="X518" t="b">
        <v>1</v>
      </c>
      <c r="Y518" t="b">
        <v>1</v>
      </c>
      <c r="Z518" t="s">
        <v>52</v>
      </c>
      <c r="AA518" t="s">
        <v>53</v>
      </c>
      <c r="AB518">
        <v>4</v>
      </c>
    </row>
    <row r="519" spans="1:28" x14ac:dyDescent="0.25">
      <c r="A519" t="s">
        <v>1115</v>
      </c>
      <c r="B519">
        <v>37</v>
      </c>
      <c r="C519" t="s">
        <v>43</v>
      </c>
      <c r="D519" t="s">
        <v>30</v>
      </c>
      <c r="E519" t="s">
        <v>76</v>
      </c>
      <c r="F519" t="s">
        <v>56</v>
      </c>
      <c r="G519" t="s">
        <v>44</v>
      </c>
      <c r="H519" t="s">
        <v>1116</v>
      </c>
      <c r="I519" t="s">
        <v>98</v>
      </c>
      <c r="J519">
        <v>75.91</v>
      </c>
      <c r="K519">
        <v>12</v>
      </c>
      <c r="L519" t="s">
        <v>35</v>
      </c>
      <c r="M519">
        <v>3</v>
      </c>
      <c r="N519">
        <v>5</v>
      </c>
      <c r="O519">
        <v>2</v>
      </c>
      <c r="P519" t="s">
        <v>59</v>
      </c>
      <c r="Q519" t="s">
        <v>85</v>
      </c>
      <c r="R519">
        <v>0</v>
      </c>
      <c r="S519">
        <v>6</v>
      </c>
      <c r="T519" t="s">
        <v>36</v>
      </c>
      <c r="U519" t="s">
        <v>79</v>
      </c>
      <c r="V519" t="s">
        <v>51</v>
      </c>
      <c r="W519" s="1">
        <v>45617</v>
      </c>
      <c r="X519" t="b">
        <v>1</v>
      </c>
      <c r="Y519" t="b">
        <v>1</v>
      </c>
      <c r="Z519" t="s">
        <v>74</v>
      </c>
      <c r="AA519" t="s">
        <v>41</v>
      </c>
      <c r="AB519">
        <v>1</v>
      </c>
    </row>
    <row r="520" spans="1:28" x14ac:dyDescent="0.25">
      <c r="A520" t="s">
        <v>1117</v>
      </c>
      <c r="B520">
        <v>23</v>
      </c>
      <c r="C520" t="s">
        <v>43</v>
      </c>
      <c r="D520" t="s">
        <v>44</v>
      </c>
      <c r="E520" t="s">
        <v>31</v>
      </c>
      <c r="F520" t="s">
        <v>45</v>
      </c>
      <c r="G520" t="s">
        <v>44</v>
      </c>
      <c r="H520" t="s">
        <v>1118</v>
      </c>
      <c r="I520" t="s">
        <v>93</v>
      </c>
      <c r="J520">
        <v>425.21</v>
      </c>
      <c r="K520">
        <v>12</v>
      </c>
      <c r="L520" t="s">
        <v>78</v>
      </c>
      <c r="M520">
        <v>2</v>
      </c>
      <c r="N520">
        <v>4</v>
      </c>
      <c r="O520">
        <v>2</v>
      </c>
      <c r="P520" t="s">
        <v>59</v>
      </c>
      <c r="Q520" t="s">
        <v>37</v>
      </c>
      <c r="R520">
        <v>0</v>
      </c>
      <c r="S520">
        <v>4</v>
      </c>
      <c r="T520" t="s">
        <v>44</v>
      </c>
      <c r="U520" t="s">
        <v>79</v>
      </c>
      <c r="V520" t="s">
        <v>66</v>
      </c>
      <c r="W520" s="1">
        <v>45376</v>
      </c>
      <c r="X520" t="b">
        <v>1</v>
      </c>
      <c r="Y520" t="b">
        <v>1</v>
      </c>
      <c r="Z520" t="s">
        <v>74</v>
      </c>
      <c r="AA520" t="s">
        <v>67</v>
      </c>
      <c r="AB520">
        <v>12</v>
      </c>
    </row>
    <row r="521" spans="1:28" x14ac:dyDescent="0.25">
      <c r="A521" t="s">
        <v>1119</v>
      </c>
      <c r="B521">
        <v>46</v>
      </c>
      <c r="C521" t="s">
        <v>43</v>
      </c>
      <c r="D521" t="s">
        <v>30</v>
      </c>
      <c r="E521" t="s">
        <v>31</v>
      </c>
      <c r="F521" t="s">
        <v>56</v>
      </c>
      <c r="G521" t="s">
        <v>30</v>
      </c>
      <c r="H521" t="s">
        <v>1120</v>
      </c>
      <c r="I521" t="s">
        <v>120</v>
      </c>
      <c r="J521">
        <v>268.8</v>
      </c>
      <c r="K521">
        <v>2</v>
      </c>
      <c r="L521" t="s">
        <v>48</v>
      </c>
      <c r="M521">
        <v>1</v>
      </c>
      <c r="N521">
        <v>3</v>
      </c>
      <c r="O521">
        <v>0</v>
      </c>
      <c r="P521" t="s">
        <v>44</v>
      </c>
      <c r="Q521" t="s">
        <v>85</v>
      </c>
      <c r="R521">
        <v>1</v>
      </c>
      <c r="S521">
        <v>7</v>
      </c>
      <c r="T521" t="s">
        <v>36</v>
      </c>
      <c r="U521" t="s">
        <v>79</v>
      </c>
      <c r="V521" t="s">
        <v>61</v>
      </c>
      <c r="W521" s="1">
        <v>45402</v>
      </c>
      <c r="X521" t="b">
        <v>0</v>
      </c>
      <c r="Y521" t="b">
        <v>0</v>
      </c>
      <c r="Z521" t="s">
        <v>40</v>
      </c>
      <c r="AA521" t="s">
        <v>53</v>
      </c>
      <c r="AB521">
        <v>12</v>
      </c>
    </row>
    <row r="522" spans="1:28" x14ac:dyDescent="0.25">
      <c r="A522" t="s">
        <v>1121</v>
      </c>
      <c r="B522">
        <v>35</v>
      </c>
      <c r="C522" t="s">
        <v>29</v>
      </c>
      <c r="D522" t="s">
        <v>30</v>
      </c>
      <c r="E522" t="s">
        <v>76</v>
      </c>
      <c r="F522" t="s">
        <v>56</v>
      </c>
      <c r="G522" t="s">
        <v>44</v>
      </c>
      <c r="H522" t="s">
        <v>1122</v>
      </c>
      <c r="I522" t="s">
        <v>104</v>
      </c>
      <c r="J522">
        <v>170.71</v>
      </c>
      <c r="K522">
        <v>10</v>
      </c>
      <c r="L522" t="s">
        <v>35</v>
      </c>
      <c r="M522">
        <v>5</v>
      </c>
      <c r="N522">
        <v>3</v>
      </c>
      <c r="O522">
        <v>0</v>
      </c>
      <c r="P522" t="s">
        <v>59</v>
      </c>
      <c r="Q522" t="s">
        <v>37</v>
      </c>
      <c r="R522">
        <v>1</v>
      </c>
      <c r="S522">
        <v>9</v>
      </c>
      <c r="T522" t="s">
        <v>59</v>
      </c>
      <c r="U522" t="s">
        <v>79</v>
      </c>
      <c r="V522" t="s">
        <v>39</v>
      </c>
      <c r="W522" s="1">
        <v>45396</v>
      </c>
      <c r="X522" t="b">
        <v>1</v>
      </c>
      <c r="Y522" t="b">
        <v>1</v>
      </c>
      <c r="Z522" t="s">
        <v>74</v>
      </c>
      <c r="AA522" t="s">
        <v>41</v>
      </c>
      <c r="AB522">
        <v>7</v>
      </c>
    </row>
    <row r="523" spans="1:28" x14ac:dyDescent="0.25">
      <c r="A523" t="s">
        <v>1123</v>
      </c>
      <c r="B523">
        <v>33</v>
      </c>
      <c r="C523" t="s">
        <v>190</v>
      </c>
      <c r="D523" t="s">
        <v>30</v>
      </c>
      <c r="E523" t="s">
        <v>69</v>
      </c>
      <c r="F523" t="s">
        <v>45</v>
      </c>
      <c r="G523" t="s">
        <v>30</v>
      </c>
      <c r="H523" t="s">
        <v>1124</v>
      </c>
      <c r="I523" t="s">
        <v>101</v>
      </c>
      <c r="J523">
        <v>444.05</v>
      </c>
      <c r="K523">
        <v>10</v>
      </c>
      <c r="L523" t="s">
        <v>78</v>
      </c>
      <c r="M523">
        <v>5</v>
      </c>
      <c r="N523">
        <v>4</v>
      </c>
      <c r="O523">
        <v>0</v>
      </c>
      <c r="P523" t="s">
        <v>59</v>
      </c>
      <c r="Q523" t="s">
        <v>50</v>
      </c>
      <c r="R523">
        <v>1</v>
      </c>
      <c r="S523">
        <v>8</v>
      </c>
      <c r="T523" t="s">
        <v>49</v>
      </c>
      <c r="U523" t="s">
        <v>79</v>
      </c>
      <c r="V523" t="s">
        <v>51</v>
      </c>
      <c r="W523" s="1">
        <v>45447</v>
      </c>
      <c r="X523" t="b">
        <v>1</v>
      </c>
      <c r="Y523" t="b">
        <v>1</v>
      </c>
      <c r="Z523" t="s">
        <v>52</v>
      </c>
      <c r="AA523" t="s">
        <v>53</v>
      </c>
      <c r="AB523">
        <v>8</v>
      </c>
    </row>
    <row r="524" spans="1:28" x14ac:dyDescent="0.25">
      <c r="A524" t="s">
        <v>1125</v>
      </c>
      <c r="B524">
        <v>47</v>
      </c>
      <c r="C524" t="s">
        <v>43</v>
      </c>
      <c r="D524" t="s">
        <v>30</v>
      </c>
      <c r="E524" t="s">
        <v>76</v>
      </c>
      <c r="F524" t="s">
        <v>45</v>
      </c>
      <c r="G524" t="s">
        <v>30</v>
      </c>
      <c r="H524" t="s">
        <v>1126</v>
      </c>
      <c r="I524" t="s">
        <v>34</v>
      </c>
      <c r="J524">
        <v>255.1</v>
      </c>
      <c r="K524">
        <v>5</v>
      </c>
      <c r="L524" t="s">
        <v>35</v>
      </c>
      <c r="M524">
        <v>5</v>
      </c>
      <c r="N524">
        <v>1</v>
      </c>
      <c r="O524">
        <v>2</v>
      </c>
      <c r="P524" t="s">
        <v>44</v>
      </c>
      <c r="Q524" t="s">
        <v>85</v>
      </c>
      <c r="R524">
        <v>1</v>
      </c>
      <c r="S524">
        <v>1</v>
      </c>
      <c r="T524" t="s">
        <v>59</v>
      </c>
      <c r="U524" t="s">
        <v>79</v>
      </c>
      <c r="V524" t="s">
        <v>51</v>
      </c>
      <c r="W524" s="1">
        <v>45319</v>
      </c>
      <c r="X524" t="b">
        <v>1</v>
      </c>
      <c r="Y524" t="b">
        <v>0</v>
      </c>
      <c r="Z524" t="s">
        <v>74</v>
      </c>
      <c r="AA524" t="s">
        <v>41</v>
      </c>
      <c r="AB524">
        <v>14</v>
      </c>
    </row>
    <row r="525" spans="1:28" x14ac:dyDescent="0.25">
      <c r="A525" t="s">
        <v>1127</v>
      </c>
      <c r="B525">
        <v>32</v>
      </c>
      <c r="C525" t="s">
        <v>43</v>
      </c>
      <c r="D525" t="s">
        <v>44</v>
      </c>
      <c r="E525" t="s">
        <v>69</v>
      </c>
      <c r="F525" t="s">
        <v>32</v>
      </c>
      <c r="G525" t="s">
        <v>44</v>
      </c>
      <c r="H525" t="s">
        <v>1128</v>
      </c>
      <c r="I525" t="s">
        <v>142</v>
      </c>
      <c r="J525">
        <v>236.44</v>
      </c>
      <c r="K525">
        <v>6</v>
      </c>
      <c r="L525" t="s">
        <v>35</v>
      </c>
      <c r="M525">
        <v>4</v>
      </c>
      <c r="N525">
        <v>4</v>
      </c>
      <c r="O525">
        <v>0</v>
      </c>
      <c r="P525" t="s">
        <v>49</v>
      </c>
      <c r="Q525" t="s">
        <v>85</v>
      </c>
      <c r="R525">
        <v>2</v>
      </c>
      <c r="S525">
        <v>2</v>
      </c>
      <c r="T525" t="s">
        <v>36</v>
      </c>
      <c r="U525" t="s">
        <v>60</v>
      </c>
      <c r="V525" t="s">
        <v>51</v>
      </c>
      <c r="W525" s="1">
        <v>45427</v>
      </c>
      <c r="X525" t="b">
        <v>0</v>
      </c>
      <c r="Y525" t="b">
        <v>0</v>
      </c>
      <c r="Z525" t="s">
        <v>62</v>
      </c>
      <c r="AA525" t="s">
        <v>53</v>
      </c>
      <c r="AB525">
        <v>6</v>
      </c>
    </row>
    <row r="526" spans="1:28" x14ac:dyDescent="0.25">
      <c r="A526" t="s">
        <v>1129</v>
      </c>
      <c r="B526">
        <v>20</v>
      </c>
      <c r="C526" t="s">
        <v>43</v>
      </c>
      <c r="D526" t="s">
        <v>30</v>
      </c>
      <c r="E526" t="s">
        <v>69</v>
      </c>
      <c r="F526" t="s">
        <v>32</v>
      </c>
      <c r="G526" t="s">
        <v>44</v>
      </c>
      <c r="H526" t="s">
        <v>1130</v>
      </c>
      <c r="I526" t="s">
        <v>71</v>
      </c>
      <c r="J526">
        <v>201.69</v>
      </c>
      <c r="K526">
        <v>11</v>
      </c>
      <c r="L526" t="s">
        <v>35</v>
      </c>
      <c r="M526">
        <v>4</v>
      </c>
      <c r="N526">
        <v>5</v>
      </c>
      <c r="O526">
        <v>0</v>
      </c>
      <c r="P526" t="s">
        <v>44</v>
      </c>
      <c r="Q526" t="s">
        <v>85</v>
      </c>
      <c r="R526">
        <v>2</v>
      </c>
      <c r="S526">
        <v>8</v>
      </c>
      <c r="T526" t="s">
        <v>59</v>
      </c>
      <c r="U526" t="s">
        <v>38</v>
      </c>
      <c r="V526" t="s">
        <v>66</v>
      </c>
      <c r="W526" s="1">
        <v>45492</v>
      </c>
      <c r="X526" t="b">
        <v>1</v>
      </c>
      <c r="Y526" t="b">
        <v>0</v>
      </c>
      <c r="Z526" t="s">
        <v>74</v>
      </c>
      <c r="AA526" t="s">
        <v>41</v>
      </c>
      <c r="AB526">
        <v>3</v>
      </c>
    </row>
    <row r="527" spans="1:28" x14ac:dyDescent="0.25">
      <c r="A527" t="s">
        <v>1131</v>
      </c>
      <c r="B527">
        <v>37</v>
      </c>
      <c r="C527" t="s">
        <v>29</v>
      </c>
      <c r="D527" t="s">
        <v>44</v>
      </c>
      <c r="E527" t="s">
        <v>55</v>
      </c>
      <c r="F527" t="s">
        <v>32</v>
      </c>
      <c r="G527" t="s">
        <v>30</v>
      </c>
      <c r="H527" t="s">
        <v>1132</v>
      </c>
      <c r="I527" t="s">
        <v>135</v>
      </c>
      <c r="J527">
        <v>390.51</v>
      </c>
      <c r="K527">
        <v>6</v>
      </c>
      <c r="L527" t="s">
        <v>78</v>
      </c>
      <c r="M527">
        <v>3</v>
      </c>
      <c r="N527">
        <v>2</v>
      </c>
      <c r="O527">
        <v>0</v>
      </c>
      <c r="P527" t="s">
        <v>49</v>
      </c>
      <c r="Q527" t="s">
        <v>85</v>
      </c>
      <c r="R527">
        <v>0</v>
      </c>
      <c r="S527">
        <v>2</v>
      </c>
      <c r="T527" t="s">
        <v>44</v>
      </c>
      <c r="U527" t="s">
        <v>79</v>
      </c>
      <c r="V527" t="s">
        <v>86</v>
      </c>
      <c r="W527" s="1">
        <v>45397</v>
      </c>
      <c r="X527" t="b">
        <v>0</v>
      </c>
      <c r="Y527" t="b">
        <v>0</v>
      </c>
      <c r="Z527" t="s">
        <v>52</v>
      </c>
      <c r="AA527" t="s">
        <v>67</v>
      </c>
      <c r="AB527">
        <v>6</v>
      </c>
    </row>
    <row r="528" spans="1:28" x14ac:dyDescent="0.25">
      <c r="A528" t="s">
        <v>1133</v>
      </c>
      <c r="B528">
        <v>35</v>
      </c>
      <c r="C528" t="s">
        <v>190</v>
      </c>
      <c r="D528" t="s">
        <v>44</v>
      </c>
      <c r="E528" t="s">
        <v>76</v>
      </c>
      <c r="F528" t="s">
        <v>56</v>
      </c>
      <c r="G528" t="s">
        <v>44</v>
      </c>
      <c r="H528" t="s">
        <v>1134</v>
      </c>
      <c r="I528" t="s">
        <v>183</v>
      </c>
      <c r="J528">
        <v>442.29</v>
      </c>
      <c r="K528">
        <v>9</v>
      </c>
      <c r="L528" t="s">
        <v>35</v>
      </c>
      <c r="M528">
        <v>1</v>
      </c>
      <c r="N528">
        <v>2</v>
      </c>
      <c r="O528">
        <v>0</v>
      </c>
      <c r="P528" t="s">
        <v>49</v>
      </c>
      <c r="Q528" t="s">
        <v>37</v>
      </c>
      <c r="R528">
        <v>1</v>
      </c>
      <c r="S528">
        <v>2</v>
      </c>
      <c r="T528" t="s">
        <v>59</v>
      </c>
      <c r="U528" t="s">
        <v>38</v>
      </c>
      <c r="V528" t="s">
        <v>51</v>
      </c>
      <c r="W528" s="1">
        <v>45546</v>
      </c>
      <c r="X528" t="b">
        <v>0</v>
      </c>
      <c r="Y528" t="b">
        <v>0</v>
      </c>
      <c r="Z528" t="s">
        <v>74</v>
      </c>
      <c r="AA528" t="s">
        <v>67</v>
      </c>
      <c r="AB528">
        <v>13</v>
      </c>
    </row>
    <row r="529" spans="1:28" x14ac:dyDescent="0.25">
      <c r="A529" t="s">
        <v>1135</v>
      </c>
      <c r="B529">
        <v>18</v>
      </c>
      <c r="C529" t="s">
        <v>29</v>
      </c>
      <c r="D529" t="s">
        <v>30</v>
      </c>
      <c r="E529" t="s">
        <v>55</v>
      </c>
      <c r="F529" t="s">
        <v>45</v>
      </c>
      <c r="G529" t="s">
        <v>44</v>
      </c>
      <c r="H529" t="s">
        <v>1136</v>
      </c>
      <c r="I529" t="s">
        <v>71</v>
      </c>
      <c r="J529">
        <v>89.6</v>
      </c>
      <c r="K529">
        <v>7</v>
      </c>
      <c r="L529" t="s">
        <v>48</v>
      </c>
      <c r="M529">
        <v>5</v>
      </c>
      <c r="N529">
        <v>3</v>
      </c>
      <c r="O529">
        <v>2</v>
      </c>
      <c r="P529" t="s">
        <v>36</v>
      </c>
      <c r="Q529" t="s">
        <v>50</v>
      </c>
      <c r="R529">
        <v>1</v>
      </c>
      <c r="S529">
        <v>5</v>
      </c>
      <c r="T529" t="s">
        <v>59</v>
      </c>
      <c r="U529" t="s">
        <v>79</v>
      </c>
      <c r="V529" t="s">
        <v>86</v>
      </c>
      <c r="W529" s="1">
        <v>45361</v>
      </c>
      <c r="X529" t="b">
        <v>0</v>
      </c>
      <c r="Y529" t="b">
        <v>0</v>
      </c>
      <c r="Z529" t="s">
        <v>74</v>
      </c>
      <c r="AA529" t="s">
        <v>53</v>
      </c>
      <c r="AB529">
        <v>8</v>
      </c>
    </row>
    <row r="530" spans="1:28" x14ac:dyDescent="0.25">
      <c r="A530" t="s">
        <v>1137</v>
      </c>
      <c r="B530">
        <v>27</v>
      </c>
      <c r="C530" t="s">
        <v>43</v>
      </c>
      <c r="D530" t="s">
        <v>30</v>
      </c>
      <c r="E530" t="s">
        <v>69</v>
      </c>
      <c r="F530" t="s">
        <v>45</v>
      </c>
      <c r="G530" t="s">
        <v>44</v>
      </c>
      <c r="H530" t="s">
        <v>1138</v>
      </c>
      <c r="I530" t="s">
        <v>90</v>
      </c>
      <c r="J530">
        <v>166.74</v>
      </c>
      <c r="K530">
        <v>6</v>
      </c>
      <c r="L530" t="s">
        <v>35</v>
      </c>
      <c r="M530">
        <v>2</v>
      </c>
      <c r="N530">
        <v>5</v>
      </c>
      <c r="O530">
        <v>0</v>
      </c>
      <c r="P530" t="s">
        <v>44</v>
      </c>
      <c r="Q530" t="s">
        <v>50</v>
      </c>
      <c r="R530">
        <v>0</v>
      </c>
      <c r="S530">
        <v>6</v>
      </c>
      <c r="T530" t="s">
        <v>59</v>
      </c>
      <c r="U530" t="s">
        <v>79</v>
      </c>
      <c r="V530" t="s">
        <v>66</v>
      </c>
      <c r="W530" s="1">
        <v>45305</v>
      </c>
      <c r="X530" t="b">
        <v>0</v>
      </c>
      <c r="Y530" t="b">
        <v>0</v>
      </c>
      <c r="Z530" t="s">
        <v>62</v>
      </c>
      <c r="AA530" t="s">
        <v>41</v>
      </c>
      <c r="AB530">
        <v>1</v>
      </c>
    </row>
    <row r="531" spans="1:28" x14ac:dyDescent="0.25">
      <c r="A531" t="s">
        <v>1139</v>
      </c>
      <c r="B531">
        <v>29</v>
      </c>
      <c r="C531" t="s">
        <v>29</v>
      </c>
      <c r="D531" t="s">
        <v>44</v>
      </c>
      <c r="E531" t="s">
        <v>31</v>
      </c>
      <c r="F531" t="s">
        <v>32</v>
      </c>
      <c r="G531" t="s">
        <v>30</v>
      </c>
      <c r="H531" t="s">
        <v>1140</v>
      </c>
      <c r="I531" t="s">
        <v>93</v>
      </c>
      <c r="J531">
        <v>299.27999999999997</v>
      </c>
      <c r="K531">
        <v>12</v>
      </c>
      <c r="L531" t="s">
        <v>35</v>
      </c>
      <c r="M531">
        <v>4</v>
      </c>
      <c r="N531">
        <v>5</v>
      </c>
      <c r="O531">
        <v>1</v>
      </c>
      <c r="P531" t="s">
        <v>44</v>
      </c>
      <c r="Q531" t="s">
        <v>37</v>
      </c>
      <c r="R531">
        <v>0</v>
      </c>
      <c r="S531">
        <v>9</v>
      </c>
      <c r="T531" t="s">
        <v>44</v>
      </c>
      <c r="U531" t="s">
        <v>60</v>
      </c>
      <c r="V531" t="s">
        <v>61</v>
      </c>
      <c r="W531" s="1">
        <v>45441</v>
      </c>
      <c r="X531" t="b">
        <v>0</v>
      </c>
      <c r="Y531" t="b">
        <v>0</v>
      </c>
      <c r="Z531" t="s">
        <v>52</v>
      </c>
      <c r="AA531" t="s">
        <v>53</v>
      </c>
      <c r="AB531">
        <v>3</v>
      </c>
    </row>
    <row r="532" spans="1:28" x14ac:dyDescent="0.25">
      <c r="A532" t="s">
        <v>1141</v>
      </c>
      <c r="B532">
        <v>24</v>
      </c>
      <c r="C532" t="s">
        <v>43</v>
      </c>
      <c r="D532" t="s">
        <v>44</v>
      </c>
      <c r="E532" t="s">
        <v>69</v>
      </c>
      <c r="F532" t="s">
        <v>56</v>
      </c>
      <c r="G532" t="s">
        <v>44</v>
      </c>
      <c r="H532" t="s">
        <v>1142</v>
      </c>
      <c r="I532" t="s">
        <v>90</v>
      </c>
      <c r="J532">
        <v>404.57</v>
      </c>
      <c r="K532">
        <v>5</v>
      </c>
      <c r="L532" t="s">
        <v>35</v>
      </c>
      <c r="M532">
        <v>4</v>
      </c>
      <c r="N532">
        <v>3</v>
      </c>
      <c r="O532">
        <v>0</v>
      </c>
      <c r="P532" t="s">
        <v>49</v>
      </c>
      <c r="Q532" t="s">
        <v>50</v>
      </c>
      <c r="R532">
        <v>2</v>
      </c>
      <c r="S532">
        <v>7</v>
      </c>
      <c r="T532" t="s">
        <v>36</v>
      </c>
      <c r="U532" t="s">
        <v>60</v>
      </c>
      <c r="V532" t="s">
        <v>61</v>
      </c>
      <c r="W532" s="1">
        <v>45535</v>
      </c>
      <c r="X532" t="b">
        <v>0</v>
      </c>
      <c r="Y532" t="b">
        <v>1</v>
      </c>
      <c r="Z532" t="s">
        <v>40</v>
      </c>
      <c r="AA532" t="s">
        <v>67</v>
      </c>
      <c r="AB532">
        <v>14</v>
      </c>
    </row>
    <row r="533" spans="1:28" x14ac:dyDescent="0.25">
      <c r="A533" t="s">
        <v>1143</v>
      </c>
      <c r="B533">
        <v>27</v>
      </c>
      <c r="C533" t="s">
        <v>43</v>
      </c>
      <c r="D533" t="s">
        <v>44</v>
      </c>
      <c r="E533" t="s">
        <v>55</v>
      </c>
      <c r="F533" t="s">
        <v>32</v>
      </c>
      <c r="G533" t="s">
        <v>44</v>
      </c>
      <c r="H533" t="s">
        <v>1144</v>
      </c>
      <c r="I533" t="s">
        <v>120</v>
      </c>
      <c r="J533">
        <v>344.81</v>
      </c>
      <c r="K533">
        <v>10</v>
      </c>
      <c r="L533" t="s">
        <v>48</v>
      </c>
      <c r="M533">
        <v>3</v>
      </c>
      <c r="N533">
        <v>1</v>
      </c>
      <c r="O533">
        <v>2</v>
      </c>
      <c r="P533" t="s">
        <v>59</v>
      </c>
      <c r="Q533" t="s">
        <v>37</v>
      </c>
      <c r="R533">
        <v>1</v>
      </c>
      <c r="S533">
        <v>9</v>
      </c>
      <c r="T533" t="s">
        <v>44</v>
      </c>
      <c r="U533" t="s">
        <v>79</v>
      </c>
      <c r="V533" t="s">
        <v>66</v>
      </c>
      <c r="W533" s="1">
        <v>45649</v>
      </c>
      <c r="X533" t="b">
        <v>1</v>
      </c>
      <c r="Y533" t="b">
        <v>1</v>
      </c>
      <c r="Z533" t="s">
        <v>52</v>
      </c>
      <c r="AA533" t="s">
        <v>67</v>
      </c>
      <c r="AB533">
        <v>14</v>
      </c>
    </row>
    <row r="534" spans="1:28" x14ac:dyDescent="0.25">
      <c r="A534" t="s">
        <v>1145</v>
      </c>
      <c r="B534">
        <v>34</v>
      </c>
      <c r="C534" t="s">
        <v>43</v>
      </c>
      <c r="D534" t="s">
        <v>44</v>
      </c>
      <c r="E534" t="s">
        <v>55</v>
      </c>
      <c r="F534" t="s">
        <v>56</v>
      </c>
      <c r="G534" t="s">
        <v>44</v>
      </c>
      <c r="H534" t="s">
        <v>1146</v>
      </c>
      <c r="I534" t="s">
        <v>104</v>
      </c>
      <c r="J534">
        <v>217.84</v>
      </c>
      <c r="K534">
        <v>10</v>
      </c>
      <c r="L534" t="s">
        <v>78</v>
      </c>
      <c r="M534">
        <v>2</v>
      </c>
      <c r="N534">
        <v>2</v>
      </c>
      <c r="O534">
        <v>2</v>
      </c>
      <c r="P534" t="s">
        <v>36</v>
      </c>
      <c r="Q534" t="s">
        <v>85</v>
      </c>
      <c r="R534">
        <v>0</v>
      </c>
      <c r="S534">
        <v>8</v>
      </c>
      <c r="T534" t="s">
        <v>44</v>
      </c>
      <c r="U534" t="s">
        <v>38</v>
      </c>
      <c r="V534" t="s">
        <v>86</v>
      </c>
      <c r="W534" s="1">
        <v>45307</v>
      </c>
      <c r="X534" t="b">
        <v>1</v>
      </c>
      <c r="Y534" t="b">
        <v>1</v>
      </c>
      <c r="Z534" t="s">
        <v>52</v>
      </c>
      <c r="AA534" t="s">
        <v>53</v>
      </c>
      <c r="AB534">
        <v>11</v>
      </c>
    </row>
    <row r="535" spans="1:28" x14ac:dyDescent="0.25">
      <c r="A535" t="s">
        <v>1147</v>
      </c>
      <c r="B535">
        <v>21</v>
      </c>
      <c r="C535" t="s">
        <v>43</v>
      </c>
      <c r="D535" t="s">
        <v>30</v>
      </c>
      <c r="E535" t="s">
        <v>76</v>
      </c>
      <c r="F535" t="s">
        <v>32</v>
      </c>
      <c r="G535" t="s">
        <v>30</v>
      </c>
      <c r="H535" t="s">
        <v>1148</v>
      </c>
      <c r="I535" t="s">
        <v>90</v>
      </c>
      <c r="J535">
        <v>445.34</v>
      </c>
      <c r="K535">
        <v>9</v>
      </c>
      <c r="L535" t="s">
        <v>48</v>
      </c>
      <c r="M535">
        <v>5</v>
      </c>
      <c r="N535">
        <v>2</v>
      </c>
      <c r="O535">
        <v>1</v>
      </c>
      <c r="P535" t="s">
        <v>59</v>
      </c>
      <c r="Q535" t="s">
        <v>37</v>
      </c>
      <c r="R535">
        <v>1</v>
      </c>
      <c r="S535">
        <v>3</v>
      </c>
      <c r="T535" t="s">
        <v>44</v>
      </c>
      <c r="U535" t="s">
        <v>38</v>
      </c>
      <c r="V535" t="s">
        <v>86</v>
      </c>
      <c r="W535" s="1">
        <v>45355</v>
      </c>
      <c r="X535" t="b">
        <v>1</v>
      </c>
      <c r="Y535" t="b">
        <v>1</v>
      </c>
      <c r="Z535" t="s">
        <v>62</v>
      </c>
      <c r="AA535" t="s">
        <v>41</v>
      </c>
      <c r="AB535">
        <v>3</v>
      </c>
    </row>
    <row r="536" spans="1:28" x14ac:dyDescent="0.25">
      <c r="A536" t="s">
        <v>1149</v>
      </c>
      <c r="B536">
        <v>18</v>
      </c>
      <c r="C536" t="s">
        <v>43</v>
      </c>
      <c r="D536" t="s">
        <v>44</v>
      </c>
      <c r="E536" t="s">
        <v>69</v>
      </c>
      <c r="F536" t="s">
        <v>45</v>
      </c>
      <c r="G536" t="s">
        <v>44</v>
      </c>
      <c r="H536" t="s">
        <v>1150</v>
      </c>
      <c r="I536" t="s">
        <v>65</v>
      </c>
      <c r="J536">
        <v>151.72999999999999</v>
      </c>
      <c r="K536">
        <v>3</v>
      </c>
      <c r="L536" t="s">
        <v>48</v>
      </c>
      <c r="M536">
        <v>2</v>
      </c>
      <c r="N536">
        <v>4</v>
      </c>
      <c r="O536">
        <v>1</v>
      </c>
      <c r="P536" t="s">
        <v>49</v>
      </c>
      <c r="Q536" t="s">
        <v>85</v>
      </c>
      <c r="R536">
        <v>1</v>
      </c>
      <c r="S536">
        <v>3</v>
      </c>
      <c r="T536" t="s">
        <v>36</v>
      </c>
      <c r="U536" t="s">
        <v>60</v>
      </c>
      <c r="V536" t="s">
        <v>66</v>
      </c>
      <c r="W536" s="1">
        <v>45559</v>
      </c>
      <c r="X536" t="b">
        <v>0</v>
      </c>
      <c r="Y536" t="b">
        <v>1</v>
      </c>
      <c r="Z536" t="s">
        <v>52</v>
      </c>
      <c r="AA536" t="s">
        <v>67</v>
      </c>
      <c r="AB536">
        <v>11</v>
      </c>
    </row>
    <row r="537" spans="1:28" x14ac:dyDescent="0.25">
      <c r="A537" t="s">
        <v>1151</v>
      </c>
      <c r="B537">
        <v>50</v>
      </c>
      <c r="C537" t="s">
        <v>88</v>
      </c>
      <c r="D537" t="s">
        <v>44</v>
      </c>
      <c r="E537" t="s">
        <v>31</v>
      </c>
      <c r="F537" t="s">
        <v>45</v>
      </c>
      <c r="G537" t="s">
        <v>44</v>
      </c>
      <c r="H537" t="s">
        <v>1152</v>
      </c>
      <c r="I537" t="s">
        <v>117</v>
      </c>
      <c r="J537">
        <v>123.73</v>
      </c>
      <c r="K537">
        <v>9</v>
      </c>
      <c r="L537" t="s">
        <v>78</v>
      </c>
      <c r="M537">
        <v>1</v>
      </c>
      <c r="N537">
        <v>4</v>
      </c>
      <c r="O537">
        <v>0</v>
      </c>
      <c r="P537" t="s">
        <v>44</v>
      </c>
      <c r="Q537" t="s">
        <v>50</v>
      </c>
      <c r="R537">
        <v>2</v>
      </c>
      <c r="S537">
        <v>5</v>
      </c>
      <c r="T537" t="s">
        <v>44</v>
      </c>
      <c r="U537" t="s">
        <v>60</v>
      </c>
      <c r="V537" t="s">
        <v>39</v>
      </c>
      <c r="W537" s="1">
        <v>45572</v>
      </c>
      <c r="X537" t="b">
        <v>0</v>
      </c>
      <c r="Y537" t="b">
        <v>1</v>
      </c>
      <c r="Z537" t="s">
        <v>40</v>
      </c>
      <c r="AA537" t="s">
        <v>41</v>
      </c>
      <c r="AB537">
        <v>10</v>
      </c>
    </row>
    <row r="538" spans="1:28" x14ac:dyDescent="0.25">
      <c r="A538" t="s">
        <v>1153</v>
      </c>
      <c r="B538">
        <v>31</v>
      </c>
      <c r="C538" t="s">
        <v>43</v>
      </c>
      <c r="D538" t="s">
        <v>30</v>
      </c>
      <c r="E538" t="s">
        <v>55</v>
      </c>
      <c r="F538" t="s">
        <v>56</v>
      </c>
      <c r="G538" t="s">
        <v>44</v>
      </c>
      <c r="H538" t="s">
        <v>1154</v>
      </c>
      <c r="I538" t="s">
        <v>194</v>
      </c>
      <c r="J538">
        <v>370.54</v>
      </c>
      <c r="K538">
        <v>2</v>
      </c>
      <c r="L538" t="s">
        <v>48</v>
      </c>
      <c r="M538">
        <v>3</v>
      </c>
      <c r="N538">
        <v>3</v>
      </c>
      <c r="O538">
        <v>0</v>
      </c>
      <c r="P538" t="s">
        <v>59</v>
      </c>
      <c r="Q538" t="s">
        <v>85</v>
      </c>
      <c r="R538">
        <v>1</v>
      </c>
      <c r="S538">
        <v>9</v>
      </c>
      <c r="T538" t="s">
        <v>59</v>
      </c>
      <c r="U538" t="s">
        <v>60</v>
      </c>
      <c r="V538" t="s">
        <v>39</v>
      </c>
      <c r="W538" s="1">
        <v>45376</v>
      </c>
      <c r="X538" t="b">
        <v>1</v>
      </c>
      <c r="Y538" t="b">
        <v>0</v>
      </c>
      <c r="Z538" t="s">
        <v>62</v>
      </c>
      <c r="AA538" t="s">
        <v>41</v>
      </c>
      <c r="AB538">
        <v>7</v>
      </c>
    </row>
    <row r="539" spans="1:28" x14ac:dyDescent="0.25">
      <c r="A539" t="s">
        <v>1155</v>
      </c>
      <c r="B539">
        <v>45</v>
      </c>
      <c r="C539" t="s">
        <v>43</v>
      </c>
      <c r="D539" t="s">
        <v>44</v>
      </c>
      <c r="E539" t="s">
        <v>31</v>
      </c>
      <c r="F539" t="s">
        <v>56</v>
      </c>
      <c r="G539" t="s">
        <v>44</v>
      </c>
      <c r="H539" t="s">
        <v>1156</v>
      </c>
      <c r="I539" t="s">
        <v>123</v>
      </c>
      <c r="J539">
        <v>152.87</v>
      </c>
      <c r="K539">
        <v>3</v>
      </c>
      <c r="L539" t="s">
        <v>48</v>
      </c>
      <c r="M539">
        <v>1</v>
      </c>
      <c r="N539">
        <v>5</v>
      </c>
      <c r="O539">
        <v>2</v>
      </c>
      <c r="P539" t="s">
        <v>44</v>
      </c>
      <c r="Q539" t="s">
        <v>85</v>
      </c>
      <c r="R539">
        <v>1</v>
      </c>
      <c r="S539">
        <v>8</v>
      </c>
      <c r="T539" t="s">
        <v>36</v>
      </c>
      <c r="U539" t="s">
        <v>38</v>
      </c>
      <c r="V539" t="s">
        <v>61</v>
      </c>
      <c r="W539" s="1">
        <v>45524</v>
      </c>
      <c r="X539" t="b">
        <v>0</v>
      </c>
      <c r="Y539" t="b">
        <v>0</v>
      </c>
      <c r="Z539" t="s">
        <v>62</v>
      </c>
      <c r="AA539" t="s">
        <v>67</v>
      </c>
      <c r="AB539">
        <v>11</v>
      </c>
    </row>
    <row r="540" spans="1:28" x14ac:dyDescent="0.25">
      <c r="A540" t="s">
        <v>1157</v>
      </c>
      <c r="B540">
        <v>29</v>
      </c>
      <c r="C540" t="s">
        <v>43</v>
      </c>
      <c r="D540" t="s">
        <v>30</v>
      </c>
      <c r="E540" t="s">
        <v>55</v>
      </c>
      <c r="F540" t="s">
        <v>56</v>
      </c>
      <c r="G540" t="s">
        <v>30</v>
      </c>
      <c r="H540" t="s">
        <v>1158</v>
      </c>
      <c r="I540" t="s">
        <v>142</v>
      </c>
      <c r="J540">
        <v>295.75</v>
      </c>
      <c r="K540">
        <v>4</v>
      </c>
      <c r="L540" t="s">
        <v>35</v>
      </c>
      <c r="M540">
        <v>1</v>
      </c>
      <c r="N540">
        <v>1</v>
      </c>
      <c r="O540">
        <v>0</v>
      </c>
      <c r="P540" t="s">
        <v>44</v>
      </c>
      <c r="Q540" t="s">
        <v>37</v>
      </c>
      <c r="R540">
        <v>1</v>
      </c>
      <c r="S540">
        <v>10</v>
      </c>
      <c r="T540" t="s">
        <v>59</v>
      </c>
      <c r="U540" t="s">
        <v>38</v>
      </c>
      <c r="V540" t="s">
        <v>39</v>
      </c>
      <c r="W540" s="1">
        <v>45633</v>
      </c>
      <c r="X540" t="b">
        <v>1</v>
      </c>
      <c r="Y540" t="b">
        <v>1</v>
      </c>
      <c r="Z540" t="s">
        <v>40</v>
      </c>
      <c r="AA540" t="s">
        <v>53</v>
      </c>
      <c r="AB540">
        <v>8</v>
      </c>
    </row>
    <row r="541" spans="1:28" x14ac:dyDescent="0.25">
      <c r="A541" t="s">
        <v>1159</v>
      </c>
      <c r="B541">
        <v>36</v>
      </c>
      <c r="C541" t="s">
        <v>43</v>
      </c>
      <c r="D541" t="s">
        <v>44</v>
      </c>
      <c r="E541" t="s">
        <v>69</v>
      </c>
      <c r="F541" t="s">
        <v>45</v>
      </c>
      <c r="G541" t="s">
        <v>30</v>
      </c>
      <c r="H541" t="s">
        <v>1160</v>
      </c>
      <c r="I541" t="s">
        <v>58</v>
      </c>
      <c r="J541">
        <v>358.11</v>
      </c>
      <c r="K541">
        <v>11</v>
      </c>
      <c r="L541" t="s">
        <v>35</v>
      </c>
      <c r="M541">
        <v>5</v>
      </c>
      <c r="N541">
        <v>1</v>
      </c>
      <c r="O541">
        <v>0</v>
      </c>
      <c r="P541" t="s">
        <v>44</v>
      </c>
      <c r="Q541" t="s">
        <v>85</v>
      </c>
      <c r="R541">
        <v>0</v>
      </c>
      <c r="S541">
        <v>3</v>
      </c>
      <c r="T541" t="s">
        <v>44</v>
      </c>
      <c r="U541" t="s">
        <v>79</v>
      </c>
      <c r="V541" t="s">
        <v>39</v>
      </c>
      <c r="W541" s="1">
        <v>45538</v>
      </c>
      <c r="X541" t="b">
        <v>0</v>
      </c>
      <c r="Y541" t="b">
        <v>0</v>
      </c>
      <c r="Z541" t="s">
        <v>40</v>
      </c>
      <c r="AA541" t="s">
        <v>53</v>
      </c>
      <c r="AB541">
        <v>11</v>
      </c>
    </row>
    <row r="542" spans="1:28" x14ac:dyDescent="0.25">
      <c r="A542" t="s">
        <v>1161</v>
      </c>
      <c r="B542">
        <v>27</v>
      </c>
      <c r="C542" t="s">
        <v>29</v>
      </c>
      <c r="D542" t="s">
        <v>44</v>
      </c>
      <c r="E542" t="s">
        <v>69</v>
      </c>
      <c r="F542" t="s">
        <v>56</v>
      </c>
      <c r="G542" t="s">
        <v>44</v>
      </c>
      <c r="H542" t="s">
        <v>1162</v>
      </c>
      <c r="I542" t="s">
        <v>246</v>
      </c>
      <c r="J542">
        <v>63.6</v>
      </c>
      <c r="K542">
        <v>12</v>
      </c>
      <c r="L542" t="s">
        <v>35</v>
      </c>
      <c r="M542">
        <v>5</v>
      </c>
      <c r="N542">
        <v>1</v>
      </c>
      <c r="O542">
        <v>0</v>
      </c>
      <c r="P542" t="s">
        <v>44</v>
      </c>
      <c r="Q542" t="s">
        <v>50</v>
      </c>
      <c r="R542">
        <v>2</v>
      </c>
      <c r="S542">
        <v>1</v>
      </c>
      <c r="T542" t="s">
        <v>36</v>
      </c>
      <c r="U542" t="s">
        <v>79</v>
      </c>
      <c r="V542" t="s">
        <v>51</v>
      </c>
      <c r="W542" s="1">
        <v>45331</v>
      </c>
      <c r="X542" t="b">
        <v>0</v>
      </c>
      <c r="Y542" t="b">
        <v>1</v>
      </c>
      <c r="Z542" t="s">
        <v>52</v>
      </c>
      <c r="AA542" t="s">
        <v>41</v>
      </c>
      <c r="AB542">
        <v>6</v>
      </c>
    </row>
    <row r="543" spans="1:28" x14ac:dyDescent="0.25">
      <c r="A543" t="s">
        <v>1163</v>
      </c>
      <c r="B543">
        <v>24</v>
      </c>
      <c r="C543" t="s">
        <v>43</v>
      </c>
      <c r="D543" t="s">
        <v>44</v>
      </c>
      <c r="E543" t="s">
        <v>55</v>
      </c>
      <c r="F543" t="s">
        <v>45</v>
      </c>
      <c r="G543" t="s">
        <v>30</v>
      </c>
      <c r="H543" t="s">
        <v>1164</v>
      </c>
      <c r="I543" t="s">
        <v>82</v>
      </c>
      <c r="J543">
        <v>419.53</v>
      </c>
      <c r="K543">
        <v>3</v>
      </c>
      <c r="L543" t="s">
        <v>35</v>
      </c>
      <c r="M543">
        <v>1</v>
      </c>
      <c r="N543">
        <v>5</v>
      </c>
      <c r="O543">
        <v>2</v>
      </c>
      <c r="P543" t="s">
        <v>44</v>
      </c>
      <c r="Q543" t="s">
        <v>50</v>
      </c>
      <c r="R543">
        <v>2</v>
      </c>
      <c r="S543">
        <v>10</v>
      </c>
      <c r="T543" t="s">
        <v>49</v>
      </c>
      <c r="U543" t="s">
        <v>38</v>
      </c>
      <c r="V543" t="s">
        <v>66</v>
      </c>
      <c r="W543" s="1">
        <v>45378</v>
      </c>
      <c r="X543" t="b">
        <v>0</v>
      </c>
      <c r="Y543" t="b">
        <v>0</v>
      </c>
      <c r="Z543" t="s">
        <v>52</v>
      </c>
      <c r="AA543" t="s">
        <v>67</v>
      </c>
      <c r="AB543">
        <v>6</v>
      </c>
    </row>
    <row r="544" spans="1:28" x14ac:dyDescent="0.25">
      <c r="A544" t="s">
        <v>1165</v>
      </c>
      <c r="B544">
        <v>49</v>
      </c>
      <c r="C544" t="s">
        <v>274</v>
      </c>
      <c r="D544" t="s">
        <v>44</v>
      </c>
      <c r="E544" t="s">
        <v>69</v>
      </c>
      <c r="F544" t="s">
        <v>45</v>
      </c>
      <c r="G544" t="s">
        <v>30</v>
      </c>
      <c r="H544" t="s">
        <v>1166</v>
      </c>
      <c r="I544" t="s">
        <v>158</v>
      </c>
      <c r="J544">
        <v>491.92</v>
      </c>
      <c r="K544">
        <v>10</v>
      </c>
      <c r="L544" t="s">
        <v>48</v>
      </c>
      <c r="M544">
        <v>5</v>
      </c>
      <c r="N544">
        <v>3</v>
      </c>
      <c r="O544">
        <v>0</v>
      </c>
      <c r="P544" t="s">
        <v>49</v>
      </c>
      <c r="Q544" t="s">
        <v>85</v>
      </c>
      <c r="R544">
        <v>1</v>
      </c>
      <c r="S544">
        <v>1</v>
      </c>
      <c r="T544" t="s">
        <v>59</v>
      </c>
      <c r="U544" t="s">
        <v>79</v>
      </c>
      <c r="V544" t="s">
        <v>39</v>
      </c>
      <c r="W544" s="1">
        <v>45655</v>
      </c>
      <c r="X544" t="b">
        <v>0</v>
      </c>
      <c r="Y544" t="b">
        <v>0</v>
      </c>
      <c r="Z544" t="s">
        <v>52</v>
      </c>
      <c r="AA544" t="s">
        <v>53</v>
      </c>
      <c r="AB544">
        <v>2</v>
      </c>
    </row>
    <row r="545" spans="1:28" x14ac:dyDescent="0.25">
      <c r="A545" t="s">
        <v>1167</v>
      </c>
      <c r="B545">
        <v>21</v>
      </c>
      <c r="C545" t="s">
        <v>88</v>
      </c>
      <c r="D545" t="s">
        <v>30</v>
      </c>
      <c r="E545" t="s">
        <v>76</v>
      </c>
      <c r="F545" t="s">
        <v>45</v>
      </c>
      <c r="G545" t="s">
        <v>44</v>
      </c>
      <c r="H545" t="s">
        <v>1168</v>
      </c>
      <c r="I545" t="s">
        <v>90</v>
      </c>
      <c r="J545">
        <v>114.44</v>
      </c>
      <c r="K545">
        <v>4</v>
      </c>
      <c r="L545" t="s">
        <v>78</v>
      </c>
      <c r="M545">
        <v>5</v>
      </c>
      <c r="N545">
        <v>3</v>
      </c>
      <c r="O545">
        <v>2</v>
      </c>
      <c r="P545" t="s">
        <v>59</v>
      </c>
      <c r="Q545" t="s">
        <v>50</v>
      </c>
      <c r="R545">
        <v>1</v>
      </c>
      <c r="S545">
        <v>9</v>
      </c>
      <c r="T545" t="s">
        <v>36</v>
      </c>
      <c r="U545" t="s">
        <v>79</v>
      </c>
      <c r="V545" t="s">
        <v>39</v>
      </c>
      <c r="W545" s="1">
        <v>45585</v>
      </c>
      <c r="X545" t="b">
        <v>0</v>
      </c>
      <c r="Y545" t="b">
        <v>0</v>
      </c>
      <c r="Z545" t="s">
        <v>74</v>
      </c>
      <c r="AA545" t="s">
        <v>67</v>
      </c>
      <c r="AB545">
        <v>1</v>
      </c>
    </row>
    <row r="546" spans="1:28" x14ac:dyDescent="0.25">
      <c r="A546" t="s">
        <v>1169</v>
      </c>
      <c r="B546">
        <v>19</v>
      </c>
      <c r="C546" t="s">
        <v>29</v>
      </c>
      <c r="D546" t="s">
        <v>30</v>
      </c>
      <c r="E546" t="s">
        <v>31</v>
      </c>
      <c r="F546" t="s">
        <v>56</v>
      </c>
      <c r="G546" t="s">
        <v>44</v>
      </c>
      <c r="H546" t="s">
        <v>1170</v>
      </c>
      <c r="I546" t="s">
        <v>93</v>
      </c>
      <c r="J546">
        <v>388.82</v>
      </c>
      <c r="K546">
        <v>10</v>
      </c>
      <c r="L546" t="s">
        <v>35</v>
      </c>
      <c r="M546">
        <v>2</v>
      </c>
      <c r="N546">
        <v>3</v>
      </c>
      <c r="O546">
        <v>0</v>
      </c>
      <c r="P546" t="s">
        <v>59</v>
      </c>
      <c r="Q546" t="s">
        <v>85</v>
      </c>
      <c r="R546">
        <v>0</v>
      </c>
      <c r="S546">
        <v>8</v>
      </c>
      <c r="T546" t="s">
        <v>59</v>
      </c>
      <c r="U546" t="s">
        <v>79</v>
      </c>
      <c r="V546" t="s">
        <v>66</v>
      </c>
      <c r="W546" s="1">
        <v>45538</v>
      </c>
      <c r="X546" t="b">
        <v>0</v>
      </c>
      <c r="Y546" t="b">
        <v>0</v>
      </c>
      <c r="Z546" t="s">
        <v>40</v>
      </c>
      <c r="AA546" t="s">
        <v>41</v>
      </c>
      <c r="AB546">
        <v>6</v>
      </c>
    </row>
    <row r="547" spans="1:28" x14ac:dyDescent="0.25">
      <c r="A547" t="s">
        <v>1171</v>
      </c>
      <c r="B547">
        <v>23</v>
      </c>
      <c r="C547" t="s">
        <v>29</v>
      </c>
      <c r="D547" t="s">
        <v>30</v>
      </c>
      <c r="E547" t="s">
        <v>31</v>
      </c>
      <c r="F547" t="s">
        <v>32</v>
      </c>
      <c r="G547" t="s">
        <v>44</v>
      </c>
      <c r="H547" t="s">
        <v>1172</v>
      </c>
      <c r="I547" t="s">
        <v>93</v>
      </c>
      <c r="J547">
        <v>58.32</v>
      </c>
      <c r="K547">
        <v>7</v>
      </c>
      <c r="L547" t="s">
        <v>48</v>
      </c>
      <c r="M547">
        <v>1</v>
      </c>
      <c r="N547">
        <v>5</v>
      </c>
      <c r="O547">
        <v>0</v>
      </c>
      <c r="P547" t="s">
        <v>59</v>
      </c>
      <c r="Q547" t="s">
        <v>50</v>
      </c>
      <c r="R547">
        <v>1</v>
      </c>
      <c r="S547">
        <v>6</v>
      </c>
      <c r="T547" t="s">
        <v>59</v>
      </c>
      <c r="U547" t="s">
        <v>60</v>
      </c>
      <c r="V547" t="s">
        <v>51</v>
      </c>
      <c r="W547" s="1">
        <v>45364</v>
      </c>
      <c r="X547" t="b">
        <v>1</v>
      </c>
      <c r="Y547" t="b">
        <v>1</v>
      </c>
      <c r="Z547" t="s">
        <v>40</v>
      </c>
      <c r="AA547" t="s">
        <v>53</v>
      </c>
      <c r="AB547">
        <v>8</v>
      </c>
    </row>
    <row r="548" spans="1:28" x14ac:dyDescent="0.25">
      <c r="A548" t="s">
        <v>1173</v>
      </c>
      <c r="B548">
        <v>28</v>
      </c>
      <c r="C548" t="s">
        <v>29</v>
      </c>
      <c r="D548" t="s">
        <v>44</v>
      </c>
      <c r="E548" t="s">
        <v>76</v>
      </c>
      <c r="F548" t="s">
        <v>56</v>
      </c>
      <c r="G548" t="s">
        <v>44</v>
      </c>
      <c r="H548" t="s">
        <v>1174</v>
      </c>
      <c r="I548" t="s">
        <v>158</v>
      </c>
      <c r="J548">
        <v>464.76</v>
      </c>
      <c r="K548">
        <v>2</v>
      </c>
      <c r="L548" t="s">
        <v>35</v>
      </c>
      <c r="M548">
        <v>5</v>
      </c>
      <c r="N548">
        <v>1</v>
      </c>
      <c r="O548">
        <v>0</v>
      </c>
      <c r="P548" t="s">
        <v>59</v>
      </c>
      <c r="Q548" t="s">
        <v>85</v>
      </c>
      <c r="R548">
        <v>0</v>
      </c>
      <c r="S548">
        <v>3</v>
      </c>
      <c r="T548" t="s">
        <v>59</v>
      </c>
      <c r="U548" t="s">
        <v>79</v>
      </c>
      <c r="V548" t="s">
        <v>61</v>
      </c>
      <c r="W548" s="1">
        <v>45326</v>
      </c>
      <c r="X548" t="b">
        <v>0</v>
      </c>
      <c r="Y548" t="b">
        <v>1</v>
      </c>
      <c r="Z548" t="s">
        <v>40</v>
      </c>
      <c r="AA548" t="s">
        <v>41</v>
      </c>
      <c r="AB548">
        <v>3</v>
      </c>
    </row>
    <row r="549" spans="1:28" x14ac:dyDescent="0.25">
      <c r="A549" t="s">
        <v>1175</v>
      </c>
      <c r="B549">
        <v>27</v>
      </c>
      <c r="C549" t="s">
        <v>29</v>
      </c>
      <c r="D549" t="s">
        <v>44</v>
      </c>
      <c r="E549" t="s">
        <v>76</v>
      </c>
      <c r="F549" t="s">
        <v>56</v>
      </c>
      <c r="G549" t="s">
        <v>44</v>
      </c>
      <c r="H549" t="s">
        <v>1176</v>
      </c>
      <c r="I549" t="s">
        <v>65</v>
      </c>
      <c r="J549">
        <v>116.92</v>
      </c>
      <c r="K549">
        <v>7</v>
      </c>
      <c r="L549" t="s">
        <v>35</v>
      </c>
      <c r="M549">
        <v>2</v>
      </c>
      <c r="N549">
        <v>3</v>
      </c>
      <c r="O549">
        <v>2</v>
      </c>
      <c r="P549" t="s">
        <v>36</v>
      </c>
      <c r="Q549" t="s">
        <v>85</v>
      </c>
      <c r="R549">
        <v>2</v>
      </c>
      <c r="S549">
        <v>3</v>
      </c>
      <c r="T549" t="s">
        <v>59</v>
      </c>
      <c r="U549" t="s">
        <v>79</v>
      </c>
      <c r="V549" t="s">
        <v>61</v>
      </c>
      <c r="W549" s="1">
        <v>45382</v>
      </c>
      <c r="X549" t="b">
        <v>1</v>
      </c>
      <c r="Y549" t="b">
        <v>0</v>
      </c>
      <c r="Z549" t="s">
        <v>62</v>
      </c>
      <c r="AA549" t="s">
        <v>41</v>
      </c>
      <c r="AB549">
        <v>14</v>
      </c>
    </row>
    <row r="550" spans="1:28" x14ac:dyDescent="0.25">
      <c r="A550" t="s">
        <v>1177</v>
      </c>
      <c r="B550">
        <v>47</v>
      </c>
      <c r="C550" t="s">
        <v>29</v>
      </c>
      <c r="D550" t="s">
        <v>44</v>
      </c>
      <c r="E550" t="s">
        <v>76</v>
      </c>
      <c r="F550" t="s">
        <v>32</v>
      </c>
      <c r="G550" t="s">
        <v>30</v>
      </c>
      <c r="H550" t="s">
        <v>1178</v>
      </c>
      <c r="I550" t="s">
        <v>246</v>
      </c>
      <c r="J550">
        <v>396.76</v>
      </c>
      <c r="K550">
        <v>8</v>
      </c>
      <c r="L550" t="s">
        <v>78</v>
      </c>
      <c r="M550">
        <v>3</v>
      </c>
      <c r="N550">
        <v>3</v>
      </c>
      <c r="O550">
        <v>1</v>
      </c>
      <c r="P550" t="s">
        <v>36</v>
      </c>
      <c r="Q550" t="s">
        <v>85</v>
      </c>
      <c r="R550">
        <v>2</v>
      </c>
      <c r="S550">
        <v>4</v>
      </c>
      <c r="T550" t="s">
        <v>44</v>
      </c>
      <c r="U550" t="s">
        <v>38</v>
      </c>
      <c r="V550" t="s">
        <v>86</v>
      </c>
      <c r="W550" s="1">
        <v>45490</v>
      </c>
      <c r="X550" t="b">
        <v>1</v>
      </c>
      <c r="Y550" t="b">
        <v>1</v>
      </c>
      <c r="Z550" t="s">
        <v>74</v>
      </c>
      <c r="AA550" t="s">
        <v>67</v>
      </c>
      <c r="AB550">
        <v>8</v>
      </c>
    </row>
    <row r="551" spans="1:28" x14ac:dyDescent="0.25">
      <c r="A551" t="s">
        <v>1179</v>
      </c>
      <c r="B551">
        <v>20</v>
      </c>
      <c r="C551" t="s">
        <v>274</v>
      </c>
      <c r="D551" t="s">
        <v>44</v>
      </c>
      <c r="E551" t="s">
        <v>69</v>
      </c>
      <c r="F551" t="s">
        <v>56</v>
      </c>
      <c r="G551" t="s">
        <v>30</v>
      </c>
      <c r="H551" t="s">
        <v>1180</v>
      </c>
      <c r="I551" t="s">
        <v>114</v>
      </c>
      <c r="J551">
        <v>393.35</v>
      </c>
      <c r="K551">
        <v>7</v>
      </c>
      <c r="L551" t="s">
        <v>35</v>
      </c>
      <c r="M551">
        <v>3</v>
      </c>
      <c r="N551">
        <v>4</v>
      </c>
      <c r="O551">
        <v>2</v>
      </c>
      <c r="P551" t="s">
        <v>44</v>
      </c>
      <c r="Q551" t="s">
        <v>50</v>
      </c>
      <c r="R551">
        <v>0</v>
      </c>
      <c r="S551">
        <v>4</v>
      </c>
      <c r="T551" t="s">
        <v>44</v>
      </c>
      <c r="U551" t="s">
        <v>38</v>
      </c>
      <c r="V551" t="s">
        <v>39</v>
      </c>
      <c r="W551" s="1">
        <v>45459</v>
      </c>
      <c r="X551" t="b">
        <v>1</v>
      </c>
      <c r="Y551" t="b">
        <v>1</v>
      </c>
      <c r="Z551" t="s">
        <v>40</v>
      </c>
      <c r="AA551" t="s">
        <v>41</v>
      </c>
      <c r="AB551">
        <v>12</v>
      </c>
    </row>
    <row r="552" spans="1:28" x14ac:dyDescent="0.25">
      <c r="A552" t="s">
        <v>1181</v>
      </c>
      <c r="B552">
        <v>26</v>
      </c>
      <c r="C552" t="s">
        <v>29</v>
      </c>
      <c r="D552" t="s">
        <v>44</v>
      </c>
      <c r="E552" t="s">
        <v>55</v>
      </c>
      <c r="F552" t="s">
        <v>56</v>
      </c>
      <c r="G552" t="s">
        <v>44</v>
      </c>
      <c r="H552" t="s">
        <v>1182</v>
      </c>
      <c r="I552" t="s">
        <v>117</v>
      </c>
      <c r="J552">
        <v>114.03</v>
      </c>
      <c r="K552">
        <v>7</v>
      </c>
      <c r="L552" t="s">
        <v>35</v>
      </c>
      <c r="M552">
        <v>4</v>
      </c>
      <c r="N552">
        <v>3</v>
      </c>
      <c r="O552">
        <v>0</v>
      </c>
      <c r="P552" t="s">
        <v>49</v>
      </c>
      <c r="Q552" t="s">
        <v>50</v>
      </c>
      <c r="R552">
        <v>1</v>
      </c>
      <c r="S552">
        <v>10</v>
      </c>
      <c r="T552" t="s">
        <v>44</v>
      </c>
      <c r="U552" t="s">
        <v>38</v>
      </c>
      <c r="V552" t="s">
        <v>39</v>
      </c>
      <c r="W552" s="1">
        <v>45395</v>
      </c>
      <c r="X552" t="b">
        <v>1</v>
      </c>
      <c r="Y552" t="b">
        <v>1</v>
      </c>
      <c r="Z552" t="s">
        <v>74</v>
      </c>
      <c r="AA552" t="s">
        <v>41</v>
      </c>
      <c r="AB552">
        <v>6</v>
      </c>
    </row>
    <row r="553" spans="1:28" x14ac:dyDescent="0.25">
      <c r="A553" t="s">
        <v>1183</v>
      </c>
      <c r="B553">
        <v>49</v>
      </c>
      <c r="C553" t="s">
        <v>43</v>
      </c>
      <c r="D553" t="s">
        <v>44</v>
      </c>
      <c r="E553" t="s">
        <v>55</v>
      </c>
      <c r="F553" t="s">
        <v>32</v>
      </c>
      <c r="G553" t="s">
        <v>30</v>
      </c>
      <c r="H553" t="s">
        <v>1184</v>
      </c>
      <c r="I553" t="s">
        <v>142</v>
      </c>
      <c r="J553">
        <v>109.97</v>
      </c>
      <c r="K553">
        <v>4</v>
      </c>
      <c r="L553" t="s">
        <v>48</v>
      </c>
      <c r="M553">
        <v>4</v>
      </c>
      <c r="N553">
        <v>4</v>
      </c>
      <c r="O553">
        <v>1</v>
      </c>
      <c r="P553" t="s">
        <v>36</v>
      </c>
      <c r="Q553" t="s">
        <v>85</v>
      </c>
      <c r="R553">
        <v>1</v>
      </c>
      <c r="S553">
        <v>5</v>
      </c>
      <c r="T553" t="s">
        <v>36</v>
      </c>
      <c r="U553" t="s">
        <v>38</v>
      </c>
      <c r="V553" t="s">
        <v>39</v>
      </c>
      <c r="W553" s="1">
        <v>45516</v>
      </c>
      <c r="X553" t="b">
        <v>1</v>
      </c>
      <c r="Y553" t="b">
        <v>0</v>
      </c>
      <c r="Z553" t="s">
        <v>52</v>
      </c>
      <c r="AA553" t="s">
        <v>41</v>
      </c>
      <c r="AB553">
        <v>1</v>
      </c>
    </row>
    <row r="554" spans="1:28" x14ac:dyDescent="0.25">
      <c r="A554" t="s">
        <v>1185</v>
      </c>
      <c r="B554">
        <v>39</v>
      </c>
      <c r="C554" t="s">
        <v>29</v>
      </c>
      <c r="D554" t="s">
        <v>44</v>
      </c>
      <c r="E554" t="s">
        <v>69</v>
      </c>
      <c r="F554" t="s">
        <v>56</v>
      </c>
      <c r="G554" t="s">
        <v>44</v>
      </c>
      <c r="H554" t="s">
        <v>1186</v>
      </c>
      <c r="I554" t="s">
        <v>188</v>
      </c>
      <c r="J554">
        <v>310.23</v>
      </c>
      <c r="K554">
        <v>12</v>
      </c>
      <c r="L554" t="s">
        <v>48</v>
      </c>
      <c r="M554">
        <v>1</v>
      </c>
      <c r="N554">
        <v>4</v>
      </c>
      <c r="O554">
        <v>0</v>
      </c>
      <c r="P554" t="s">
        <v>36</v>
      </c>
      <c r="Q554" t="s">
        <v>37</v>
      </c>
      <c r="R554">
        <v>0</v>
      </c>
      <c r="S554">
        <v>6</v>
      </c>
      <c r="T554" t="s">
        <v>36</v>
      </c>
      <c r="U554" t="s">
        <v>79</v>
      </c>
      <c r="V554" t="s">
        <v>51</v>
      </c>
      <c r="W554" s="1">
        <v>45643</v>
      </c>
      <c r="X554" t="b">
        <v>1</v>
      </c>
      <c r="Y554" t="b">
        <v>0</v>
      </c>
      <c r="Z554" t="s">
        <v>62</v>
      </c>
      <c r="AA554" t="s">
        <v>67</v>
      </c>
      <c r="AB554">
        <v>3</v>
      </c>
    </row>
    <row r="555" spans="1:28" x14ac:dyDescent="0.25">
      <c r="A555" t="s">
        <v>1187</v>
      </c>
      <c r="B555">
        <v>22</v>
      </c>
      <c r="C555" t="s">
        <v>43</v>
      </c>
      <c r="D555" t="s">
        <v>30</v>
      </c>
      <c r="E555" t="s">
        <v>76</v>
      </c>
      <c r="F555" t="s">
        <v>56</v>
      </c>
      <c r="G555" t="s">
        <v>30</v>
      </c>
      <c r="H555" t="s">
        <v>1178</v>
      </c>
      <c r="I555" t="s">
        <v>194</v>
      </c>
      <c r="J555">
        <v>383.13</v>
      </c>
      <c r="K555">
        <v>3</v>
      </c>
      <c r="L555" t="s">
        <v>35</v>
      </c>
      <c r="M555">
        <v>4</v>
      </c>
      <c r="N555">
        <v>5</v>
      </c>
      <c r="O555">
        <v>0</v>
      </c>
      <c r="P555" t="s">
        <v>49</v>
      </c>
      <c r="Q555" t="s">
        <v>50</v>
      </c>
      <c r="R555">
        <v>2</v>
      </c>
      <c r="S555">
        <v>6</v>
      </c>
      <c r="T555" t="s">
        <v>36</v>
      </c>
      <c r="U555" t="s">
        <v>79</v>
      </c>
      <c r="V555" t="s">
        <v>86</v>
      </c>
      <c r="W555" s="1">
        <v>45560</v>
      </c>
      <c r="X555" t="b">
        <v>0</v>
      </c>
      <c r="Y555" t="b">
        <v>0</v>
      </c>
      <c r="Z555" t="s">
        <v>40</v>
      </c>
      <c r="AA555" t="s">
        <v>41</v>
      </c>
      <c r="AB555">
        <v>7</v>
      </c>
    </row>
    <row r="556" spans="1:28" x14ac:dyDescent="0.25">
      <c r="A556" t="s">
        <v>1188</v>
      </c>
      <c r="B556">
        <v>25</v>
      </c>
      <c r="C556" t="s">
        <v>43</v>
      </c>
      <c r="D556" t="s">
        <v>44</v>
      </c>
      <c r="E556" t="s">
        <v>55</v>
      </c>
      <c r="F556" t="s">
        <v>45</v>
      </c>
      <c r="G556" t="s">
        <v>30</v>
      </c>
      <c r="H556" t="s">
        <v>1189</v>
      </c>
      <c r="I556" t="s">
        <v>142</v>
      </c>
      <c r="J556">
        <v>434.86</v>
      </c>
      <c r="K556">
        <v>11</v>
      </c>
      <c r="L556" t="s">
        <v>48</v>
      </c>
      <c r="M556">
        <v>2</v>
      </c>
      <c r="N556">
        <v>5</v>
      </c>
      <c r="O556">
        <v>2</v>
      </c>
      <c r="P556" t="s">
        <v>44</v>
      </c>
      <c r="Q556" t="s">
        <v>37</v>
      </c>
      <c r="R556">
        <v>0</v>
      </c>
      <c r="S556">
        <v>4</v>
      </c>
      <c r="T556" t="s">
        <v>49</v>
      </c>
      <c r="U556" t="s">
        <v>60</v>
      </c>
      <c r="V556" t="s">
        <v>66</v>
      </c>
      <c r="W556" s="1">
        <v>45467</v>
      </c>
      <c r="X556" t="b">
        <v>1</v>
      </c>
      <c r="Y556" t="b">
        <v>0</v>
      </c>
      <c r="Z556" t="s">
        <v>62</v>
      </c>
      <c r="AA556" t="s">
        <v>67</v>
      </c>
      <c r="AB556">
        <v>11</v>
      </c>
    </row>
    <row r="557" spans="1:28" x14ac:dyDescent="0.25">
      <c r="A557" t="s">
        <v>1190</v>
      </c>
      <c r="B557">
        <v>30</v>
      </c>
      <c r="C557" t="s">
        <v>29</v>
      </c>
      <c r="D557" t="s">
        <v>30</v>
      </c>
      <c r="E557" t="s">
        <v>31</v>
      </c>
      <c r="F557" t="s">
        <v>32</v>
      </c>
      <c r="G557" t="s">
        <v>30</v>
      </c>
      <c r="H557" t="s">
        <v>1191</v>
      </c>
      <c r="I557" t="s">
        <v>58</v>
      </c>
      <c r="J557">
        <v>489.1</v>
      </c>
      <c r="K557">
        <v>9</v>
      </c>
      <c r="L557" t="s">
        <v>35</v>
      </c>
      <c r="M557">
        <v>3</v>
      </c>
      <c r="N557">
        <v>4</v>
      </c>
      <c r="O557">
        <v>1</v>
      </c>
      <c r="P557" t="s">
        <v>59</v>
      </c>
      <c r="Q557" t="s">
        <v>37</v>
      </c>
      <c r="R557">
        <v>2</v>
      </c>
      <c r="S557">
        <v>4</v>
      </c>
      <c r="T557" t="s">
        <v>49</v>
      </c>
      <c r="U557" t="s">
        <v>60</v>
      </c>
      <c r="V557" t="s">
        <v>39</v>
      </c>
      <c r="W557" s="1">
        <v>45614</v>
      </c>
      <c r="X557" t="b">
        <v>1</v>
      </c>
      <c r="Y557" t="b">
        <v>0</v>
      </c>
      <c r="Z557" t="s">
        <v>40</v>
      </c>
      <c r="AA557" t="s">
        <v>53</v>
      </c>
      <c r="AB557">
        <v>13</v>
      </c>
    </row>
    <row r="558" spans="1:28" x14ac:dyDescent="0.25">
      <c r="A558" t="s">
        <v>1192</v>
      </c>
      <c r="B558">
        <v>19</v>
      </c>
      <c r="C558" t="s">
        <v>212</v>
      </c>
      <c r="D558" t="s">
        <v>44</v>
      </c>
      <c r="E558" t="s">
        <v>31</v>
      </c>
      <c r="F558" t="s">
        <v>32</v>
      </c>
      <c r="G558" t="s">
        <v>44</v>
      </c>
      <c r="H558" t="s">
        <v>1193</v>
      </c>
      <c r="I558" t="s">
        <v>246</v>
      </c>
      <c r="J558">
        <v>288.14999999999998</v>
      </c>
      <c r="K558">
        <v>3</v>
      </c>
      <c r="L558" t="s">
        <v>78</v>
      </c>
      <c r="M558">
        <v>1</v>
      </c>
      <c r="N558">
        <v>4</v>
      </c>
      <c r="O558">
        <v>1</v>
      </c>
      <c r="P558" t="s">
        <v>44</v>
      </c>
      <c r="Q558" t="s">
        <v>37</v>
      </c>
      <c r="R558">
        <v>1</v>
      </c>
      <c r="S558">
        <v>4</v>
      </c>
      <c r="T558" t="s">
        <v>49</v>
      </c>
      <c r="U558" t="s">
        <v>38</v>
      </c>
      <c r="V558" t="s">
        <v>86</v>
      </c>
      <c r="W558" s="1">
        <v>45510</v>
      </c>
      <c r="X558" t="b">
        <v>1</v>
      </c>
      <c r="Y558" t="b">
        <v>0</v>
      </c>
      <c r="Z558" t="s">
        <v>62</v>
      </c>
      <c r="AA558" t="s">
        <v>53</v>
      </c>
      <c r="AB558">
        <v>13</v>
      </c>
    </row>
    <row r="559" spans="1:28" x14ac:dyDescent="0.25">
      <c r="A559" t="s">
        <v>1194</v>
      </c>
      <c r="B559">
        <v>35</v>
      </c>
      <c r="C559" t="s">
        <v>43</v>
      </c>
      <c r="D559" t="s">
        <v>44</v>
      </c>
      <c r="E559" t="s">
        <v>76</v>
      </c>
      <c r="F559" t="s">
        <v>56</v>
      </c>
      <c r="G559" t="s">
        <v>30</v>
      </c>
      <c r="H559" t="s">
        <v>1195</v>
      </c>
      <c r="I559" t="s">
        <v>183</v>
      </c>
      <c r="J559">
        <v>105.87</v>
      </c>
      <c r="K559">
        <v>12</v>
      </c>
      <c r="L559" t="s">
        <v>35</v>
      </c>
      <c r="M559">
        <v>3</v>
      </c>
      <c r="N559">
        <v>2</v>
      </c>
      <c r="O559">
        <v>1</v>
      </c>
      <c r="P559" t="s">
        <v>59</v>
      </c>
      <c r="Q559" t="s">
        <v>50</v>
      </c>
      <c r="R559">
        <v>1</v>
      </c>
      <c r="S559">
        <v>1</v>
      </c>
      <c r="T559" t="s">
        <v>49</v>
      </c>
      <c r="U559" t="s">
        <v>38</v>
      </c>
      <c r="V559" t="s">
        <v>86</v>
      </c>
      <c r="W559" s="1">
        <v>45550</v>
      </c>
      <c r="X559" t="b">
        <v>0</v>
      </c>
      <c r="Y559" t="b">
        <v>0</v>
      </c>
      <c r="Z559" t="s">
        <v>74</v>
      </c>
      <c r="AA559" t="s">
        <v>67</v>
      </c>
      <c r="AB559">
        <v>4</v>
      </c>
    </row>
    <row r="560" spans="1:28" x14ac:dyDescent="0.25">
      <c r="A560" t="s">
        <v>1196</v>
      </c>
      <c r="B560">
        <v>45</v>
      </c>
      <c r="C560" t="s">
        <v>43</v>
      </c>
      <c r="D560" t="s">
        <v>30</v>
      </c>
      <c r="E560" t="s">
        <v>69</v>
      </c>
      <c r="F560" t="s">
        <v>45</v>
      </c>
      <c r="G560" t="s">
        <v>44</v>
      </c>
      <c r="H560" t="s">
        <v>1197</v>
      </c>
      <c r="I560" t="s">
        <v>98</v>
      </c>
      <c r="J560">
        <v>163.4</v>
      </c>
      <c r="K560">
        <v>3</v>
      </c>
      <c r="L560" t="s">
        <v>48</v>
      </c>
      <c r="M560">
        <v>3</v>
      </c>
      <c r="N560">
        <v>5</v>
      </c>
      <c r="O560">
        <v>1</v>
      </c>
      <c r="P560" t="s">
        <v>44</v>
      </c>
      <c r="Q560" t="s">
        <v>37</v>
      </c>
      <c r="R560">
        <v>2</v>
      </c>
      <c r="S560">
        <v>10</v>
      </c>
      <c r="T560" t="s">
        <v>44</v>
      </c>
      <c r="U560" t="s">
        <v>79</v>
      </c>
      <c r="V560" t="s">
        <v>86</v>
      </c>
      <c r="W560" s="1">
        <v>45481</v>
      </c>
      <c r="X560" t="b">
        <v>1</v>
      </c>
      <c r="Y560" t="b">
        <v>0</v>
      </c>
      <c r="Z560" t="s">
        <v>74</v>
      </c>
      <c r="AA560" t="s">
        <v>53</v>
      </c>
      <c r="AB560">
        <v>7</v>
      </c>
    </row>
    <row r="561" spans="1:28" x14ac:dyDescent="0.25">
      <c r="A561" t="s">
        <v>1198</v>
      </c>
      <c r="B561">
        <v>20</v>
      </c>
      <c r="C561" t="s">
        <v>43</v>
      </c>
      <c r="D561" t="s">
        <v>44</v>
      </c>
      <c r="E561" t="s">
        <v>55</v>
      </c>
      <c r="F561" t="s">
        <v>45</v>
      </c>
      <c r="G561" t="s">
        <v>44</v>
      </c>
      <c r="H561" t="s">
        <v>1199</v>
      </c>
      <c r="I561" t="s">
        <v>34</v>
      </c>
      <c r="J561">
        <v>422.92</v>
      </c>
      <c r="K561">
        <v>6</v>
      </c>
      <c r="L561" t="s">
        <v>35</v>
      </c>
      <c r="M561">
        <v>4</v>
      </c>
      <c r="N561">
        <v>1</v>
      </c>
      <c r="O561">
        <v>2</v>
      </c>
      <c r="P561" t="s">
        <v>36</v>
      </c>
      <c r="Q561" t="s">
        <v>37</v>
      </c>
      <c r="R561">
        <v>0</v>
      </c>
      <c r="S561">
        <v>6</v>
      </c>
      <c r="T561" t="s">
        <v>59</v>
      </c>
      <c r="U561" t="s">
        <v>79</v>
      </c>
      <c r="V561" t="s">
        <v>61</v>
      </c>
      <c r="W561" s="1">
        <v>45582</v>
      </c>
      <c r="X561" t="b">
        <v>0</v>
      </c>
      <c r="Y561" t="b">
        <v>1</v>
      </c>
      <c r="Z561" t="s">
        <v>74</v>
      </c>
      <c r="AA561" t="s">
        <v>41</v>
      </c>
      <c r="AB561">
        <v>6</v>
      </c>
    </row>
    <row r="562" spans="1:28" x14ac:dyDescent="0.25">
      <c r="A562" t="s">
        <v>1200</v>
      </c>
      <c r="B562">
        <v>48</v>
      </c>
      <c r="C562" t="s">
        <v>43</v>
      </c>
      <c r="D562" t="s">
        <v>30</v>
      </c>
      <c r="E562" t="s">
        <v>76</v>
      </c>
      <c r="F562" t="s">
        <v>45</v>
      </c>
      <c r="G562" t="s">
        <v>44</v>
      </c>
      <c r="H562" t="s">
        <v>1201</v>
      </c>
      <c r="I562" t="s">
        <v>34</v>
      </c>
      <c r="J562">
        <v>361.48</v>
      </c>
      <c r="K562">
        <v>10</v>
      </c>
      <c r="L562" t="s">
        <v>78</v>
      </c>
      <c r="M562">
        <v>1</v>
      </c>
      <c r="N562">
        <v>4</v>
      </c>
      <c r="O562">
        <v>1</v>
      </c>
      <c r="P562" t="s">
        <v>49</v>
      </c>
      <c r="Q562" t="s">
        <v>37</v>
      </c>
      <c r="R562">
        <v>2</v>
      </c>
      <c r="S562">
        <v>9</v>
      </c>
      <c r="T562" t="s">
        <v>44</v>
      </c>
      <c r="U562" t="s">
        <v>38</v>
      </c>
      <c r="V562" t="s">
        <v>86</v>
      </c>
      <c r="W562" s="1">
        <v>45459</v>
      </c>
      <c r="X562" t="b">
        <v>1</v>
      </c>
      <c r="Y562" t="b">
        <v>1</v>
      </c>
      <c r="Z562" t="s">
        <v>52</v>
      </c>
      <c r="AA562" t="s">
        <v>67</v>
      </c>
      <c r="AB562">
        <v>13</v>
      </c>
    </row>
    <row r="563" spans="1:28" x14ac:dyDescent="0.25">
      <c r="A563" t="s">
        <v>1202</v>
      </c>
      <c r="B563">
        <v>23</v>
      </c>
      <c r="C563" t="s">
        <v>43</v>
      </c>
      <c r="D563" t="s">
        <v>30</v>
      </c>
      <c r="E563" t="s">
        <v>55</v>
      </c>
      <c r="F563" t="s">
        <v>56</v>
      </c>
      <c r="G563" t="s">
        <v>44</v>
      </c>
      <c r="H563" t="s">
        <v>1203</v>
      </c>
      <c r="I563" t="s">
        <v>107</v>
      </c>
      <c r="J563">
        <v>270.82</v>
      </c>
      <c r="K563">
        <v>2</v>
      </c>
      <c r="L563" t="s">
        <v>48</v>
      </c>
      <c r="M563">
        <v>4</v>
      </c>
      <c r="N563">
        <v>2</v>
      </c>
      <c r="O563">
        <v>0</v>
      </c>
      <c r="P563" t="s">
        <v>36</v>
      </c>
      <c r="Q563" t="s">
        <v>37</v>
      </c>
      <c r="R563">
        <v>1</v>
      </c>
      <c r="S563">
        <v>8</v>
      </c>
      <c r="T563" t="s">
        <v>59</v>
      </c>
      <c r="U563" t="s">
        <v>38</v>
      </c>
      <c r="V563" t="s">
        <v>66</v>
      </c>
      <c r="W563" s="1">
        <v>45595</v>
      </c>
      <c r="X563" t="b">
        <v>1</v>
      </c>
      <c r="Y563" t="b">
        <v>0</v>
      </c>
      <c r="Z563" t="s">
        <v>52</v>
      </c>
      <c r="AA563" t="s">
        <v>53</v>
      </c>
      <c r="AB563">
        <v>13</v>
      </c>
    </row>
    <row r="564" spans="1:28" x14ac:dyDescent="0.25">
      <c r="A564" t="s">
        <v>1204</v>
      </c>
      <c r="B564">
        <v>49</v>
      </c>
      <c r="C564" t="s">
        <v>29</v>
      </c>
      <c r="D564" t="s">
        <v>44</v>
      </c>
      <c r="E564" t="s">
        <v>69</v>
      </c>
      <c r="F564" t="s">
        <v>45</v>
      </c>
      <c r="G564" t="s">
        <v>44</v>
      </c>
      <c r="H564" t="s">
        <v>1205</v>
      </c>
      <c r="I564" t="s">
        <v>126</v>
      </c>
      <c r="J564">
        <v>372.26</v>
      </c>
      <c r="K564">
        <v>11</v>
      </c>
      <c r="L564" t="s">
        <v>48</v>
      </c>
      <c r="M564">
        <v>1</v>
      </c>
      <c r="N564">
        <v>5</v>
      </c>
      <c r="O564">
        <v>2</v>
      </c>
      <c r="P564" t="s">
        <v>36</v>
      </c>
      <c r="Q564" t="s">
        <v>85</v>
      </c>
      <c r="R564">
        <v>1</v>
      </c>
      <c r="S564">
        <v>8</v>
      </c>
      <c r="T564" t="s">
        <v>44</v>
      </c>
      <c r="U564" t="s">
        <v>60</v>
      </c>
      <c r="V564" t="s">
        <v>51</v>
      </c>
      <c r="W564" s="1">
        <v>45517</v>
      </c>
      <c r="X564" t="b">
        <v>0</v>
      </c>
      <c r="Y564" t="b">
        <v>1</v>
      </c>
      <c r="Z564" t="s">
        <v>52</v>
      </c>
      <c r="AA564" t="s">
        <v>67</v>
      </c>
      <c r="AB564">
        <v>6</v>
      </c>
    </row>
    <row r="565" spans="1:28" x14ac:dyDescent="0.25">
      <c r="A565" t="s">
        <v>1206</v>
      </c>
      <c r="B565">
        <v>23</v>
      </c>
      <c r="C565" t="s">
        <v>29</v>
      </c>
      <c r="D565" t="s">
        <v>30</v>
      </c>
      <c r="E565" t="s">
        <v>69</v>
      </c>
      <c r="F565" t="s">
        <v>32</v>
      </c>
      <c r="G565" t="s">
        <v>44</v>
      </c>
      <c r="H565" t="s">
        <v>1207</v>
      </c>
      <c r="I565" t="s">
        <v>117</v>
      </c>
      <c r="J565">
        <v>208.59</v>
      </c>
      <c r="K565">
        <v>3</v>
      </c>
      <c r="L565" t="s">
        <v>35</v>
      </c>
      <c r="M565">
        <v>1</v>
      </c>
      <c r="N565">
        <v>1</v>
      </c>
      <c r="O565">
        <v>2</v>
      </c>
      <c r="P565" t="s">
        <v>49</v>
      </c>
      <c r="Q565" t="s">
        <v>37</v>
      </c>
      <c r="R565">
        <v>0</v>
      </c>
      <c r="S565">
        <v>4</v>
      </c>
      <c r="T565" t="s">
        <v>36</v>
      </c>
      <c r="U565" t="s">
        <v>79</v>
      </c>
      <c r="V565" t="s">
        <v>51</v>
      </c>
      <c r="W565" s="1">
        <v>45538</v>
      </c>
      <c r="X565" t="b">
        <v>1</v>
      </c>
      <c r="Y565" t="b">
        <v>0</v>
      </c>
      <c r="Z565" t="s">
        <v>62</v>
      </c>
      <c r="AA565" t="s">
        <v>67</v>
      </c>
      <c r="AB565">
        <v>1</v>
      </c>
    </row>
    <row r="566" spans="1:28" x14ac:dyDescent="0.25">
      <c r="A566" t="s">
        <v>1208</v>
      </c>
      <c r="B566">
        <v>39</v>
      </c>
      <c r="C566" t="s">
        <v>43</v>
      </c>
      <c r="D566" t="s">
        <v>30</v>
      </c>
      <c r="E566" t="s">
        <v>69</v>
      </c>
      <c r="F566" t="s">
        <v>45</v>
      </c>
      <c r="G566" t="s">
        <v>44</v>
      </c>
      <c r="H566" t="s">
        <v>1209</v>
      </c>
      <c r="I566" t="s">
        <v>34</v>
      </c>
      <c r="J566">
        <v>163.22</v>
      </c>
      <c r="K566">
        <v>8</v>
      </c>
      <c r="L566" t="s">
        <v>78</v>
      </c>
      <c r="M566">
        <v>5</v>
      </c>
      <c r="N566">
        <v>3</v>
      </c>
      <c r="O566">
        <v>0</v>
      </c>
      <c r="P566" t="s">
        <v>44</v>
      </c>
      <c r="Q566" t="s">
        <v>37</v>
      </c>
      <c r="R566">
        <v>1</v>
      </c>
      <c r="S566">
        <v>3</v>
      </c>
      <c r="T566" t="s">
        <v>36</v>
      </c>
      <c r="U566" t="s">
        <v>60</v>
      </c>
      <c r="V566" t="s">
        <v>51</v>
      </c>
      <c r="W566" s="1">
        <v>45474</v>
      </c>
      <c r="X566" t="b">
        <v>0</v>
      </c>
      <c r="Y566" t="b">
        <v>1</v>
      </c>
      <c r="Z566" t="s">
        <v>52</v>
      </c>
      <c r="AA566" t="s">
        <v>41</v>
      </c>
      <c r="AB566">
        <v>8</v>
      </c>
    </row>
    <row r="567" spans="1:28" x14ac:dyDescent="0.25">
      <c r="A567" t="s">
        <v>1210</v>
      </c>
      <c r="B567">
        <v>45</v>
      </c>
      <c r="C567" t="s">
        <v>43</v>
      </c>
      <c r="D567" t="s">
        <v>44</v>
      </c>
      <c r="E567" t="s">
        <v>31</v>
      </c>
      <c r="F567" t="s">
        <v>45</v>
      </c>
      <c r="G567" t="s">
        <v>44</v>
      </c>
      <c r="H567" t="s">
        <v>1211</v>
      </c>
      <c r="I567" t="s">
        <v>101</v>
      </c>
      <c r="J567">
        <v>364.98</v>
      </c>
      <c r="K567">
        <v>7</v>
      </c>
      <c r="L567" t="s">
        <v>48</v>
      </c>
      <c r="M567">
        <v>4</v>
      </c>
      <c r="N567">
        <v>1</v>
      </c>
      <c r="O567">
        <v>0</v>
      </c>
      <c r="P567" t="s">
        <v>59</v>
      </c>
      <c r="Q567" t="s">
        <v>85</v>
      </c>
      <c r="R567">
        <v>0</v>
      </c>
      <c r="S567">
        <v>1</v>
      </c>
      <c r="T567" t="s">
        <v>36</v>
      </c>
      <c r="U567" t="s">
        <v>79</v>
      </c>
      <c r="V567" t="s">
        <v>86</v>
      </c>
      <c r="W567" s="1">
        <v>45423</v>
      </c>
      <c r="X567" t="b">
        <v>1</v>
      </c>
      <c r="Y567" t="b">
        <v>0</v>
      </c>
      <c r="Z567" t="s">
        <v>52</v>
      </c>
      <c r="AA567" t="s">
        <v>53</v>
      </c>
      <c r="AB567">
        <v>8</v>
      </c>
    </row>
    <row r="568" spans="1:28" x14ac:dyDescent="0.25">
      <c r="A568" t="s">
        <v>1212</v>
      </c>
      <c r="B568">
        <v>31</v>
      </c>
      <c r="C568" t="s">
        <v>352</v>
      </c>
      <c r="D568" t="s">
        <v>44</v>
      </c>
      <c r="E568" t="s">
        <v>76</v>
      </c>
      <c r="F568" t="s">
        <v>56</v>
      </c>
      <c r="G568" t="s">
        <v>44</v>
      </c>
      <c r="H568" t="s">
        <v>1213</v>
      </c>
      <c r="I568" t="s">
        <v>158</v>
      </c>
      <c r="J568">
        <v>142.43</v>
      </c>
      <c r="K568">
        <v>3</v>
      </c>
      <c r="L568" t="s">
        <v>48</v>
      </c>
      <c r="M568">
        <v>2</v>
      </c>
      <c r="N568">
        <v>5</v>
      </c>
      <c r="O568">
        <v>2</v>
      </c>
      <c r="P568" t="s">
        <v>44</v>
      </c>
      <c r="Q568" t="s">
        <v>85</v>
      </c>
      <c r="R568">
        <v>1</v>
      </c>
      <c r="S568">
        <v>9</v>
      </c>
      <c r="T568" t="s">
        <v>36</v>
      </c>
      <c r="U568" t="s">
        <v>79</v>
      </c>
      <c r="V568" t="s">
        <v>51</v>
      </c>
      <c r="W568" s="1">
        <v>45563</v>
      </c>
      <c r="X568" t="b">
        <v>1</v>
      </c>
      <c r="Y568" t="b">
        <v>0</v>
      </c>
      <c r="Z568" t="s">
        <v>74</v>
      </c>
      <c r="AA568" t="s">
        <v>67</v>
      </c>
      <c r="AB568">
        <v>8</v>
      </c>
    </row>
    <row r="569" spans="1:28" x14ac:dyDescent="0.25">
      <c r="A569" t="s">
        <v>1214</v>
      </c>
      <c r="B569">
        <v>19</v>
      </c>
      <c r="C569" t="s">
        <v>29</v>
      </c>
      <c r="D569" t="s">
        <v>30</v>
      </c>
      <c r="E569" t="s">
        <v>31</v>
      </c>
      <c r="F569" t="s">
        <v>32</v>
      </c>
      <c r="G569" t="s">
        <v>44</v>
      </c>
      <c r="H569" t="s">
        <v>1215</v>
      </c>
      <c r="I569" t="s">
        <v>117</v>
      </c>
      <c r="J569">
        <v>449.72</v>
      </c>
      <c r="K569">
        <v>3</v>
      </c>
      <c r="L569" t="s">
        <v>35</v>
      </c>
      <c r="M569">
        <v>3</v>
      </c>
      <c r="N569">
        <v>3</v>
      </c>
      <c r="O569">
        <v>0</v>
      </c>
      <c r="P569" t="s">
        <v>44</v>
      </c>
      <c r="Q569" t="s">
        <v>37</v>
      </c>
      <c r="R569">
        <v>1</v>
      </c>
      <c r="S569">
        <v>9</v>
      </c>
      <c r="T569" t="s">
        <v>36</v>
      </c>
      <c r="U569" t="s">
        <v>60</v>
      </c>
      <c r="V569" t="s">
        <v>66</v>
      </c>
      <c r="W569" s="1">
        <v>45340</v>
      </c>
      <c r="X569" t="b">
        <v>1</v>
      </c>
      <c r="Y569" t="b">
        <v>1</v>
      </c>
      <c r="Z569" t="s">
        <v>52</v>
      </c>
      <c r="AA569" t="s">
        <v>67</v>
      </c>
      <c r="AB569">
        <v>3</v>
      </c>
    </row>
    <row r="570" spans="1:28" x14ac:dyDescent="0.25">
      <c r="A570" t="s">
        <v>1216</v>
      </c>
      <c r="B570">
        <v>27</v>
      </c>
      <c r="C570" t="s">
        <v>43</v>
      </c>
      <c r="D570" t="s">
        <v>30</v>
      </c>
      <c r="E570" t="s">
        <v>55</v>
      </c>
      <c r="F570" t="s">
        <v>32</v>
      </c>
      <c r="G570" t="s">
        <v>44</v>
      </c>
      <c r="H570" t="s">
        <v>1217</v>
      </c>
      <c r="I570" t="s">
        <v>34</v>
      </c>
      <c r="J570">
        <v>241.56</v>
      </c>
      <c r="K570">
        <v>12</v>
      </c>
      <c r="L570" t="s">
        <v>35</v>
      </c>
      <c r="M570">
        <v>3</v>
      </c>
      <c r="N570">
        <v>2</v>
      </c>
      <c r="O570">
        <v>0</v>
      </c>
      <c r="P570" t="s">
        <v>44</v>
      </c>
      <c r="Q570" t="s">
        <v>50</v>
      </c>
      <c r="R570">
        <v>0</v>
      </c>
      <c r="S570">
        <v>5</v>
      </c>
      <c r="T570" t="s">
        <v>44</v>
      </c>
      <c r="U570" t="s">
        <v>38</v>
      </c>
      <c r="V570" t="s">
        <v>51</v>
      </c>
      <c r="W570" s="1">
        <v>45624</v>
      </c>
      <c r="X570" t="b">
        <v>1</v>
      </c>
      <c r="Y570" t="b">
        <v>0</v>
      </c>
      <c r="Z570" t="s">
        <v>40</v>
      </c>
      <c r="AA570" t="s">
        <v>67</v>
      </c>
      <c r="AB570">
        <v>2</v>
      </c>
    </row>
    <row r="571" spans="1:28" x14ac:dyDescent="0.25">
      <c r="A571" t="s">
        <v>1218</v>
      </c>
      <c r="B571">
        <v>32</v>
      </c>
      <c r="C571" t="s">
        <v>88</v>
      </c>
      <c r="D571" t="s">
        <v>30</v>
      </c>
      <c r="E571" t="s">
        <v>76</v>
      </c>
      <c r="F571" t="s">
        <v>56</v>
      </c>
      <c r="G571" t="s">
        <v>44</v>
      </c>
      <c r="H571" t="s">
        <v>1219</v>
      </c>
      <c r="I571" t="s">
        <v>183</v>
      </c>
      <c r="J571">
        <v>249.73</v>
      </c>
      <c r="K571">
        <v>5</v>
      </c>
      <c r="L571" t="s">
        <v>35</v>
      </c>
      <c r="M571">
        <v>1</v>
      </c>
      <c r="N571">
        <v>4</v>
      </c>
      <c r="O571">
        <v>2</v>
      </c>
      <c r="P571" t="s">
        <v>59</v>
      </c>
      <c r="Q571" t="s">
        <v>85</v>
      </c>
      <c r="R571">
        <v>1</v>
      </c>
      <c r="S571">
        <v>4</v>
      </c>
      <c r="T571" t="s">
        <v>59</v>
      </c>
      <c r="U571" t="s">
        <v>79</v>
      </c>
      <c r="V571" t="s">
        <v>86</v>
      </c>
      <c r="W571" s="1">
        <v>45611</v>
      </c>
      <c r="X571" t="b">
        <v>1</v>
      </c>
      <c r="Y571" t="b">
        <v>0</v>
      </c>
      <c r="Z571" t="s">
        <v>52</v>
      </c>
      <c r="AA571" t="s">
        <v>41</v>
      </c>
      <c r="AB571">
        <v>1</v>
      </c>
    </row>
    <row r="572" spans="1:28" x14ac:dyDescent="0.25">
      <c r="A572" t="s">
        <v>1220</v>
      </c>
      <c r="B572">
        <v>24</v>
      </c>
      <c r="C572" t="s">
        <v>43</v>
      </c>
      <c r="D572" t="s">
        <v>30</v>
      </c>
      <c r="E572" t="s">
        <v>31</v>
      </c>
      <c r="F572" t="s">
        <v>56</v>
      </c>
      <c r="G572" t="s">
        <v>44</v>
      </c>
      <c r="H572" t="s">
        <v>1221</v>
      </c>
      <c r="I572" t="s">
        <v>65</v>
      </c>
      <c r="J572">
        <v>437.3</v>
      </c>
      <c r="K572">
        <v>7</v>
      </c>
      <c r="L572" t="s">
        <v>35</v>
      </c>
      <c r="M572">
        <v>2</v>
      </c>
      <c r="N572">
        <v>4</v>
      </c>
      <c r="O572">
        <v>0</v>
      </c>
      <c r="P572" t="s">
        <v>44</v>
      </c>
      <c r="Q572" t="s">
        <v>37</v>
      </c>
      <c r="R572">
        <v>0</v>
      </c>
      <c r="S572">
        <v>7</v>
      </c>
      <c r="T572" t="s">
        <v>36</v>
      </c>
      <c r="U572" t="s">
        <v>38</v>
      </c>
      <c r="V572" t="s">
        <v>86</v>
      </c>
      <c r="W572" s="1">
        <v>45497</v>
      </c>
      <c r="X572" t="b">
        <v>1</v>
      </c>
      <c r="Y572" t="b">
        <v>1</v>
      </c>
      <c r="Z572" t="s">
        <v>62</v>
      </c>
      <c r="AA572" t="s">
        <v>41</v>
      </c>
      <c r="AB572">
        <v>1</v>
      </c>
    </row>
    <row r="573" spans="1:28" x14ac:dyDescent="0.25">
      <c r="A573" t="s">
        <v>1222</v>
      </c>
      <c r="B573">
        <v>22</v>
      </c>
      <c r="C573" t="s">
        <v>43</v>
      </c>
      <c r="D573" t="s">
        <v>30</v>
      </c>
      <c r="E573" t="s">
        <v>31</v>
      </c>
      <c r="F573" t="s">
        <v>56</v>
      </c>
      <c r="G573" t="s">
        <v>44</v>
      </c>
      <c r="H573" t="s">
        <v>1223</v>
      </c>
      <c r="I573" t="s">
        <v>158</v>
      </c>
      <c r="J573">
        <v>277.29000000000002</v>
      </c>
      <c r="K573">
        <v>4</v>
      </c>
      <c r="L573" t="s">
        <v>35</v>
      </c>
      <c r="M573">
        <v>1</v>
      </c>
      <c r="N573">
        <v>4</v>
      </c>
      <c r="O573">
        <v>1</v>
      </c>
      <c r="P573" t="s">
        <v>36</v>
      </c>
      <c r="Q573" t="s">
        <v>37</v>
      </c>
      <c r="R573">
        <v>2</v>
      </c>
      <c r="S573">
        <v>8</v>
      </c>
      <c r="T573" t="s">
        <v>59</v>
      </c>
      <c r="U573" t="s">
        <v>60</v>
      </c>
      <c r="V573" t="s">
        <v>39</v>
      </c>
      <c r="W573" s="1">
        <v>45318</v>
      </c>
      <c r="X573" t="b">
        <v>1</v>
      </c>
      <c r="Y573" t="b">
        <v>1</v>
      </c>
      <c r="Z573" t="s">
        <v>52</v>
      </c>
      <c r="AA573" t="s">
        <v>41</v>
      </c>
      <c r="AB573">
        <v>4</v>
      </c>
    </row>
    <row r="574" spans="1:28" x14ac:dyDescent="0.25">
      <c r="A574" t="s">
        <v>1224</v>
      </c>
      <c r="B574">
        <v>46</v>
      </c>
      <c r="C574" t="s">
        <v>43</v>
      </c>
      <c r="D574" t="s">
        <v>44</v>
      </c>
      <c r="E574" t="s">
        <v>55</v>
      </c>
      <c r="F574" t="s">
        <v>45</v>
      </c>
      <c r="G574" t="s">
        <v>30</v>
      </c>
      <c r="H574" t="s">
        <v>1225</v>
      </c>
      <c r="I574" t="s">
        <v>117</v>
      </c>
      <c r="J574">
        <v>445.93</v>
      </c>
      <c r="K574">
        <v>6</v>
      </c>
      <c r="L574" t="s">
        <v>78</v>
      </c>
      <c r="M574">
        <v>5</v>
      </c>
      <c r="N574">
        <v>5</v>
      </c>
      <c r="O574">
        <v>2</v>
      </c>
      <c r="P574" t="s">
        <v>44</v>
      </c>
      <c r="Q574" t="s">
        <v>37</v>
      </c>
      <c r="R574">
        <v>2</v>
      </c>
      <c r="S574">
        <v>4</v>
      </c>
      <c r="T574" t="s">
        <v>44</v>
      </c>
      <c r="U574" t="s">
        <v>60</v>
      </c>
      <c r="V574" t="s">
        <v>61</v>
      </c>
      <c r="W574" s="1">
        <v>45427</v>
      </c>
      <c r="X574" t="b">
        <v>0</v>
      </c>
      <c r="Y574" t="b">
        <v>1</v>
      </c>
      <c r="Z574" t="s">
        <v>40</v>
      </c>
      <c r="AA574" t="s">
        <v>41</v>
      </c>
      <c r="AB574">
        <v>13</v>
      </c>
    </row>
    <row r="575" spans="1:28" x14ac:dyDescent="0.25">
      <c r="A575" t="s">
        <v>1226</v>
      </c>
      <c r="B575">
        <v>37</v>
      </c>
      <c r="C575" t="s">
        <v>29</v>
      </c>
      <c r="D575" t="s">
        <v>30</v>
      </c>
      <c r="E575" t="s">
        <v>31</v>
      </c>
      <c r="F575" t="s">
        <v>32</v>
      </c>
      <c r="G575" t="s">
        <v>30</v>
      </c>
      <c r="H575" t="s">
        <v>1227</v>
      </c>
      <c r="I575" t="s">
        <v>120</v>
      </c>
      <c r="J575">
        <v>242.79</v>
      </c>
      <c r="K575">
        <v>6</v>
      </c>
      <c r="L575" t="s">
        <v>35</v>
      </c>
      <c r="M575">
        <v>2</v>
      </c>
      <c r="N575">
        <v>4</v>
      </c>
      <c r="O575">
        <v>0</v>
      </c>
      <c r="P575" t="s">
        <v>44</v>
      </c>
      <c r="Q575" t="s">
        <v>37</v>
      </c>
      <c r="R575">
        <v>1</v>
      </c>
      <c r="S575">
        <v>7</v>
      </c>
      <c r="T575" t="s">
        <v>36</v>
      </c>
      <c r="U575" t="s">
        <v>60</v>
      </c>
      <c r="V575" t="s">
        <v>66</v>
      </c>
      <c r="W575" s="1">
        <v>45311</v>
      </c>
      <c r="X575" t="b">
        <v>1</v>
      </c>
      <c r="Y575" t="b">
        <v>0</v>
      </c>
      <c r="Z575" t="s">
        <v>62</v>
      </c>
      <c r="AA575" t="s">
        <v>67</v>
      </c>
      <c r="AB575">
        <v>7</v>
      </c>
    </row>
    <row r="576" spans="1:28" x14ac:dyDescent="0.25">
      <c r="A576" t="s">
        <v>1228</v>
      </c>
      <c r="B576">
        <v>34</v>
      </c>
      <c r="C576" t="s">
        <v>43</v>
      </c>
      <c r="D576" t="s">
        <v>44</v>
      </c>
      <c r="E576" t="s">
        <v>55</v>
      </c>
      <c r="F576" t="s">
        <v>32</v>
      </c>
      <c r="G576" t="s">
        <v>44</v>
      </c>
      <c r="H576" t="s">
        <v>1229</v>
      </c>
      <c r="I576" t="s">
        <v>194</v>
      </c>
      <c r="J576">
        <v>393.09</v>
      </c>
      <c r="K576">
        <v>8</v>
      </c>
      <c r="L576" t="s">
        <v>78</v>
      </c>
      <c r="M576">
        <v>5</v>
      </c>
      <c r="N576">
        <v>3</v>
      </c>
      <c r="O576">
        <v>2</v>
      </c>
      <c r="P576" t="s">
        <v>49</v>
      </c>
      <c r="Q576" t="s">
        <v>37</v>
      </c>
      <c r="R576">
        <v>0</v>
      </c>
      <c r="S576">
        <v>3</v>
      </c>
      <c r="T576" t="s">
        <v>49</v>
      </c>
      <c r="U576" t="s">
        <v>38</v>
      </c>
      <c r="V576" t="s">
        <v>86</v>
      </c>
      <c r="W576" s="1">
        <v>45393</v>
      </c>
      <c r="X576" t="b">
        <v>0</v>
      </c>
      <c r="Y576" t="b">
        <v>1</v>
      </c>
      <c r="Z576" t="s">
        <v>74</v>
      </c>
      <c r="AA576" t="s">
        <v>53</v>
      </c>
      <c r="AB576">
        <v>1</v>
      </c>
    </row>
    <row r="577" spans="1:28" x14ac:dyDescent="0.25">
      <c r="A577" t="s">
        <v>1230</v>
      </c>
      <c r="B577">
        <v>32</v>
      </c>
      <c r="C577" t="s">
        <v>43</v>
      </c>
      <c r="D577" t="s">
        <v>30</v>
      </c>
      <c r="E577" t="s">
        <v>55</v>
      </c>
      <c r="F577" t="s">
        <v>56</v>
      </c>
      <c r="G577" t="s">
        <v>44</v>
      </c>
      <c r="H577" t="s">
        <v>1231</v>
      </c>
      <c r="I577" t="s">
        <v>158</v>
      </c>
      <c r="J577">
        <v>167.61</v>
      </c>
      <c r="K577">
        <v>2</v>
      </c>
      <c r="L577" t="s">
        <v>78</v>
      </c>
      <c r="M577">
        <v>3</v>
      </c>
      <c r="N577">
        <v>5</v>
      </c>
      <c r="O577">
        <v>1</v>
      </c>
      <c r="P577" t="s">
        <v>36</v>
      </c>
      <c r="Q577" t="s">
        <v>50</v>
      </c>
      <c r="R577">
        <v>2</v>
      </c>
      <c r="S577">
        <v>2</v>
      </c>
      <c r="T577" t="s">
        <v>59</v>
      </c>
      <c r="U577" t="s">
        <v>79</v>
      </c>
      <c r="V577" t="s">
        <v>66</v>
      </c>
      <c r="W577" s="1">
        <v>45606</v>
      </c>
      <c r="X577" t="b">
        <v>1</v>
      </c>
      <c r="Y577" t="b">
        <v>0</v>
      </c>
      <c r="Z577" t="s">
        <v>40</v>
      </c>
      <c r="AA577" t="s">
        <v>41</v>
      </c>
      <c r="AB577">
        <v>13</v>
      </c>
    </row>
    <row r="578" spans="1:28" x14ac:dyDescent="0.25">
      <c r="A578" t="s">
        <v>1232</v>
      </c>
      <c r="B578">
        <v>44</v>
      </c>
      <c r="C578" t="s">
        <v>43</v>
      </c>
      <c r="D578" t="s">
        <v>44</v>
      </c>
      <c r="E578" t="s">
        <v>76</v>
      </c>
      <c r="F578" t="s">
        <v>45</v>
      </c>
      <c r="G578" t="s">
        <v>30</v>
      </c>
      <c r="H578" t="s">
        <v>1233</v>
      </c>
      <c r="I578" t="s">
        <v>34</v>
      </c>
      <c r="J578">
        <v>324.22000000000003</v>
      </c>
      <c r="K578">
        <v>2</v>
      </c>
      <c r="L578" t="s">
        <v>48</v>
      </c>
      <c r="M578">
        <v>4</v>
      </c>
      <c r="N578">
        <v>2</v>
      </c>
      <c r="O578">
        <v>0</v>
      </c>
      <c r="P578" t="s">
        <v>36</v>
      </c>
      <c r="Q578" t="s">
        <v>37</v>
      </c>
      <c r="R578">
        <v>1</v>
      </c>
      <c r="S578">
        <v>6</v>
      </c>
      <c r="T578" t="s">
        <v>49</v>
      </c>
      <c r="U578" t="s">
        <v>79</v>
      </c>
      <c r="V578" t="s">
        <v>51</v>
      </c>
      <c r="W578" s="1">
        <v>45400</v>
      </c>
      <c r="X578" t="b">
        <v>0</v>
      </c>
      <c r="Y578" t="b">
        <v>0</v>
      </c>
      <c r="Z578" t="s">
        <v>52</v>
      </c>
      <c r="AA578" t="s">
        <v>67</v>
      </c>
      <c r="AB578">
        <v>14</v>
      </c>
    </row>
    <row r="579" spans="1:28" x14ac:dyDescent="0.25">
      <c r="A579" t="s">
        <v>1234</v>
      </c>
      <c r="B579">
        <v>24</v>
      </c>
      <c r="C579" t="s">
        <v>29</v>
      </c>
      <c r="D579" t="s">
        <v>30</v>
      </c>
      <c r="E579" t="s">
        <v>76</v>
      </c>
      <c r="F579" t="s">
        <v>32</v>
      </c>
      <c r="G579" t="s">
        <v>30</v>
      </c>
      <c r="H579" t="s">
        <v>1235</v>
      </c>
      <c r="I579" t="s">
        <v>93</v>
      </c>
      <c r="J579">
        <v>159.30000000000001</v>
      </c>
      <c r="K579">
        <v>11</v>
      </c>
      <c r="L579" t="s">
        <v>35</v>
      </c>
      <c r="M579">
        <v>5</v>
      </c>
      <c r="N579">
        <v>4</v>
      </c>
      <c r="O579">
        <v>0</v>
      </c>
      <c r="P579" t="s">
        <v>49</v>
      </c>
      <c r="Q579" t="s">
        <v>37</v>
      </c>
      <c r="R579">
        <v>0</v>
      </c>
      <c r="S579">
        <v>6</v>
      </c>
      <c r="T579" t="s">
        <v>44</v>
      </c>
      <c r="U579" t="s">
        <v>38</v>
      </c>
      <c r="V579" t="s">
        <v>51</v>
      </c>
      <c r="W579" s="1">
        <v>45406</v>
      </c>
      <c r="X579" t="b">
        <v>0</v>
      </c>
      <c r="Y579" t="b">
        <v>1</v>
      </c>
      <c r="Z579" t="s">
        <v>62</v>
      </c>
      <c r="AA579" t="s">
        <v>67</v>
      </c>
      <c r="AB579">
        <v>2</v>
      </c>
    </row>
    <row r="580" spans="1:28" x14ac:dyDescent="0.25">
      <c r="A580" t="s">
        <v>1236</v>
      </c>
      <c r="B580">
        <v>22</v>
      </c>
      <c r="C580" t="s">
        <v>352</v>
      </c>
      <c r="D580" t="s">
        <v>30</v>
      </c>
      <c r="E580" t="s">
        <v>69</v>
      </c>
      <c r="F580" t="s">
        <v>56</v>
      </c>
      <c r="G580" t="s">
        <v>30</v>
      </c>
      <c r="H580" t="s">
        <v>1237</v>
      </c>
      <c r="I580" t="s">
        <v>98</v>
      </c>
      <c r="J580">
        <v>324.39</v>
      </c>
      <c r="K580">
        <v>5</v>
      </c>
      <c r="L580" t="s">
        <v>78</v>
      </c>
      <c r="M580">
        <v>2</v>
      </c>
      <c r="N580">
        <v>2</v>
      </c>
      <c r="O580">
        <v>0</v>
      </c>
      <c r="P580" t="s">
        <v>44</v>
      </c>
      <c r="Q580" t="s">
        <v>85</v>
      </c>
      <c r="R580">
        <v>1</v>
      </c>
      <c r="S580">
        <v>6</v>
      </c>
      <c r="T580" t="s">
        <v>49</v>
      </c>
      <c r="U580" t="s">
        <v>79</v>
      </c>
      <c r="V580" t="s">
        <v>51</v>
      </c>
      <c r="W580" s="1">
        <v>45615</v>
      </c>
      <c r="X580" t="b">
        <v>1</v>
      </c>
      <c r="Y580" t="b">
        <v>0</v>
      </c>
      <c r="Z580" t="s">
        <v>40</v>
      </c>
      <c r="AA580" t="s">
        <v>67</v>
      </c>
      <c r="AB580">
        <v>1</v>
      </c>
    </row>
    <row r="581" spans="1:28" x14ac:dyDescent="0.25">
      <c r="A581" t="s">
        <v>1238</v>
      </c>
      <c r="B581">
        <v>37</v>
      </c>
      <c r="C581" t="s">
        <v>274</v>
      </c>
      <c r="D581" t="s">
        <v>44</v>
      </c>
      <c r="E581" t="s">
        <v>55</v>
      </c>
      <c r="F581" t="s">
        <v>45</v>
      </c>
      <c r="G581" t="s">
        <v>44</v>
      </c>
      <c r="H581" t="s">
        <v>1239</v>
      </c>
      <c r="I581" t="s">
        <v>183</v>
      </c>
      <c r="J581">
        <v>198.89</v>
      </c>
      <c r="K581">
        <v>2</v>
      </c>
      <c r="L581" t="s">
        <v>48</v>
      </c>
      <c r="M581">
        <v>2</v>
      </c>
      <c r="N581">
        <v>2</v>
      </c>
      <c r="O581">
        <v>0</v>
      </c>
      <c r="P581" t="s">
        <v>44</v>
      </c>
      <c r="Q581" t="s">
        <v>50</v>
      </c>
      <c r="R581">
        <v>0</v>
      </c>
      <c r="S581">
        <v>4</v>
      </c>
      <c r="T581" t="s">
        <v>59</v>
      </c>
      <c r="U581" t="s">
        <v>38</v>
      </c>
      <c r="V581" t="s">
        <v>39</v>
      </c>
      <c r="W581" s="1">
        <v>45303</v>
      </c>
      <c r="X581" t="b">
        <v>0</v>
      </c>
      <c r="Y581" t="b">
        <v>0</v>
      </c>
      <c r="Z581" t="s">
        <v>62</v>
      </c>
      <c r="AA581" t="s">
        <v>53</v>
      </c>
      <c r="AB581">
        <v>1</v>
      </c>
    </row>
    <row r="582" spans="1:28" x14ac:dyDescent="0.25">
      <c r="A582" t="s">
        <v>1240</v>
      </c>
      <c r="B582">
        <v>41</v>
      </c>
      <c r="C582" t="s">
        <v>29</v>
      </c>
      <c r="D582" t="s">
        <v>30</v>
      </c>
      <c r="E582" t="s">
        <v>76</v>
      </c>
      <c r="F582" t="s">
        <v>56</v>
      </c>
      <c r="G582" t="s">
        <v>44</v>
      </c>
      <c r="H582" t="s">
        <v>1241</v>
      </c>
      <c r="I582" t="s">
        <v>183</v>
      </c>
      <c r="J582">
        <v>287.18</v>
      </c>
      <c r="K582">
        <v>7</v>
      </c>
      <c r="L582" t="s">
        <v>48</v>
      </c>
      <c r="M582">
        <v>4</v>
      </c>
      <c r="N582">
        <v>5</v>
      </c>
      <c r="O582">
        <v>0</v>
      </c>
      <c r="P582" t="s">
        <v>36</v>
      </c>
      <c r="Q582" t="s">
        <v>50</v>
      </c>
      <c r="R582">
        <v>0</v>
      </c>
      <c r="S582">
        <v>1</v>
      </c>
      <c r="T582" t="s">
        <v>36</v>
      </c>
      <c r="U582" t="s">
        <v>38</v>
      </c>
      <c r="V582" t="s">
        <v>61</v>
      </c>
      <c r="W582" s="1">
        <v>45362</v>
      </c>
      <c r="X582" t="b">
        <v>1</v>
      </c>
      <c r="Y582" t="b">
        <v>0</v>
      </c>
      <c r="Z582" t="s">
        <v>74</v>
      </c>
      <c r="AA582" t="s">
        <v>41</v>
      </c>
      <c r="AB582">
        <v>8</v>
      </c>
    </row>
    <row r="583" spans="1:28" x14ac:dyDescent="0.25">
      <c r="A583" t="s">
        <v>1242</v>
      </c>
      <c r="B583">
        <v>32</v>
      </c>
      <c r="C583" t="s">
        <v>43</v>
      </c>
      <c r="D583" t="s">
        <v>44</v>
      </c>
      <c r="E583" t="s">
        <v>76</v>
      </c>
      <c r="F583" t="s">
        <v>45</v>
      </c>
      <c r="G583" t="s">
        <v>30</v>
      </c>
      <c r="H583" t="s">
        <v>1243</v>
      </c>
      <c r="I583" t="s">
        <v>58</v>
      </c>
      <c r="J583">
        <v>162.24</v>
      </c>
      <c r="K583">
        <v>7</v>
      </c>
      <c r="L583" t="s">
        <v>48</v>
      </c>
      <c r="M583">
        <v>5</v>
      </c>
      <c r="N583">
        <v>3</v>
      </c>
      <c r="O583">
        <v>1</v>
      </c>
      <c r="P583" t="s">
        <v>36</v>
      </c>
      <c r="Q583" t="s">
        <v>85</v>
      </c>
      <c r="R583">
        <v>2</v>
      </c>
      <c r="S583">
        <v>6</v>
      </c>
      <c r="T583" t="s">
        <v>59</v>
      </c>
      <c r="U583" t="s">
        <v>60</v>
      </c>
      <c r="V583" t="s">
        <v>51</v>
      </c>
      <c r="W583" s="1">
        <v>45576</v>
      </c>
      <c r="X583" t="b">
        <v>0</v>
      </c>
      <c r="Y583" t="b">
        <v>0</v>
      </c>
      <c r="Z583" t="s">
        <v>52</v>
      </c>
      <c r="AA583" t="s">
        <v>67</v>
      </c>
      <c r="AB583">
        <v>7</v>
      </c>
    </row>
    <row r="584" spans="1:28" x14ac:dyDescent="0.25">
      <c r="A584" t="s">
        <v>1244</v>
      </c>
      <c r="B584">
        <v>37</v>
      </c>
      <c r="C584" t="s">
        <v>29</v>
      </c>
      <c r="D584" t="s">
        <v>44</v>
      </c>
      <c r="E584" t="s">
        <v>76</v>
      </c>
      <c r="F584" t="s">
        <v>32</v>
      </c>
      <c r="G584" t="s">
        <v>44</v>
      </c>
      <c r="H584" t="s">
        <v>1245</v>
      </c>
      <c r="I584" t="s">
        <v>135</v>
      </c>
      <c r="J584">
        <v>92.97</v>
      </c>
      <c r="K584">
        <v>6</v>
      </c>
      <c r="L584" t="s">
        <v>48</v>
      </c>
      <c r="M584">
        <v>5</v>
      </c>
      <c r="N584">
        <v>5</v>
      </c>
      <c r="O584">
        <v>0</v>
      </c>
      <c r="P584" t="s">
        <v>49</v>
      </c>
      <c r="Q584" t="s">
        <v>85</v>
      </c>
      <c r="R584">
        <v>0</v>
      </c>
      <c r="S584">
        <v>7</v>
      </c>
      <c r="T584" t="s">
        <v>59</v>
      </c>
      <c r="U584" t="s">
        <v>79</v>
      </c>
      <c r="V584" t="s">
        <v>66</v>
      </c>
      <c r="W584" s="1">
        <v>45641</v>
      </c>
      <c r="X584" t="b">
        <v>0</v>
      </c>
      <c r="Y584" t="b">
        <v>1</v>
      </c>
      <c r="Z584" t="s">
        <v>62</v>
      </c>
      <c r="AA584" t="s">
        <v>53</v>
      </c>
      <c r="AB584">
        <v>7</v>
      </c>
    </row>
    <row r="585" spans="1:28" x14ac:dyDescent="0.25">
      <c r="A585" t="s">
        <v>1246</v>
      </c>
      <c r="B585">
        <v>41</v>
      </c>
      <c r="C585" t="s">
        <v>43</v>
      </c>
      <c r="D585" t="s">
        <v>30</v>
      </c>
      <c r="E585" t="s">
        <v>69</v>
      </c>
      <c r="F585" t="s">
        <v>45</v>
      </c>
      <c r="G585" t="s">
        <v>30</v>
      </c>
      <c r="H585" t="s">
        <v>1247</v>
      </c>
      <c r="I585" t="s">
        <v>47</v>
      </c>
      <c r="J585">
        <v>144.38999999999999</v>
      </c>
      <c r="K585">
        <v>12</v>
      </c>
      <c r="L585" t="s">
        <v>48</v>
      </c>
      <c r="M585">
        <v>5</v>
      </c>
      <c r="N585">
        <v>3</v>
      </c>
      <c r="O585">
        <v>2</v>
      </c>
      <c r="P585" t="s">
        <v>44</v>
      </c>
      <c r="Q585" t="s">
        <v>85</v>
      </c>
      <c r="R585">
        <v>0</v>
      </c>
      <c r="S585">
        <v>4</v>
      </c>
      <c r="T585" t="s">
        <v>59</v>
      </c>
      <c r="U585" t="s">
        <v>79</v>
      </c>
      <c r="V585" t="s">
        <v>86</v>
      </c>
      <c r="W585" s="1">
        <v>45454</v>
      </c>
      <c r="X585" t="b">
        <v>1</v>
      </c>
      <c r="Y585" t="b">
        <v>1</v>
      </c>
      <c r="Z585" t="s">
        <v>62</v>
      </c>
      <c r="AA585" t="s">
        <v>53</v>
      </c>
      <c r="AB585">
        <v>12</v>
      </c>
    </row>
    <row r="586" spans="1:28" x14ac:dyDescent="0.25">
      <c r="A586" t="s">
        <v>1248</v>
      </c>
      <c r="B586">
        <v>37</v>
      </c>
      <c r="C586" t="s">
        <v>29</v>
      </c>
      <c r="D586" t="s">
        <v>44</v>
      </c>
      <c r="E586" t="s">
        <v>55</v>
      </c>
      <c r="F586" t="s">
        <v>45</v>
      </c>
      <c r="G586" t="s">
        <v>44</v>
      </c>
      <c r="H586" t="s">
        <v>1249</v>
      </c>
      <c r="I586" t="s">
        <v>82</v>
      </c>
      <c r="J586">
        <v>253.37</v>
      </c>
      <c r="K586">
        <v>12</v>
      </c>
      <c r="L586" t="s">
        <v>48</v>
      </c>
      <c r="M586">
        <v>2</v>
      </c>
      <c r="N586">
        <v>5</v>
      </c>
      <c r="O586">
        <v>0</v>
      </c>
      <c r="P586" t="s">
        <v>36</v>
      </c>
      <c r="Q586" t="s">
        <v>85</v>
      </c>
      <c r="R586">
        <v>0</v>
      </c>
      <c r="S586">
        <v>9</v>
      </c>
      <c r="T586" t="s">
        <v>59</v>
      </c>
      <c r="U586" t="s">
        <v>38</v>
      </c>
      <c r="V586" t="s">
        <v>39</v>
      </c>
      <c r="W586" s="1">
        <v>45420</v>
      </c>
      <c r="X586" t="b">
        <v>0</v>
      </c>
      <c r="Y586" t="b">
        <v>1</v>
      </c>
      <c r="Z586" t="s">
        <v>74</v>
      </c>
      <c r="AA586" t="s">
        <v>67</v>
      </c>
      <c r="AB586">
        <v>6</v>
      </c>
    </row>
    <row r="587" spans="1:28" x14ac:dyDescent="0.25">
      <c r="A587" t="s">
        <v>1250</v>
      </c>
      <c r="B587">
        <v>43</v>
      </c>
      <c r="C587" t="s">
        <v>43</v>
      </c>
      <c r="D587" t="s">
        <v>30</v>
      </c>
      <c r="E587" t="s">
        <v>69</v>
      </c>
      <c r="F587" t="s">
        <v>45</v>
      </c>
      <c r="G587" t="s">
        <v>44</v>
      </c>
      <c r="H587" t="s">
        <v>1251</v>
      </c>
      <c r="I587" t="s">
        <v>101</v>
      </c>
      <c r="J587">
        <v>209.62</v>
      </c>
      <c r="K587">
        <v>12</v>
      </c>
      <c r="L587" t="s">
        <v>35</v>
      </c>
      <c r="M587">
        <v>1</v>
      </c>
      <c r="N587">
        <v>2</v>
      </c>
      <c r="O587">
        <v>1</v>
      </c>
      <c r="P587" t="s">
        <v>49</v>
      </c>
      <c r="Q587" t="s">
        <v>85</v>
      </c>
      <c r="R587">
        <v>0</v>
      </c>
      <c r="S587">
        <v>7</v>
      </c>
      <c r="T587" t="s">
        <v>49</v>
      </c>
      <c r="U587" t="s">
        <v>38</v>
      </c>
      <c r="V587" t="s">
        <v>66</v>
      </c>
      <c r="W587" s="1">
        <v>45577</v>
      </c>
      <c r="X587" t="b">
        <v>1</v>
      </c>
      <c r="Y587" t="b">
        <v>0</v>
      </c>
      <c r="Z587" t="s">
        <v>74</v>
      </c>
      <c r="AA587" t="s">
        <v>53</v>
      </c>
      <c r="AB587">
        <v>9</v>
      </c>
    </row>
    <row r="588" spans="1:28" x14ac:dyDescent="0.25">
      <c r="A588" t="s">
        <v>1252</v>
      </c>
      <c r="B588">
        <v>49</v>
      </c>
      <c r="C588" t="s">
        <v>43</v>
      </c>
      <c r="D588" t="s">
        <v>44</v>
      </c>
      <c r="E588" t="s">
        <v>55</v>
      </c>
      <c r="F588" t="s">
        <v>45</v>
      </c>
      <c r="G588" t="s">
        <v>30</v>
      </c>
      <c r="H588" t="s">
        <v>1253</v>
      </c>
      <c r="I588" t="s">
        <v>123</v>
      </c>
      <c r="J588">
        <v>411.62</v>
      </c>
      <c r="K588">
        <v>6</v>
      </c>
      <c r="L588" t="s">
        <v>35</v>
      </c>
      <c r="M588">
        <v>2</v>
      </c>
      <c r="N588">
        <v>1</v>
      </c>
      <c r="O588">
        <v>0</v>
      </c>
      <c r="P588" t="s">
        <v>49</v>
      </c>
      <c r="Q588" t="s">
        <v>37</v>
      </c>
      <c r="R588">
        <v>2</v>
      </c>
      <c r="S588">
        <v>7</v>
      </c>
      <c r="T588" t="s">
        <v>49</v>
      </c>
      <c r="U588" t="s">
        <v>38</v>
      </c>
      <c r="V588" t="s">
        <v>51</v>
      </c>
      <c r="W588" s="1">
        <v>45570</v>
      </c>
      <c r="X588" t="b">
        <v>1</v>
      </c>
      <c r="Y588" t="b">
        <v>0</v>
      </c>
      <c r="Z588" t="s">
        <v>52</v>
      </c>
      <c r="AA588" t="s">
        <v>67</v>
      </c>
      <c r="AB588">
        <v>12</v>
      </c>
    </row>
    <row r="589" spans="1:28" x14ac:dyDescent="0.25">
      <c r="A589" t="s">
        <v>1254</v>
      </c>
      <c r="B589">
        <v>27</v>
      </c>
      <c r="C589" t="s">
        <v>29</v>
      </c>
      <c r="D589" t="s">
        <v>44</v>
      </c>
      <c r="E589" t="s">
        <v>55</v>
      </c>
      <c r="F589" t="s">
        <v>32</v>
      </c>
      <c r="G589" t="s">
        <v>44</v>
      </c>
      <c r="H589" t="s">
        <v>1255</v>
      </c>
      <c r="I589" t="s">
        <v>47</v>
      </c>
      <c r="J589">
        <v>388.01</v>
      </c>
      <c r="K589">
        <v>2</v>
      </c>
      <c r="L589" t="s">
        <v>78</v>
      </c>
      <c r="M589">
        <v>1</v>
      </c>
      <c r="N589">
        <v>5</v>
      </c>
      <c r="O589">
        <v>1</v>
      </c>
      <c r="P589" t="s">
        <v>44</v>
      </c>
      <c r="Q589" t="s">
        <v>85</v>
      </c>
      <c r="R589">
        <v>1</v>
      </c>
      <c r="S589">
        <v>2</v>
      </c>
      <c r="T589" t="s">
        <v>36</v>
      </c>
      <c r="U589" t="s">
        <v>38</v>
      </c>
      <c r="V589" t="s">
        <v>51</v>
      </c>
      <c r="W589" s="1">
        <v>45615</v>
      </c>
      <c r="X589" t="b">
        <v>0</v>
      </c>
      <c r="Y589" t="b">
        <v>1</v>
      </c>
      <c r="Z589" t="s">
        <v>52</v>
      </c>
      <c r="AA589" t="s">
        <v>53</v>
      </c>
      <c r="AB589">
        <v>10</v>
      </c>
    </row>
    <row r="590" spans="1:28" x14ac:dyDescent="0.25">
      <c r="A590" t="s">
        <v>1256</v>
      </c>
      <c r="B590">
        <v>41</v>
      </c>
      <c r="C590" t="s">
        <v>43</v>
      </c>
      <c r="D590" t="s">
        <v>30</v>
      </c>
      <c r="E590" t="s">
        <v>69</v>
      </c>
      <c r="F590" t="s">
        <v>45</v>
      </c>
      <c r="G590" t="s">
        <v>44</v>
      </c>
      <c r="H590" t="s">
        <v>1257</v>
      </c>
      <c r="I590" t="s">
        <v>104</v>
      </c>
      <c r="J590">
        <v>50.78</v>
      </c>
      <c r="K590">
        <v>6</v>
      </c>
      <c r="L590" t="s">
        <v>78</v>
      </c>
      <c r="M590">
        <v>5</v>
      </c>
      <c r="N590">
        <v>1</v>
      </c>
      <c r="O590">
        <v>1</v>
      </c>
      <c r="P590" t="s">
        <v>59</v>
      </c>
      <c r="Q590" t="s">
        <v>37</v>
      </c>
      <c r="R590">
        <v>1</v>
      </c>
      <c r="S590">
        <v>8</v>
      </c>
      <c r="T590" t="s">
        <v>36</v>
      </c>
      <c r="U590" t="s">
        <v>38</v>
      </c>
      <c r="V590" t="s">
        <v>61</v>
      </c>
      <c r="W590" s="1">
        <v>45303</v>
      </c>
      <c r="X590" t="b">
        <v>0</v>
      </c>
      <c r="Y590" t="b">
        <v>1</v>
      </c>
      <c r="Z590" t="s">
        <v>40</v>
      </c>
      <c r="AA590" t="s">
        <v>53</v>
      </c>
      <c r="AB590">
        <v>9</v>
      </c>
    </row>
    <row r="591" spans="1:28" x14ac:dyDescent="0.25">
      <c r="A591" t="s">
        <v>1258</v>
      </c>
      <c r="B591">
        <v>33</v>
      </c>
      <c r="C591" t="s">
        <v>43</v>
      </c>
      <c r="D591" t="s">
        <v>44</v>
      </c>
      <c r="E591" t="s">
        <v>76</v>
      </c>
      <c r="F591" t="s">
        <v>32</v>
      </c>
      <c r="G591" t="s">
        <v>30</v>
      </c>
      <c r="H591" t="s">
        <v>1259</v>
      </c>
      <c r="I591" t="s">
        <v>114</v>
      </c>
      <c r="J591">
        <v>159.82</v>
      </c>
      <c r="K591">
        <v>2</v>
      </c>
      <c r="L591" t="s">
        <v>48</v>
      </c>
      <c r="M591">
        <v>2</v>
      </c>
      <c r="N591">
        <v>1</v>
      </c>
      <c r="O591">
        <v>1</v>
      </c>
      <c r="P591" t="s">
        <v>44</v>
      </c>
      <c r="Q591" t="s">
        <v>85</v>
      </c>
      <c r="R591">
        <v>2</v>
      </c>
      <c r="S591">
        <v>8</v>
      </c>
      <c r="T591" t="s">
        <v>49</v>
      </c>
      <c r="U591" t="s">
        <v>38</v>
      </c>
      <c r="V591" t="s">
        <v>86</v>
      </c>
      <c r="W591" s="1">
        <v>45635</v>
      </c>
      <c r="X591" t="b">
        <v>1</v>
      </c>
      <c r="Y591" t="b">
        <v>1</v>
      </c>
      <c r="Z591" t="s">
        <v>74</v>
      </c>
      <c r="AA591" t="s">
        <v>41</v>
      </c>
      <c r="AB591">
        <v>10</v>
      </c>
    </row>
    <row r="592" spans="1:28" x14ac:dyDescent="0.25">
      <c r="A592" t="s">
        <v>1260</v>
      </c>
      <c r="B592">
        <v>46</v>
      </c>
      <c r="C592" t="s">
        <v>43</v>
      </c>
      <c r="D592" t="s">
        <v>30</v>
      </c>
      <c r="E592" t="s">
        <v>76</v>
      </c>
      <c r="F592" t="s">
        <v>56</v>
      </c>
      <c r="G592" t="s">
        <v>30</v>
      </c>
      <c r="H592" t="s">
        <v>1261</v>
      </c>
      <c r="I592" t="s">
        <v>194</v>
      </c>
      <c r="J592">
        <v>79.430000000000007</v>
      </c>
      <c r="K592">
        <v>3</v>
      </c>
      <c r="L592" t="s">
        <v>48</v>
      </c>
      <c r="M592">
        <v>1</v>
      </c>
      <c r="N592">
        <v>5</v>
      </c>
      <c r="O592">
        <v>0</v>
      </c>
      <c r="P592" t="s">
        <v>49</v>
      </c>
      <c r="Q592" t="s">
        <v>37</v>
      </c>
      <c r="R592">
        <v>2</v>
      </c>
      <c r="S592">
        <v>7</v>
      </c>
      <c r="T592" t="s">
        <v>36</v>
      </c>
      <c r="U592" t="s">
        <v>60</v>
      </c>
      <c r="V592" t="s">
        <v>51</v>
      </c>
      <c r="W592" s="1">
        <v>45306</v>
      </c>
      <c r="X592" t="b">
        <v>0</v>
      </c>
      <c r="Y592" t="b">
        <v>0</v>
      </c>
      <c r="Z592" t="s">
        <v>52</v>
      </c>
      <c r="AA592" t="s">
        <v>41</v>
      </c>
      <c r="AB592">
        <v>6</v>
      </c>
    </row>
    <row r="593" spans="1:28" x14ac:dyDescent="0.25">
      <c r="A593" t="s">
        <v>1262</v>
      </c>
      <c r="B593">
        <v>42</v>
      </c>
      <c r="C593" t="s">
        <v>29</v>
      </c>
      <c r="D593" t="s">
        <v>30</v>
      </c>
      <c r="E593" t="s">
        <v>31</v>
      </c>
      <c r="F593" t="s">
        <v>32</v>
      </c>
      <c r="G593" t="s">
        <v>30</v>
      </c>
      <c r="H593" t="s">
        <v>1263</v>
      </c>
      <c r="I593" t="s">
        <v>194</v>
      </c>
      <c r="J593">
        <v>131.36000000000001</v>
      </c>
      <c r="K593">
        <v>4</v>
      </c>
      <c r="L593" t="s">
        <v>48</v>
      </c>
      <c r="M593">
        <v>4</v>
      </c>
      <c r="N593">
        <v>4</v>
      </c>
      <c r="O593">
        <v>2</v>
      </c>
      <c r="P593" t="s">
        <v>36</v>
      </c>
      <c r="Q593" t="s">
        <v>37</v>
      </c>
      <c r="R593">
        <v>1</v>
      </c>
      <c r="S593">
        <v>6</v>
      </c>
      <c r="T593" t="s">
        <v>44</v>
      </c>
      <c r="U593" t="s">
        <v>60</v>
      </c>
      <c r="V593" t="s">
        <v>61</v>
      </c>
      <c r="W593" s="1">
        <v>45617</v>
      </c>
      <c r="X593" t="b">
        <v>0</v>
      </c>
      <c r="Y593" t="b">
        <v>0</v>
      </c>
      <c r="Z593" t="s">
        <v>52</v>
      </c>
      <c r="AA593" t="s">
        <v>67</v>
      </c>
      <c r="AB593">
        <v>3</v>
      </c>
    </row>
    <row r="594" spans="1:28" x14ac:dyDescent="0.25">
      <c r="A594" t="s">
        <v>1264</v>
      </c>
      <c r="B594">
        <v>27</v>
      </c>
      <c r="C594" t="s">
        <v>43</v>
      </c>
      <c r="D594" t="s">
        <v>30</v>
      </c>
      <c r="E594" t="s">
        <v>69</v>
      </c>
      <c r="F594" t="s">
        <v>45</v>
      </c>
      <c r="G594" t="s">
        <v>30</v>
      </c>
      <c r="H594" t="s">
        <v>1265</v>
      </c>
      <c r="I594" t="s">
        <v>188</v>
      </c>
      <c r="J594">
        <v>299.75</v>
      </c>
      <c r="K594">
        <v>12</v>
      </c>
      <c r="L594" t="s">
        <v>35</v>
      </c>
      <c r="M594">
        <v>2</v>
      </c>
      <c r="N594">
        <v>5</v>
      </c>
      <c r="O594">
        <v>0.3</v>
      </c>
      <c r="P594" t="s">
        <v>59</v>
      </c>
      <c r="Q594" t="s">
        <v>85</v>
      </c>
      <c r="R594">
        <v>0</v>
      </c>
      <c r="S594">
        <v>4</v>
      </c>
      <c r="T594" t="s">
        <v>59</v>
      </c>
      <c r="U594" t="s">
        <v>79</v>
      </c>
      <c r="V594" t="s">
        <v>39</v>
      </c>
      <c r="W594" s="1">
        <v>45478</v>
      </c>
      <c r="X594" t="b">
        <v>0</v>
      </c>
      <c r="Y594" t="b">
        <v>1</v>
      </c>
      <c r="Z594" t="s">
        <v>40</v>
      </c>
      <c r="AA594" t="s">
        <v>41</v>
      </c>
      <c r="AB594">
        <v>7</v>
      </c>
    </row>
    <row r="595" spans="1:28" x14ac:dyDescent="0.25">
      <c r="A595" t="s">
        <v>1266</v>
      </c>
      <c r="B595">
        <v>29</v>
      </c>
      <c r="C595" t="s">
        <v>43</v>
      </c>
      <c r="D595" t="s">
        <v>44</v>
      </c>
      <c r="E595" t="s">
        <v>76</v>
      </c>
      <c r="F595" t="s">
        <v>32</v>
      </c>
      <c r="G595" t="s">
        <v>30</v>
      </c>
      <c r="H595" t="s">
        <v>1267</v>
      </c>
      <c r="I595" t="s">
        <v>101</v>
      </c>
      <c r="J595">
        <v>319.38</v>
      </c>
      <c r="K595">
        <v>9</v>
      </c>
      <c r="L595" t="s">
        <v>48</v>
      </c>
      <c r="M595">
        <v>4</v>
      </c>
      <c r="N595">
        <v>1</v>
      </c>
      <c r="O595">
        <v>0</v>
      </c>
      <c r="P595" t="s">
        <v>59</v>
      </c>
      <c r="Q595" t="s">
        <v>50</v>
      </c>
      <c r="R595">
        <v>1</v>
      </c>
      <c r="S595">
        <v>6</v>
      </c>
      <c r="T595" t="s">
        <v>44</v>
      </c>
      <c r="U595" t="s">
        <v>38</v>
      </c>
      <c r="V595" t="s">
        <v>51</v>
      </c>
      <c r="W595" s="1">
        <v>45611</v>
      </c>
      <c r="X595" t="b">
        <v>1</v>
      </c>
      <c r="Y595" t="b">
        <v>1</v>
      </c>
      <c r="Z595" t="s">
        <v>40</v>
      </c>
      <c r="AA595" t="s">
        <v>41</v>
      </c>
      <c r="AB595">
        <v>8</v>
      </c>
    </row>
    <row r="596" spans="1:28" x14ac:dyDescent="0.25">
      <c r="A596" t="s">
        <v>1268</v>
      </c>
      <c r="B596">
        <v>38</v>
      </c>
      <c r="C596" t="s">
        <v>43</v>
      </c>
      <c r="D596" t="s">
        <v>44</v>
      </c>
      <c r="E596" t="s">
        <v>55</v>
      </c>
      <c r="F596" t="s">
        <v>56</v>
      </c>
      <c r="G596" t="s">
        <v>30</v>
      </c>
      <c r="H596" t="s">
        <v>1269</v>
      </c>
      <c r="I596" t="s">
        <v>117</v>
      </c>
      <c r="J596">
        <v>476.48</v>
      </c>
      <c r="K596">
        <v>8</v>
      </c>
      <c r="L596" t="s">
        <v>78</v>
      </c>
      <c r="M596">
        <v>5</v>
      </c>
      <c r="N596">
        <v>2</v>
      </c>
      <c r="O596">
        <v>1</v>
      </c>
      <c r="P596" t="s">
        <v>36</v>
      </c>
      <c r="Q596" t="s">
        <v>37</v>
      </c>
      <c r="R596">
        <v>2</v>
      </c>
      <c r="S596">
        <v>10</v>
      </c>
      <c r="T596" t="s">
        <v>44</v>
      </c>
      <c r="U596" t="s">
        <v>79</v>
      </c>
      <c r="V596" t="s">
        <v>51</v>
      </c>
      <c r="W596" s="1">
        <v>45479</v>
      </c>
      <c r="X596" t="b">
        <v>0</v>
      </c>
      <c r="Y596" t="b">
        <v>1</v>
      </c>
      <c r="Z596" t="s">
        <v>62</v>
      </c>
      <c r="AA596" t="s">
        <v>67</v>
      </c>
      <c r="AB596">
        <v>3</v>
      </c>
    </row>
    <row r="597" spans="1:28" x14ac:dyDescent="0.25">
      <c r="A597" t="s">
        <v>1270</v>
      </c>
      <c r="B597">
        <v>21</v>
      </c>
      <c r="C597" t="s">
        <v>43</v>
      </c>
      <c r="D597" t="s">
        <v>30</v>
      </c>
      <c r="E597" t="s">
        <v>69</v>
      </c>
      <c r="F597" t="s">
        <v>32</v>
      </c>
      <c r="G597" t="s">
        <v>30</v>
      </c>
      <c r="H597" t="s">
        <v>1271</v>
      </c>
      <c r="I597" t="s">
        <v>34</v>
      </c>
      <c r="J597">
        <v>301.01</v>
      </c>
      <c r="K597">
        <v>9</v>
      </c>
      <c r="L597" t="s">
        <v>35</v>
      </c>
      <c r="M597">
        <v>2</v>
      </c>
      <c r="N597">
        <v>1</v>
      </c>
      <c r="O597">
        <v>2</v>
      </c>
      <c r="P597" t="s">
        <v>44</v>
      </c>
      <c r="Q597" t="s">
        <v>50</v>
      </c>
      <c r="R597">
        <v>2</v>
      </c>
      <c r="S597">
        <v>8</v>
      </c>
      <c r="T597" t="s">
        <v>49</v>
      </c>
      <c r="U597" t="s">
        <v>60</v>
      </c>
      <c r="V597" t="s">
        <v>66</v>
      </c>
      <c r="W597" s="1">
        <v>45527</v>
      </c>
      <c r="X597" t="b">
        <v>0</v>
      </c>
      <c r="Y597" t="b">
        <v>1</v>
      </c>
      <c r="Z597" t="s">
        <v>40</v>
      </c>
      <c r="AA597" t="s">
        <v>67</v>
      </c>
      <c r="AB597">
        <v>13</v>
      </c>
    </row>
    <row r="598" spans="1:28" x14ac:dyDescent="0.25">
      <c r="A598" t="s">
        <v>1272</v>
      </c>
      <c r="B598">
        <v>18</v>
      </c>
      <c r="C598" t="s">
        <v>43</v>
      </c>
      <c r="D598" t="s">
        <v>30</v>
      </c>
      <c r="E598" t="s">
        <v>55</v>
      </c>
      <c r="F598" t="s">
        <v>32</v>
      </c>
      <c r="G598" t="s">
        <v>30</v>
      </c>
      <c r="H598" t="s">
        <v>1273</v>
      </c>
      <c r="I598" t="s">
        <v>117</v>
      </c>
      <c r="J598">
        <v>378.71</v>
      </c>
      <c r="K598">
        <v>5</v>
      </c>
      <c r="L598" t="s">
        <v>78</v>
      </c>
      <c r="M598">
        <v>4</v>
      </c>
      <c r="N598">
        <v>1</v>
      </c>
      <c r="O598">
        <v>2</v>
      </c>
      <c r="P598" t="s">
        <v>49</v>
      </c>
      <c r="Q598" t="s">
        <v>37</v>
      </c>
      <c r="R598">
        <v>2</v>
      </c>
      <c r="S598">
        <v>5</v>
      </c>
      <c r="T598" t="s">
        <v>36</v>
      </c>
      <c r="U598" t="s">
        <v>79</v>
      </c>
      <c r="V598" t="s">
        <v>66</v>
      </c>
      <c r="W598" s="1">
        <v>45534</v>
      </c>
      <c r="X598" t="b">
        <v>1</v>
      </c>
      <c r="Y598" t="b">
        <v>1</v>
      </c>
      <c r="Z598" t="s">
        <v>74</v>
      </c>
      <c r="AA598" t="s">
        <v>67</v>
      </c>
      <c r="AB598">
        <v>14</v>
      </c>
    </row>
    <row r="599" spans="1:28" x14ac:dyDescent="0.25">
      <c r="A599" t="s">
        <v>1274</v>
      </c>
      <c r="B599">
        <v>44</v>
      </c>
      <c r="C599" t="s">
        <v>190</v>
      </c>
      <c r="D599" t="s">
        <v>30</v>
      </c>
      <c r="E599" t="s">
        <v>55</v>
      </c>
      <c r="F599" t="s">
        <v>32</v>
      </c>
      <c r="G599" t="s">
        <v>30</v>
      </c>
      <c r="H599" t="s">
        <v>1275</v>
      </c>
      <c r="I599" t="s">
        <v>93</v>
      </c>
      <c r="J599">
        <v>314.32</v>
      </c>
      <c r="K599">
        <v>6</v>
      </c>
      <c r="L599" t="s">
        <v>78</v>
      </c>
      <c r="M599">
        <v>1</v>
      </c>
      <c r="N599">
        <v>4</v>
      </c>
      <c r="O599">
        <v>2</v>
      </c>
      <c r="P599" t="s">
        <v>44</v>
      </c>
      <c r="Q599" t="s">
        <v>85</v>
      </c>
      <c r="R599">
        <v>2</v>
      </c>
      <c r="S599">
        <v>5</v>
      </c>
      <c r="T599" t="s">
        <v>59</v>
      </c>
      <c r="U599" t="s">
        <v>60</v>
      </c>
      <c r="V599" t="s">
        <v>39</v>
      </c>
      <c r="W599" s="1">
        <v>45367</v>
      </c>
      <c r="X599" t="b">
        <v>1</v>
      </c>
      <c r="Y599" t="b">
        <v>0</v>
      </c>
      <c r="Z599" t="s">
        <v>62</v>
      </c>
      <c r="AA599" t="s">
        <v>53</v>
      </c>
      <c r="AB599">
        <v>7</v>
      </c>
    </row>
    <row r="600" spans="1:28" x14ac:dyDescent="0.25">
      <c r="A600" t="s">
        <v>1276</v>
      </c>
      <c r="B600">
        <v>22</v>
      </c>
      <c r="C600" t="s">
        <v>43</v>
      </c>
      <c r="D600" t="s">
        <v>30</v>
      </c>
      <c r="E600" t="s">
        <v>31</v>
      </c>
      <c r="F600" t="s">
        <v>45</v>
      </c>
      <c r="G600" t="s">
        <v>44</v>
      </c>
      <c r="H600" t="s">
        <v>254</v>
      </c>
      <c r="I600" t="s">
        <v>58</v>
      </c>
      <c r="J600">
        <v>210.9</v>
      </c>
      <c r="K600">
        <v>12</v>
      </c>
      <c r="L600" t="s">
        <v>48</v>
      </c>
      <c r="M600">
        <v>2</v>
      </c>
      <c r="N600">
        <v>1</v>
      </c>
      <c r="O600">
        <v>2</v>
      </c>
      <c r="P600" t="s">
        <v>36</v>
      </c>
      <c r="Q600" t="s">
        <v>37</v>
      </c>
      <c r="R600">
        <v>1</v>
      </c>
      <c r="S600">
        <v>1</v>
      </c>
      <c r="T600" t="s">
        <v>36</v>
      </c>
      <c r="U600" t="s">
        <v>38</v>
      </c>
      <c r="V600" t="s">
        <v>61</v>
      </c>
      <c r="W600" s="1">
        <v>45521</v>
      </c>
      <c r="X600" t="b">
        <v>0</v>
      </c>
      <c r="Y600" t="b">
        <v>0</v>
      </c>
      <c r="Z600" t="s">
        <v>62</v>
      </c>
      <c r="AA600" t="s">
        <v>53</v>
      </c>
      <c r="AB600">
        <v>12</v>
      </c>
    </row>
    <row r="601" spans="1:28" x14ac:dyDescent="0.25">
      <c r="A601" t="s">
        <v>1277</v>
      </c>
      <c r="B601">
        <v>18</v>
      </c>
      <c r="C601" t="s">
        <v>29</v>
      </c>
      <c r="D601" t="s">
        <v>30</v>
      </c>
      <c r="E601" t="s">
        <v>76</v>
      </c>
      <c r="F601" t="s">
        <v>45</v>
      </c>
      <c r="G601" t="s">
        <v>44</v>
      </c>
      <c r="H601" t="s">
        <v>1278</v>
      </c>
      <c r="I601" t="s">
        <v>47</v>
      </c>
      <c r="J601">
        <v>218.26</v>
      </c>
      <c r="K601">
        <v>4</v>
      </c>
      <c r="L601" t="s">
        <v>35</v>
      </c>
      <c r="M601">
        <v>3</v>
      </c>
      <c r="N601">
        <v>1</v>
      </c>
      <c r="O601">
        <v>2</v>
      </c>
      <c r="P601" t="s">
        <v>59</v>
      </c>
      <c r="Q601" t="s">
        <v>85</v>
      </c>
      <c r="R601">
        <v>0</v>
      </c>
      <c r="S601">
        <v>8</v>
      </c>
      <c r="T601" t="s">
        <v>44</v>
      </c>
      <c r="U601" t="s">
        <v>60</v>
      </c>
      <c r="V601" t="s">
        <v>61</v>
      </c>
      <c r="W601" s="1">
        <v>45349</v>
      </c>
      <c r="X601" t="b">
        <v>0</v>
      </c>
      <c r="Y601" t="b">
        <v>0</v>
      </c>
      <c r="Z601" t="s">
        <v>52</v>
      </c>
      <c r="AA601" t="s">
        <v>53</v>
      </c>
      <c r="AB601">
        <v>12</v>
      </c>
    </row>
    <row r="602" spans="1:28" x14ac:dyDescent="0.25">
      <c r="A602" t="s">
        <v>1279</v>
      </c>
      <c r="B602">
        <v>24</v>
      </c>
      <c r="C602" t="s">
        <v>29</v>
      </c>
      <c r="D602" t="s">
        <v>30</v>
      </c>
      <c r="E602" t="s">
        <v>69</v>
      </c>
      <c r="F602" t="s">
        <v>56</v>
      </c>
      <c r="G602" t="s">
        <v>30</v>
      </c>
      <c r="H602" t="s">
        <v>1280</v>
      </c>
      <c r="I602" t="s">
        <v>101</v>
      </c>
      <c r="J602">
        <v>424.18</v>
      </c>
      <c r="K602">
        <v>5</v>
      </c>
      <c r="L602" t="s">
        <v>35</v>
      </c>
      <c r="M602">
        <v>4</v>
      </c>
      <c r="N602">
        <v>4</v>
      </c>
      <c r="O602">
        <v>1</v>
      </c>
      <c r="P602" t="s">
        <v>36</v>
      </c>
      <c r="Q602" t="s">
        <v>50</v>
      </c>
      <c r="R602">
        <v>2</v>
      </c>
      <c r="S602">
        <v>4</v>
      </c>
      <c r="T602" t="s">
        <v>49</v>
      </c>
      <c r="U602" t="s">
        <v>60</v>
      </c>
      <c r="V602" t="s">
        <v>61</v>
      </c>
      <c r="W602" s="1">
        <v>45336</v>
      </c>
      <c r="X602" t="b">
        <v>0</v>
      </c>
      <c r="Y602" t="b">
        <v>1</v>
      </c>
      <c r="Z602" t="s">
        <v>40</v>
      </c>
      <c r="AA602" t="s">
        <v>67</v>
      </c>
      <c r="AB602">
        <v>5</v>
      </c>
    </row>
    <row r="603" spans="1:28" x14ac:dyDescent="0.25">
      <c r="A603" t="s">
        <v>1281</v>
      </c>
      <c r="B603">
        <v>28</v>
      </c>
      <c r="C603" t="s">
        <v>43</v>
      </c>
      <c r="D603" t="s">
        <v>44</v>
      </c>
      <c r="E603" t="s">
        <v>76</v>
      </c>
      <c r="F603" t="s">
        <v>45</v>
      </c>
      <c r="G603" t="s">
        <v>30</v>
      </c>
      <c r="H603" t="s">
        <v>92</v>
      </c>
      <c r="I603" t="s">
        <v>98</v>
      </c>
      <c r="J603">
        <v>430.75</v>
      </c>
      <c r="K603">
        <v>11</v>
      </c>
      <c r="L603" t="s">
        <v>78</v>
      </c>
      <c r="M603">
        <v>1</v>
      </c>
      <c r="N603">
        <v>3</v>
      </c>
      <c r="O603">
        <v>1</v>
      </c>
      <c r="P603" t="s">
        <v>59</v>
      </c>
      <c r="Q603" t="s">
        <v>37</v>
      </c>
      <c r="R603">
        <v>0</v>
      </c>
      <c r="S603">
        <v>8</v>
      </c>
      <c r="T603" t="s">
        <v>44</v>
      </c>
      <c r="U603" t="s">
        <v>38</v>
      </c>
      <c r="V603" t="s">
        <v>39</v>
      </c>
      <c r="W603" s="1">
        <v>45467</v>
      </c>
      <c r="X603" t="b">
        <v>1</v>
      </c>
      <c r="Y603" t="b">
        <v>0</v>
      </c>
      <c r="Z603" t="s">
        <v>74</v>
      </c>
      <c r="AA603" t="s">
        <v>41</v>
      </c>
      <c r="AB603">
        <v>6</v>
      </c>
    </row>
    <row r="604" spans="1:28" x14ac:dyDescent="0.25">
      <c r="A604" t="s">
        <v>1282</v>
      </c>
      <c r="B604">
        <v>24</v>
      </c>
      <c r="C604" t="s">
        <v>43</v>
      </c>
      <c r="D604" t="s">
        <v>44</v>
      </c>
      <c r="E604" t="s">
        <v>55</v>
      </c>
      <c r="F604" t="s">
        <v>32</v>
      </c>
      <c r="G604" t="s">
        <v>30</v>
      </c>
      <c r="H604" t="s">
        <v>1283</v>
      </c>
      <c r="I604" t="s">
        <v>93</v>
      </c>
      <c r="J604">
        <v>162.94999999999999</v>
      </c>
      <c r="K604">
        <v>11</v>
      </c>
      <c r="L604" t="s">
        <v>48</v>
      </c>
      <c r="M604">
        <v>1</v>
      </c>
      <c r="N604">
        <v>2</v>
      </c>
      <c r="O604">
        <v>2</v>
      </c>
      <c r="P604" t="s">
        <v>44</v>
      </c>
      <c r="Q604" t="s">
        <v>85</v>
      </c>
      <c r="R604">
        <v>1</v>
      </c>
      <c r="S604">
        <v>8</v>
      </c>
      <c r="T604" t="s">
        <v>59</v>
      </c>
      <c r="U604" t="s">
        <v>79</v>
      </c>
      <c r="V604" t="s">
        <v>86</v>
      </c>
      <c r="W604" s="1">
        <v>45494</v>
      </c>
      <c r="X604" t="b">
        <v>0</v>
      </c>
      <c r="Y604" t="b">
        <v>1</v>
      </c>
      <c r="Z604" t="s">
        <v>62</v>
      </c>
      <c r="AA604" t="s">
        <v>67</v>
      </c>
      <c r="AB604">
        <v>14</v>
      </c>
    </row>
    <row r="605" spans="1:28" x14ac:dyDescent="0.25">
      <c r="A605" t="s">
        <v>1284</v>
      </c>
      <c r="B605">
        <v>40</v>
      </c>
      <c r="C605" t="s">
        <v>29</v>
      </c>
      <c r="D605" t="s">
        <v>30</v>
      </c>
      <c r="E605" t="s">
        <v>31</v>
      </c>
      <c r="F605" t="s">
        <v>56</v>
      </c>
      <c r="G605" t="s">
        <v>44</v>
      </c>
      <c r="H605" t="s">
        <v>1285</v>
      </c>
      <c r="I605" t="s">
        <v>142</v>
      </c>
      <c r="J605">
        <v>209.68</v>
      </c>
      <c r="K605">
        <v>2</v>
      </c>
      <c r="L605" t="s">
        <v>78</v>
      </c>
      <c r="M605">
        <v>3</v>
      </c>
      <c r="N605">
        <v>1</v>
      </c>
      <c r="O605">
        <v>1</v>
      </c>
      <c r="P605" t="s">
        <v>36</v>
      </c>
      <c r="Q605" t="s">
        <v>50</v>
      </c>
      <c r="R605">
        <v>0</v>
      </c>
      <c r="S605">
        <v>1</v>
      </c>
      <c r="T605" t="s">
        <v>49</v>
      </c>
      <c r="U605" t="s">
        <v>60</v>
      </c>
      <c r="V605" t="s">
        <v>66</v>
      </c>
      <c r="W605" s="1">
        <v>45473</v>
      </c>
      <c r="X605" t="b">
        <v>0</v>
      </c>
      <c r="Y605" t="b">
        <v>1</v>
      </c>
      <c r="Z605" t="s">
        <v>62</v>
      </c>
      <c r="AA605" t="s">
        <v>67</v>
      </c>
      <c r="AB605">
        <v>8</v>
      </c>
    </row>
    <row r="606" spans="1:28" x14ac:dyDescent="0.25">
      <c r="A606" t="s">
        <v>1286</v>
      </c>
      <c r="B606">
        <v>50</v>
      </c>
      <c r="C606" t="s">
        <v>43</v>
      </c>
      <c r="D606" t="s">
        <v>44</v>
      </c>
      <c r="E606" t="s">
        <v>69</v>
      </c>
      <c r="F606" t="s">
        <v>32</v>
      </c>
      <c r="G606" t="s">
        <v>30</v>
      </c>
      <c r="H606" t="s">
        <v>1287</v>
      </c>
      <c r="I606" t="s">
        <v>188</v>
      </c>
      <c r="J606">
        <v>97.97</v>
      </c>
      <c r="K606">
        <v>2</v>
      </c>
      <c r="L606" t="s">
        <v>48</v>
      </c>
      <c r="M606">
        <v>5</v>
      </c>
      <c r="N606">
        <v>5</v>
      </c>
      <c r="O606">
        <v>1</v>
      </c>
      <c r="P606" t="s">
        <v>59</v>
      </c>
      <c r="Q606" t="s">
        <v>37</v>
      </c>
      <c r="R606">
        <v>0</v>
      </c>
      <c r="S606">
        <v>10</v>
      </c>
      <c r="T606" t="s">
        <v>36</v>
      </c>
      <c r="U606" t="s">
        <v>79</v>
      </c>
      <c r="V606" t="s">
        <v>39</v>
      </c>
      <c r="W606" s="1">
        <v>45568</v>
      </c>
      <c r="X606" t="b">
        <v>1</v>
      </c>
      <c r="Y606" t="b">
        <v>0</v>
      </c>
      <c r="Z606" t="s">
        <v>74</v>
      </c>
      <c r="AA606" t="s">
        <v>41</v>
      </c>
      <c r="AB606">
        <v>1</v>
      </c>
    </row>
    <row r="607" spans="1:28" x14ac:dyDescent="0.25">
      <c r="A607" t="s">
        <v>1288</v>
      </c>
      <c r="B607">
        <v>49</v>
      </c>
      <c r="C607" t="s">
        <v>43</v>
      </c>
      <c r="D607" t="s">
        <v>30</v>
      </c>
      <c r="E607" t="s">
        <v>69</v>
      </c>
      <c r="F607" t="s">
        <v>56</v>
      </c>
      <c r="G607" t="s">
        <v>44</v>
      </c>
      <c r="H607" t="s">
        <v>1289</v>
      </c>
      <c r="I607" t="s">
        <v>82</v>
      </c>
      <c r="J607">
        <v>192.51</v>
      </c>
      <c r="K607">
        <v>9</v>
      </c>
      <c r="L607" t="s">
        <v>35</v>
      </c>
      <c r="M607">
        <v>2</v>
      </c>
      <c r="N607">
        <v>5</v>
      </c>
      <c r="O607">
        <v>2</v>
      </c>
      <c r="P607" t="s">
        <v>49</v>
      </c>
      <c r="Q607" t="s">
        <v>85</v>
      </c>
      <c r="R607">
        <v>0</v>
      </c>
      <c r="S607">
        <v>2</v>
      </c>
      <c r="T607" t="s">
        <v>49</v>
      </c>
      <c r="U607" t="s">
        <v>60</v>
      </c>
      <c r="V607" t="s">
        <v>39</v>
      </c>
      <c r="W607" s="1">
        <v>45527</v>
      </c>
      <c r="X607" t="b">
        <v>1</v>
      </c>
      <c r="Y607" t="b">
        <v>0</v>
      </c>
      <c r="Z607" t="s">
        <v>40</v>
      </c>
      <c r="AA607" t="s">
        <v>53</v>
      </c>
      <c r="AB607">
        <v>9</v>
      </c>
    </row>
    <row r="608" spans="1:28" x14ac:dyDescent="0.25">
      <c r="A608" t="s">
        <v>1290</v>
      </c>
      <c r="B608">
        <v>35</v>
      </c>
      <c r="C608" t="s">
        <v>43</v>
      </c>
      <c r="D608" t="s">
        <v>30</v>
      </c>
      <c r="E608" t="s">
        <v>69</v>
      </c>
      <c r="F608" t="s">
        <v>56</v>
      </c>
      <c r="G608" t="s">
        <v>30</v>
      </c>
      <c r="H608" t="s">
        <v>1267</v>
      </c>
      <c r="I608" t="s">
        <v>117</v>
      </c>
      <c r="J608">
        <v>151.81</v>
      </c>
      <c r="K608">
        <v>8</v>
      </c>
      <c r="L608" t="s">
        <v>78</v>
      </c>
      <c r="M608">
        <v>3</v>
      </c>
      <c r="N608">
        <v>4</v>
      </c>
      <c r="O608">
        <v>0</v>
      </c>
      <c r="P608" t="s">
        <v>49</v>
      </c>
      <c r="Q608" t="s">
        <v>50</v>
      </c>
      <c r="R608">
        <v>1</v>
      </c>
      <c r="S608">
        <v>10</v>
      </c>
      <c r="T608" t="s">
        <v>36</v>
      </c>
      <c r="U608" t="s">
        <v>38</v>
      </c>
      <c r="V608" t="s">
        <v>61</v>
      </c>
      <c r="W608" s="1">
        <v>45304</v>
      </c>
      <c r="X608" t="b">
        <v>0</v>
      </c>
      <c r="Y608" t="b">
        <v>0</v>
      </c>
      <c r="Z608" t="s">
        <v>74</v>
      </c>
      <c r="AA608" t="s">
        <v>41</v>
      </c>
      <c r="AB608">
        <v>1</v>
      </c>
    </row>
    <row r="609" spans="1:28" x14ac:dyDescent="0.25">
      <c r="A609" t="s">
        <v>1291</v>
      </c>
      <c r="B609">
        <v>25</v>
      </c>
      <c r="C609" t="s">
        <v>29</v>
      </c>
      <c r="D609" t="s">
        <v>44</v>
      </c>
      <c r="E609" t="s">
        <v>31</v>
      </c>
      <c r="F609" t="s">
        <v>45</v>
      </c>
      <c r="G609" t="s">
        <v>30</v>
      </c>
      <c r="H609" t="s">
        <v>1292</v>
      </c>
      <c r="I609" t="s">
        <v>71</v>
      </c>
      <c r="J609">
        <v>239.28</v>
      </c>
      <c r="K609">
        <v>8</v>
      </c>
      <c r="L609" t="s">
        <v>78</v>
      </c>
      <c r="M609">
        <v>1</v>
      </c>
      <c r="N609">
        <v>4</v>
      </c>
      <c r="O609">
        <v>1</v>
      </c>
      <c r="P609" t="s">
        <v>49</v>
      </c>
      <c r="Q609" t="s">
        <v>37</v>
      </c>
      <c r="R609">
        <v>2</v>
      </c>
      <c r="S609">
        <v>5</v>
      </c>
      <c r="T609" t="s">
        <v>49</v>
      </c>
      <c r="U609" t="s">
        <v>38</v>
      </c>
      <c r="V609" t="s">
        <v>66</v>
      </c>
      <c r="W609" s="1">
        <v>45604</v>
      </c>
      <c r="X609" t="b">
        <v>0</v>
      </c>
      <c r="Y609" t="b">
        <v>1</v>
      </c>
      <c r="Z609" t="s">
        <v>62</v>
      </c>
      <c r="AA609" t="s">
        <v>41</v>
      </c>
      <c r="AB609">
        <v>10</v>
      </c>
    </row>
    <row r="610" spans="1:28" x14ac:dyDescent="0.25">
      <c r="A610" t="s">
        <v>1293</v>
      </c>
      <c r="B610">
        <v>40</v>
      </c>
      <c r="C610" t="s">
        <v>29</v>
      </c>
      <c r="D610" t="s">
        <v>44</v>
      </c>
      <c r="E610" t="s">
        <v>69</v>
      </c>
      <c r="F610" t="s">
        <v>45</v>
      </c>
      <c r="G610" t="s">
        <v>44</v>
      </c>
      <c r="H610" t="s">
        <v>1294</v>
      </c>
      <c r="I610" t="s">
        <v>93</v>
      </c>
      <c r="J610">
        <v>306.17</v>
      </c>
      <c r="K610">
        <v>4</v>
      </c>
      <c r="L610" t="s">
        <v>48</v>
      </c>
      <c r="M610">
        <v>3</v>
      </c>
      <c r="N610">
        <v>5</v>
      </c>
      <c r="O610">
        <v>1</v>
      </c>
      <c r="P610" t="s">
        <v>49</v>
      </c>
      <c r="Q610" t="s">
        <v>37</v>
      </c>
      <c r="R610">
        <v>0</v>
      </c>
      <c r="S610">
        <v>6</v>
      </c>
      <c r="T610" t="s">
        <v>49</v>
      </c>
      <c r="U610" t="s">
        <v>38</v>
      </c>
      <c r="V610" t="s">
        <v>51</v>
      </c>
      <c r="W610" s="1">
        <v>45320</v>
      </c>
      <c r="X610" t="b">
        <v>0</v>
      </c>
      <c r="Y610" t="b">
        <v>1</v>
      </c>
      <c r="Z610" t="s">
        <v>52</v>
      </c>
      <c r="AA610" t="s">
        <v>67</v>
      </c>
      <c r="AB610">
        <v>8</v>
      </c>
    </row>
    <row r="611" spans="1:28" x14ac:dyDescent="0.25">
      <c r="A611" t="s">
        <v>1295</v>
      </c>
      <c r="B611">
        <v>40</v>
      </c>
      <c r="C611" t="s">
        <v>29</v>
      </c>
      <c r="D611" t="s">
        <v>44</v>
      </c>
      <c r="E611" t="s">
        <v>69</v>
      </c>
      <c r="F611" t="s">
        <v>56</v>
      </c>
      <c r="G611" t="s">
        <v>44</v>
      </c>
      <c r="H611" t="s">
        <v>1296</v>
      </c>
      <c r="I611" t="s">
        <v>117</v>
      </c>
      <c r="J611">
        <v>370.38</v>
      </c>
      <c r="K611">
        <v>11</v>
      </c>
      <c r="L611" t="s">
        <v>48</v>
      </c>
      <c r="M611">
        <v>1</v>
      </c>
      <c r="N611">
        <v>2</v>
      </c>
      <c r="O611">
        <v>1</v>
      </c>
      <c r="P611" t="s">
        <v>36</v>
      </c>
      <c r="Q611" t="s">
        <v>50</v>
      </c>
      <c r="R611">
        <v>1</v>
      </c>
      <c r="S611">
        <v>1</v>
      </c>
      <c r="T611" t="s">
        <v>44</v>
      </c>
      <c r="U611" t="s">
        <v>79</v>
      </c>
      <c r="V611" t="s">
        <v>66</v>
      </c>
      <c r="W611" s="1">
        <v>45355</v>
      </c>
      <c r="X611" t="b">
        <v>1</v>
      </c>
      <c r="Y611" t="b">
        <v>1</v>
      </c>
      <c r="Z611" t="s">
        <v>52</v>
      </c>
      <c r="AA611" t="s">
        <v>41</v>
      </c>
      <c r="AB611">
        <v>9</v>
      </c>
    </row>
    <row r="612" spans="1:28" x14ac:dyDescent="0.25">
      <c r="A612" t="s">
        <v>1297</v>
      </c>
      <c r="B612">
        <v>50</v>
      </c>
      <c r="C612" t="s">
        <v>43</v>
      </c>
      <c r="D612" t="s">
        <v>30</v>
      </c>
      <c r="E612" t="s">
        <v>55</v>
      </c>
      <c r="F612" t="s">
        <v>32</v>
      </c>
      <c r="G612" t="s">
        <v>30</v>
      </c>
      <c r="H612" t="s">
        <v>1298</v>
      </c>
      <c r="I612" t="s">
        <v>135</v>
      </c>
      <c r="J612">
        <v>346.58</v>
      </c>
      <c r="K612">
        <v>6</v>
      </c>
      <c r="L612" t="s">
        <v>35</v>
      </c>
      <c r="M612">
        <v>5</v>
      </c>
      <c r="N612">
        <v>1</v>
      </c>
      <c r="O612">
        <v>1</v>
      </c>
      <c r="P612" t="s">
        <v>44</v>
      </c>
      <c r="Q612" t="s">
        <v>37</v>
      </c>
      <c r="R612">
        <v>0</v>
      </c>
      <c r="S612">
        <v>9</v>
      </c>
      <c r="T612" t="s">
        <v>59</v>
      </c>
      <c r="U612" t="s">
        <v>38</v>
      </c>
      <c r="V612" t="s">
        <v>66</v>
      </c>
      <c r="W612" s="1">
        <v>45446</v>
      </c>
      <c r="X612" t="b">
        <v>0</v>
      </c>
      <c r="Y612" t="b">
        <v>0</v>
      </c>
      <c r="Z612" t="s">
        <v>62</v>
      </c>
      <c r="AA612" t="s">
        <v>67</v>
      </c>
      <c r="AB612">
        <v>7</v>
      </c>
    </row>
    <row r="613" spans="1:28" x14ac:dyDescent="0.25">
      <c r="A613" t="s">
        <v>1299</v>
      </c>
      <c r="B613">
        <v>24</v>
      </c>
      <c r="C613" t="s">
        <v>43</v>
      </c>
      <c r="D613" t="s">
        <v>30</v>
      </c>
      <c r="E613" t="s">
        <v>55</v>
      </c>
      <c r="F613" t="s">
        <v>45</v>
      </c>
      <c r="G613" t="s">
        <v>30</v>
      </c>
      <c r="H613" t="s">
        <v>1300</v>
      </c>
      <c r="I613" t="s">
        <v>120</v>
      </c>
      <c r="J613">
        <v>292.64</v>
      </c>
      <c r="K613">
        <v>5</v>
      </c>
      <c r="L613" t="s">
        <v>48</v>
      </c>
      <c r="M613">
        <v>1</v>
      </c>
      <c r="N613">
        <v>1</v>
      </c>
      <c r="O613">
        <v>1</v>
      </c>
      <c r="P613" t="s">
        <v>36</v>
      </c>
      <c r="Q613" t="s">
        <v>37</v>
      </c>
      <c r="R613">
        <v>2</v>
      </c>
      <c r="S613">
        <v>10</v>
      </c>
      <c r="T613" t="s">
        <v>49</v>
      </c>
      <c r="U613" t="s">
        <v>38</v>
      </c>
      <c r="V613" t="s">
        <v>39</v>
      </c>
      <c r="W613" s="1">
        <v>45632</v>
      </c>
      <c r="X613" t="b">
        <v>1</v>
      </c>
      <c r="Y613" t="b">
        <v>0</v>
      </c>
      <c r="Z613" t="s">
        <v>52</v>
      </c>
      <c r="AA613" t="s">
        <v>53</v>
      </c>
      <c r="AB613">
        <v>1</v>
      </c>
    </row>
    <row r="614" spans="1:28" x14ac:dyDescent="0.25">
      <c r="A614" t="s">
        <v>1301</v>
      </c>
      <c r="B614">
        <v>30</v>
      </c>
      <c r="C614" t="s">
        <v>29</v>
      </c>
      <c r="D614" t="s">
        <v>30</v>
      </c>
      <c r="E614" t="s">
        <v>31</v>
      </c>
      <c r="F614" t="s">
        <v>32</v>
      </c>
      <c r="G614" t="s">
        <v>44</v>
      </c>
      <c r="H614" t="s">
        <v>1302</v>
      </c>
      <c r="I614" t="s">
        <v>194</v>
      </c>
      <c r="J614">
        <v>102.91</v>
      </c>
      <c r="K614">
        <v>12</v>
      </c>
      <c r="L614" t="s">
        <v>35</v>
      </c>
      <c r="M614">
        <v>2</v>
      </c>
      <c r="N614">
        <v>1</v>
      </c>
      <c r="O614">
        <v>1</v>
      </c>
      <c r="P614" t="s">
        <v>49</v>
      </c>
      <c r="Q614" t="s">
        <v>85</v>
      </c>
      <c r="R614">
        <v>1</v>
      </c>
      <c r="S614">
        <v>10</v>
      </c>
      <c r="T614" t="s">
        <v>36</v>
      </c>
      <c r="U614" t="s">
        <v>79</v>
      </c>
      <c r="V614" t="s">
        <v>51</v>
      </c>
      <c r="W614" s="1">
        <v>45377</v>
      </c>
      <c r="X614" t="b">
        <v>1</v>
      </c>
      <c r="Y614" t="b">
        <v>0</v>
      </c>
      <c r="Z614" t="s">
        <v>62</v>
      </c>
      <c r="AA614" t="s">
        <v>67</v>
      </c>
      <c r="AB614">
        <v>13</v>
      </c>
    </row>
    <row r="615" spans="1:28" x14ac:dyDescent="0.25">
      <c r="A615" t="s">
        <v>1303</v>
      </c>
      <c r="B615">
        <v>32</v>
      </c>
      <c r="C615" t="s">
        <v>29</v>
      </c>
      <c r="D615" t="s">
        <v>44</v>
      </c>
      <c r="E615" t="s">
        <v>69</v>
      </c>
      <c r="F615" t="s">
        <v>32</v>
      </c>
      <c r="G615" t="s">
        <v>30</v>
      </c>
      <c r="H615" t="s">
        <v>1304</v>
      </c>
      <c r="I615" t="s">
        <v>65</v>
      </c>
      <c r="J615">
        <v>283.77999999999997</v>
      </c>
      <c r="K615">
        <v>4</v>
      </c>
      <c r="L615" t="s">
        <v>35</v>
      </c>
      <c r="M615">
        <v>2</v>
      </c>
      <c r="N615">
        <v>4</v>
      </c>
      <c r="O615">
        <v>1.2</v>
      </c>
      <c r="P615" t="s">
        <v>36</v>
      </c>
      <c r="Q615" t="s">
        <v>37</v>
      </c>
      <c r="R615">
        <v>0</v>
      </c>
      <c r="S615">
        <v>6</v>
      </c>
      <c r="T615" t="s">
        <v>36</v>
      </c>
      <c r="U615" t="s">
        <v>60</v>
      </c>
      <c r="V615" t="s">
        <v>61</v>
      </c>
      <c r="W615" s="1">
        <v>45513</v>
      </c>
      <c r="X615" t="b">
        <v>1</v>
      </c>
      <c r="Y615" t="b">
        <v>0</v>
      </c>
      <c r="Z615" t="s">
        <v>40</v>
      </c>
      <c r="AA615" t="s">
        <v>67</v>
      </c>
      <c r="AB615">
        <v>10</v>
      </c>
    </row>
    <row r="616" spans="1:28" x14ac:dyDescent="0.25">
      <c r="A616" t="s">
        <v>1305</v>
      </c>
      <c r="B616">
        <v>48</v>
      </c>
      <c r="C616" t="s">
        <v>29</v>
      </c>
      <c r="D616" t="s">
        <v>44</v>
      </c>
      <c r="E616" t="s">
        <v>69</v>
      </c>
      <c r="F616" t="s">
        <v>45</v>
      </c>
      <c r="G616" t="s">
        <v>30</v>
      </c>
      <c r="H616" t="s">
        <v>1306</v>
      </c>
      <c r="I616" t="s">
        <v>188</v>
      </c>
      <c r="J616">
        <v>51.44</v>
      </c>
      <c r="K616">
        <v>2</v>
      </c>
      <c r="L616" t="s">
        <v>48</v>
      </c>
      <c r="M616">
        <v>1</v>
      </c>
      <c r="N616">
        <v>3</v>
      </c>
      <c r="O616">
        <v>2</v>
      </c>
      <c r="P616" t="s">
        <v>44</v>
      </c>
      <c r="Q616" t="s">
        <v>50</v>
      </c>
      <c r="R616">
        <v>0</v>
      </c>
      <c r="S616">
        <v>1</v>
      </c>
      <c r="T616" t="s">
        <v>44</v>
      </c>
      <c r="U616" t="s">
        <v>38</v>
      </c>
      <c r="V616" t="s">
        <v>66</v>
      </c>
      <c r="W616" s="1">
        <v>45429</v>
      </c>
      <c r="X616" t="b">
        <v>1</v>
      </c>
      <c r="Y616" t="b">
        <v>0</v>
      </c>
      <c r="Z616" t="s">
        <v>74</v>
      </c>
      <c r="AA616" t="s">
        <v>41</v>
      </c>
      <c r="AB616">
        <v>5</v>
      </c>
    </row>
    <row r="617" spans="1:28" x14ac:dyDescent="0.25">
      <c r="A617" t="s">
        <v>1307</v>
      </c>
      <c r="B617">
        <v>44</v>
      </c>
      <c r="C617" t="s">
        <v>29</v>
      </c>
      <c r="D617" t="s">
        <v>44</v>
      </c>
      <c r="E617" t="s">
        <v>31</v>
      </c>
      <c r="F617" t="s">
        <v>32</v>
      </c>
      <c r="G617" t="s">
        <v>44</v>
      </c>
      <c r="H617" t="s">
        <v>1308</v>
      </c>
      <c r="I617" t="s">
        <v>98</v>
      </c>
      <c r="J617">
        <v>405.7</v>
      </c>
      <c r="K617">
        <v>12</v>
      </c>
      <c r="L617" t="s">
        <v>78</v>
      </c>
      <c r="M617">
        <v>1</v>
      </c>
      <c r="N617">
        <v>3</v>
      </c>
      <c r="O617">
        <v>1</v>
      </c>
      <c r="P617" t="s">
        <v>59</v>
      </c>
      <c r="Q617" t="s">
        <v>85</v>
      </c>
      <c r="R617">
        <v>2</v>
      </c>
      <c r="S617">
        <v>10</v>
      </c>
      <c r="T617" t="s">
        <v>59</v>
      </c>
      <c r="U617" t="s">
        <v>38</v>
      </c>
      <c r="V617" t="s">
        <v>39</v>
      </c>
      <c r="W617" s="1">
        <v>45339</v>
      </c>
      <c r="X617" t="b">
        <v>1</v>
      </c>
      <c r="Y617" t="b">
        <v>1</v>
      </c>
      <c r="Z617" t="s">
        <v>52</v>
      </c>
      <c r="AA617" t="s">
        <v>53</v>
      </c>
      <c r="AB617">
        <v>14</v>
      </c>
    </row>
    <row r="618" spans="1:28" x14ac:dyDescent="0.25">
      <c r="A618" t="s">
        <v>1309</v>
      </c>
      <c r="B618">
        <v>19</v>
      </c>
      <c r="C618" t="s">
        <v>29</v>
      </c>
      <c r="D618" t="s">
        <v>44</v>
      </c>
      <c r="E618" t="s">
        <v>69</v>
      </c>
      <c r="F618" t="s">
        <v>56</v>
      </c>
      <c r="G618" t="s">
        <v>30</v>
      </c>
      <c r="H618" t="s">
        <v>1310</v>
      </c>
      <c r="I618" t="s">
        <v>158</v>
      </c>
      <c r="J618">
        <v>311.74</v>
      </c>
      <c r="K618">
        <v>11</v>
      </c>
      <c r="L618" t="s">
        <v>35</v>
      </c>
      <c r="M618">
        <v>1</v>
      </c>
      <c r="N618">
        <v>4</v>
      </c>
      <c r="O618">
        <v>2</v>
      </c>
      <c r="P618" t="s">
        <v>59</v>
      </c>
      <c r="Q618" t="s">
        <v>37</v>
      </c>
      <c r="R618">
        <v>2</v>
      </c>
      <c r="S618">
        <v>10</v>
      </c>
      <c r="T618" t="s">
        <v>49</v>
      </c>
      <c r="U618" t="s">
        <v>60</v>
      </c>
      <c r="V618" t="s">
        <v>51</v>
      </c>
      <c r="W618" s="1">
        <v>45308</v>
      </c>
      <c r="X618" t="b">
        <v>1</v>
      </c>
      <c r="Y618" t="b">
        <v>0</v>
      </c>
      <c r="Z618" t="s">
        <v>62</v>
      </c>
      <c r="AA618" t="s">
        <v>67</v>
      </c>
      <c r="AB618">
        <v>11</v>
      </c>
    </row>
    <row r="619" spans="1:28" x14ac:dyDescent="0.25">
      <c r="A619" t="s">
        <v>1311</v>
      </c>
      <c r="B619">
        <v>39</v>
      </c>
      <c r="C619" t="s">
        <v>43</v>
      </c>
      <c r="D619" t="s">
        <v>30</v>
      </c>
      <c r="E619" t="s">
        <v>69</v>
      </c>
      <c r="F619" t="s">
        <v>32</v>
      </c>
      <c r="G619" t="s">
        <v>44</v>
      </c>
      <c r="H619" t="s">
        <v>1312</v>
      </c>
      <c r="I619" t="s">
        <v>183</v>
      </c>
      <c r="J619">
        <v>293.43</v>
      </c>
      <c r="K619">
        <v>9</v>
      </c>
      <c r="L619" t="s">
        <v>48</v>
      </c>
      <c r="M619">
        <v>4</v>
      </c>
      <c r="N619">
        <v>4</v>
      </c>
      <c r="O619">
        <v>1</v>
      </c>
      <c r="P619" t="s">
        <v>49</v>
      </c>
      <c r="Q619" t="s">
        <v>85</v>
      </c>
      <c r="R619">
        <v>0</v>
      </c>
      <c r="S619">
        <v>5</v>
      </c>
      <c r="T619" t="s">
        <v>36</v>
      </c>
      <c r="U619" t="s">
        <v>79</v>
      </c>
      <c r="V619" t="s">
        <v>86</v>
      </c>
      <c r="W619" s="1">
        <v>45478</v>
      </c>
      <c r="X619" t="b">
        <v>0</v>
      </c>
      <c r="Y619" t="b">
        <v>1</v>
      </c>
      <c r="Z619" t="s">
        <v>40</v>
      </c>
      <c r="AA619" t="s">
        <v>53</v>
      </c>
      <c r="AB619">
        <v>7</v>
      </c>
    </row>
    <row r="620" spans="1:28" x14ac:dyDescent="0.25">
      <c r="A620" t="s">
        <v>1313</v>
      </c>
      <c r="B620">
        <v>35</v>
      </c>
      <c r="C620" t="s">
        <v>29</v>
      </c>
      <c r="D620" t="s">
        <v>44</v>
      </c>
      <c r="E620" t="s">
        <v>55</v>
      </c>
      <c r="F620" t="s">
        <v>32</v>
      </c>
      <c r="G620" t="s">
        <v>30</v>
      </c>
      <c r="H620" t="s">
        <v>1314</v>
      </c>
      <c r="I620" t="s">
        <v>123</v>
      </c>
      <c r="J620">
        <v>418.51</v>
      </c>
      <c r="K620">
        <v>6</v>
      </c>
      <c r="L620" t="s">
        <v>78</v>
      </c>
      <c r="M620">
        <v>4</v>
      </c>
      <c r="N620">
        <v>4</v>
      </c>
      <c r="O620">
        <v>2</v>
      </c>
      <c r="P620" t="s">
        <v>59</v>
      </c>
      <c r="Q620" t="s">
        <v>37</v>
      </c>
      <c r="R620">
        <v>2</v>
      </c>
      <c r="S620">
        <v>2</v>
      </c>
      <c r="T620" t="s">
        <v>44</v>
      </c>
      <c r="U620" t="s">
        <v>79</v>
      </c>
      <c r="V620" t="s">
        <v>39</v>
      </c>
      <c r="W620" s="1">
        <v>45413</v>
      </c>
      <c r="X620" t="b">
        <v>0</v>
      </c>
      <c r="Y620" t="b">
        <v>1</v>
      </c>
      <c r="Z620" t="s">
        <v>40</v>
      </c>
      <c r="AA620" t="s">
        <v>53</v>
      </c>
      <c r="AB620">
        <v>3</v>
      </c>
    </row>
    <row r="621" spans="1:28" x14ac:dyDescent="0.25">
      <c r="A621" t="s">
        <v>1315</v>
      </c>
      <c r="B621">
        <v>39</v>
      </c>
      <c r="C621" t="s">
        <v>43</v>
      </c>
      <c r="D621" t="s">
        <v>30</v>
      </c>
      <c r="E621" t="s">
        <v>55</v>
      </c>
      <c r="F621" t="s">
        <v>56</v>
      </c>
      <c r="G621" t="s">
        <v>30</v>
      </c>
      <c r="H621" t="s">
        <v>1316</v>
      </c>
      <c r="I621" t="s">
        <v>104</v>
      </c>
      <c r="J621">
        <v>85.03</v>
      </c>
      <c r="K621">
        <v>9</v>
      </c>
      <c r="L621" t="s">
        <v>48</v>
      </c>
      <c r="M621">
        <v>5</v>
      </c>
      <c r="N621">
        <v>4</v>
      </c>
      <c r="O621">
        <v>1</v>
      </c>
      <c r="P621" t="s">
        <v>49</v>
      </c>
      <c r="Q621" t="s">
        <v>50</v>
      </c>
      <c r="R621">
        <v>0</v>
      </c>
      <c r="S621">
        <v>9</v>
      </c>
      <c r="T621" t="s">
        <v>44</v>
      </c>
      <c r="U621" t="s">
        <v>60</v>
      </c>
      <c r="V621" t="s">
        <v>39</v>
      </c>
      <c r="W621" s="1">
        <v>45571</v>
      </c>
      <c r="X621" t="b">
        <v>1</v>
      </c>
      <c r="Y621" t="b">
        <v>1</v>
      </c>
      <c r="Z621" t="s">
        <v>52</v>
      </c>
      <c r="AA621" t="s">
        <v>67</v>
      </c>
      <c r="AB621">
        <v>8</v>
      </c>
    </row>
    <row r="622" spans="1:28" x14ac:dyDescent="0.25">
      <c r="A622" t="s">
        <v>1317</v>
      </c>
      <c r="B622">
        <v>31</v>
      </c>
      <c r="C622" t="s">
        <v>43</v>
      </c>
      <c r="D622" t="s">
        <v>30</v>
      </c>
      <c r="E622" t="s">
        <v>31</v>
      </c>
      <c r="F622" t="s">
        <v>56</v>
      </c>
      <c r="G622" t="s">
        <v>44</v>
      </c>
      <c r="H622" t="s">
        <v>1318</v>
      </c>
      <c r="I622" t="s">
        <v>93</v>
      </c>
      <c r="J622">
        <v>164.94</v>
      </c>
      <c r="K622">
        <v>4</v>
      </c>
      <c r="L622" t="s">
        <v>48</v>
      </c>
      <c r="M622">
        <v>4</v>
      </c>
      <c r="N622">
        <v>4</v>
      </c>
      <c r="O622">
        <v>2</v>
      </c>
      <c r="P622" t="s">
        <v>44</v>
      </c>
      <c r="Q622" t="s">
        <v>37</v>
      </c>
      <c r="R622">
        <v>2</v>
      </c>
      <c r="S622">
        <v>2</v>
      </c>
      <c r="T622" t="s">
        <v>59</v>
      </c>
      <c r="U622" t="s">
        <v>79</v>
      </c>
      <c r="V622" t="s">
        <v>51</v>
      </c>
      <c r="W622" s="1">
        <v>45491</v>
      </c>
      <c r="X622" t="b">
        <v>1</v>
      </c>
      <c r="Y622" t="b">
        <v>1</v>
      </c>
      <c r="Z622" t="s">
        <v>52</v>
      </c>
      <c r="AA622" t="s">
        <v>67</v>
      </c>
      <c r="AB622">
        <v>6</v>
      </c>
    </row>
    <row r="623" spans="1:28" x14ac:dyDescent="0.25">
      <c r="A623" t="s">
        <v>1319</v>
      </c>
      <c r="B623">
        <v>38</v>
      </c>
      <c r="C623" t="s">
        <v>29</v>
      </c>
      <c r="D623" t="s">
        <v>44</v>
      </c>
      <c r="E623" t="s">
        <v>69</v>
      </c>
      <c r="F623" t="s">
        <v>32</v>
      </c>
      <c r="G623" t="s">
        <v>30</v>
      </c>
      <c r="H623" t="s">
        <v>1320</v>
      </c>
      <c r="I623" t="s">
        <v>158</v>
      </c>
      <c r="J623">
        <v>89.32</v>
      </c>
      <c r="K623">
        <v>11</v>
      </c>
      <c r="L623" t="s">
        <v>78</v>
      </c>
      <c r="M623">
        <v>1</v>
      </c>
      <c r="N623">
        <v>1</v>
      </c>
      <c r="O623">
        <v>0.3</v>
      </c>
      <c r="P623" t="s">
        <v>59</v>
      </c>
      <c r="Q623" t="s">
        <v>37</v>
      </c>
      <c r="R623">
        <v>1</v>
      </c>
      <c r="S623">
        <v>3</v>
      </c>
      <c r="T623" t="s">
        <v>44</v>
      </c>
      <c r="U623" t="s">
        <v>79</v>
      </c>
      <c r="V623" t="s">
        <v>66</v>
      </c>
      <c r="W623" s="1">
        <v>45405</v>
      </c>
      <c r="X623" t="b">
        <v>1</v>
      </c>
      <c r="Y623" t="b">
        <v>0</v>
      </c>
      <c r="Z623" t="s">
        <v>52</v>
      </c>
      <c r="AA623" t="s">
        <v>41</v>
      </c>
      <c r="AB623">
        <v>12</v>
      </c>
    </row>
    <row r="624" spans="1:28" x14ac:dyDescent="0.25">
      <c r="A624" t="s">
        <v>1321</v>
      </c>
      <c r="B624">
        <v>33</v>
      </c>
      <c r="C624" t="s">
        <v>43</v>
      </c>
      <c r="D624" t="s">
        <v>30</v>
      </c>
      <c r="E624" t="s">
        <v>31</v>
      </c>
      <c r="F624" t="s">
        <v>45</v>
      </c>
      <c r="G624" t="s">
        <v>44</v>
      </c>
      <c r="H624" t="s">
        <v>1322</v>
      </c>
      <c r="I624" t="s">
        <v>183</v>
      </c>
      <c r="J624">
        <v>388.26</v>
      </c>
      <c r="K624">
        <v>2</v>
      </c>
      <c r="L624" t="s">
        <v>35</v>
      </c>
      <c r="M624">
        <v>3</v>
      </c>
      <c r="N624">
        <v>1</v>
      </c>
      <c r="O624">
        <v>1</v>
      </c>
      <c r="P624" t="s">
        <v>44</v>
      </c>
      <c r="Q624" t="s">
        <v>50</v>
      </c>
      <c r="R624">
        <v>0</v>
      </c>
      <c r="S624">
        <v>7</v>
      </c>
      <c r="T624" t="s">
        <v>36</v>
      </c>
      <c r="U624" t="s">
        <v>60</v>
      </c>
      <c r="V624" t="s">
        <v>39</v>
      </c>
      <c r="W624" s="1">
        <v>45384</v>
      </c>
      <c r="X624" t="b">
        <v>0</v>
      </c>
      <c r="Y624" t="b">
        <v>0</v>
      </c>
      <c r="Z624" t="s">
        <v>74</v>
      </c>
      <c r="AA624" t="s">
        <v>41</v>
      </c>
      <c r="AB624">
        <v>5</v>
      </c>
    </row>
    <row r="625" spans="1:28" x14ac:dyDescent="0.25">
      <c r="A625" t="s">
        <v>1323</v>
      </c>
      <c r="B625">
        <v>33</v>
      </c>
      <c r="C625" t="s">
        <v>43</v>
      </c>
      <c r="D625" t="s">
        <v>30</v>
      </c>
      <c r="E625" t="s">
        <v>76</v>
      </c>
      <c r="F625" t="s">
        <v>56</v>
      </c>
      <c r="G625" t="s">
        <v>30</v>
      </c>
      <c r="H625" t="s">
        <v>1324</v>
      </c>
      <c r="I625" t="s">
        <v>246</v>
      </c>
      <c r="J625">
        <v>106.69</v>
      </c>
      <c r="K625">
        <v>5</v>
      </c>
      <c r="L625" t="s">
        <v>78</v>
      </c>
      <c r="M625">
        <v>3</v>
      </c>
      <c r="N625">
        <v>4</v>
      </c>
      <c r="O625">
        <v>1.3</v>
      </c>
      <c r="P625" t="s">
        <v>49</v>
      </c>
      <c r="Q625" t="s">
        <v>85</v>
      </c>
      <c r="R625">
        <v>2</v>
      </c>
      <c r="S625">
        <v>10</v>
      </c>
      <c r="T625" t="s">
        <v>36</v>
      </c>
      <c r="U625" t="s">
        <v>79</v>
      </c>
      <c r="V625" t="s">
        <v>51</v>
      </c>
      <c r="W625" s="1">
        <v>45555</v>
      </c>
      <c r="X625" t="b">
        <v>0</v>
      </c>
      <c r="Y625" t="b">
        <v>1</v>
      </c>
      <c r="Z625" t="s">
        <v>52</v>
      </c>
      <c r="AA625" t="s">
        <v>53</v>
      </c>
      <c r="AB625">
        <v>14</v>
      </c>
    </row>
    <row r="626" spans="1:28" x14ac:dyDescent="0.25">
      <c r="A626" t="s">
        <v>1325</v>
      </c>
      <c r="B626">
        <v>42</v>
      </c>
      <c r="C626" t="s">
        <v>274</v>
      </c>
      <c r="D626" t="s">
        <v>30</v>
      </c>
      <c r="E626" t="s">
        <v>31</v>
      </c>
      <c r="F626" t="s">
        <v>32</v>
      </c>
      <c r="G626" t="s">
        <v>44</v>
      </c>
      <c r="H626" t="s">
        <v>1326</v>
      </c>
      <c r="I626" t="s">
        <v>114</v>
      </c>
      <c r="J626">
        <v>301.16000000000003</v>
      </c>
      <c r="K626">
        <v>10</v>
      </c>
      <c r="L626" t="s">
        <v>78</v>
      </c>
      <c r="M626">
        <v>4</v>
      </c>
      <c r="N626">
        <v>3</v>
      </c>
      <c r="O626">
        <v>2</v>
      </c>
      <c r="P626" t="s">
        <v>36</v>
      </c>
      <c r="Q626" t="s">
        <v>85</v>
      </c>
      <c r="R626">
        <v>2</v>
      </c>
      <c r="S626">
        <v>9</v>
      </c>
      <c r="T626" t="s">
        <v>49</v>
      </c>
      <c r="U626" t="s">
        <v>38</v>
      </c>
      <c r="V626" t="s">
        <v>86</v>
      </c>
      <c r="W626" s="1">
        <v>45499</v>
      </c>
      <c r="X626" t="b">
        <v>0</v>
      </c>
      <c r="Y626" t="b">
        <v>0</v>
      </c>
      <c r="Z626" t="s">
        <v>40</v>
      </c>
      <c r="AA626" t="s">
        <v>53</v>
      </c>
      <c r="AB626">
        <v>1</v>
      </c>
    </row>
    <row r="627" spans="1:28" x14ac:dyDescent="0.25">
      <c r="A627" t="s">
        <v>1327</v>
      </c>
      <c r="B627">
        <v>49</v>
      </c>
      <c r="C627" t="s">
        <v>43</v>
      </c>
      <c r="D627" t="s">
        <v>30</v>
      </c>
      <c r="E627" t="s">
        <v>76</v>
      </c>
      <c r="F627" t="s">
        <v>45</v>
      </c>
      <c r="G627" t="s">
        <v>44</v>
      </c>
      <c r="H627" t="s">
        <v>1328</v>
      </c>
      <c r="I627" t="s">
        <v>107</v>
      </c>
      <c r="J627">
        <v>61.71</v>
      </c>
      <c r="K627">
        <v>6</v>
      </c>
      <c r="L627" t="s">
        <v>35</v>
      </c>
      <c r="M627">
        <v>2</v>
      </c>
      <c r="N627">
        <v>5</v>
      </c>
      <c r="O627">
        <v>1</v>
      </c>
      <c r="P627" t="s">
        <v>59</v>
      </c>
      <c r="Q627" t="s">
        <v>85</v>
      </c>
      <c r="R627">
        <v>2</v>
      </c>
      <c r="S627">
        <v>7</v>
      </c>
      <c r="T627" t="s">
        <v>59</v>
      </c>
      <c r="U627" t="s">
        <v>38</v>
      </c>
      <c r="V627" t="s">
        <v>86</v>
      </c>
      <c r="W627" s="1">
        <v>45568</v>
      </c>
      <c r="X627" t="b">
        <v>0</v>
      </c>
      <c r="Y627" t="b">
        <v>0</v>
      </c>
      <c r="Z627" t="s">
        <v>62</v>
      </c>
      <c r="AA627" t="s">
        <v>41</v>
      </c>
      <c r="AB627">
        <v>12</v>
      </c>
    </row>
    <row r="628" spans="1:28" x14ac:dyDescent="0.25">
      <c r="A628" t="s">
        <v>1329</v>
      </c>
      <c r="B628">
        <v>46</v>
      </c>
      <c r="C628" t="s">
        <v>190</v>
      </c>
      <c r="D628" t="s">
        <v>30</v>
      </c>
      <c r="E628" t="s">
        <v>76</v>
      </c>
      <c r="F628" t="s">
        <v>45</v>
      </c>
      <c r="G628" t="s">
        <v>44</v>
      </c>
      <c r="H628" t="s">
        <v>1330</v>
      </c>
      <c r="I628" t="s">
        <v>90</v>
      </c>
      <c r="J628">
        <v>83.33</v>
      </c>
      <c r="K628">
        <v>11</v>
      </c>
      <c r="L628" t="s">
        <v>48</v>
      </c>
      <c r="M628">
        <v>1</v>
      </c>
      <c r="N628">
        <v>5</v>
      </c>
      <c r="O628">
        <v>1</v>
      </c>
      <c r="P628" t="s">
        <v>49</v>
      </c>
      <c r="Q628" t="s">
        <v>85</v>
      </c>
      <c r="R628">
        <v>1</v>
      </c>
      <c r="S628">
        <v>6</v>
      </c>
      <c r="T628" t="s">
        <v>59</v>
      </c>
      <c r="U628" t="s">
        <v>79</v>
      </c>
      <c r="V628" t="s">
        <v>61</v>
      </c>
      <c r="W628" s="1">
        <v>45349</v>
      </c>
      <c r="X628" t="b">
        <v>1</v>
      </c>
      <c r="Y628" t="b">
        <v>1</v>
      </c>
      <c r="Z628" t="s">
        <v>74</v>
      </c>
      <c r="AA628" t="s">
        <v>67</v>
      </c>
      <c r="AB628">
        <v>1</v>
      </c>
    </row>
    <row r="629" spans="1:28" x14ac:dyDescent="0.25">
      <c r="A629" t="s">
        <v>1331</v>
      </c>
      <c r="B629">
        <v>42</v>
      </c>
      <c r="C629" t="s">
        <v>43</v>
      </c>
      <c r="D629" t="s">
        <v>44</v>
      </c>
      <c r="E629" t="s">
        <v>55</v>
      </c>
      <c r="F629" t="s">
        <v>32</v>
      </c>
      <c r="G629" t="s">
        <v>30</v>
      </c>
      <c r="H629" t="s">
        <v>1332</v>
      </c>
      <c r="I629" t="s">
        <v>82</v>
      </c>
      <c r="J629">
        <v>411.81</v>
      </c>
      <c r="K629">
        <v>4</v>
      </c>
      <c r="L629" t="s">
        <v>35</v>
      </c>
      <c r="M629">
        <v>1</v>
      </c>
      <c r="N629">
        <v>3</v>
      </c>
      <c r="O629">
        <v>1</v>
      </c>
      <c r="P629" t="s">
        <v>44</v>
      </c>
      <c r="Q629" t="s">
        <v>37</v>
      </c>
      <c r="R629">
        <v>1</v>
      </c>
      <c r="S629">
        <v>1</v>
      </c>
      <c r="T629" t="s">
        <v>44</v>
      </c>
      <c r="U629" t="s">
        <v>60</v>
      </c>
      <c r="V629" t="s">
        <v>86</v>
      </c>
      <c r="W629" s="1">
        <v>45390</v>
      </c>
      <c r="X629" t="b">
        <v>1</v>
      </c>
      <c r="Y629" t="b">
        <v>1</v>
      </c>
      <c r="Z629" t="s">
        <v>74</v>
      </c>
      <c r="AA629" t="s">
        <v>53</v>
      </c>
      <c r="AB629">
        <v>1</v>
      </c>
    </row>
    <row r="630" spans="1:28" x14ac:dyDescent="0.25">
      <c r="A630" t="s">
        <v>1333</v>
      </c>
      <c r="B630">
        <v>44</v>
      </c>
      <c r="C630" t="s">
        <v>29</v>
      </c>
      <c r="D630" t="s">
        <v>30</v>
      </c>
      <c r="E630" t="s">
        <v>31</v>
      </c>
      <c r="F630" t="s">
        <v>56</v>
      </c>
      <c r="G630" t="s">
        <v>44</v>
      </c>
      <c r="H630" t="s">
        <v>1334</v>
      </c>
      <c r="I630" t="s">
        <v>98</v>
      </c>
      <c r="J630">
        <v>114.93</v>
      </c>
      <c r="K630">
        <v>3</v>
      </c>
      <c r="L630" t="s">
        <v>48</v>
      </c>
      <c r="M630">
        <v>4</v>
      </c>
      <c r="N630">
        <v>3</v>
      </c>
      <c r="O630">
        <v>1</v>
      </c>
      <c r="P630" t="s">
        <v>44</v>
      </c>
      <c r="Q630" t="s">
        <v>37</v>
      </c>
      <c r="R630">
        <v>0</v>
      </c>
      <c r="S630">
        <v>4</v>
      </c>
      <c r="T630" t="s">
        <v>36</v>
      </c>
      <c r="U630" t="s">
        <v>79</v>
      </c>
      <c r="V630" t="s">
        <v>66</v>
      </c>
      <c r="W630" s="1">
        <v>45527</v>
      </c>
      <c r="X630" t="b">
        <v>1</v>
      </c>
      <c r="Y630" t="b">
        <v>1</v>
      </c>
      <c r="Z630" t="s">
        <v>62</v>
      </c>
      <c r="AA630" t="s">
        <v>53</v>
      </c>
      <c r="AB630">
        <v>4</v>
      </c>
    </row>
    <row r="631" spans="1:28" x14ac:dyDescent="0.25">
      <c r="A631" t="s">
        <v>1335</v>
      </c>
      <c r="B631">
        <v>33</v>
      </c>
      <c r="C631" t="s">
        <v>29</v>
      </c>
      <c r="D631" t="s">
        <v>44</v>
      </c>
      <c r="E631" t="s">
        <v>76</v>
      </c>
      <c r="F631" t="s">
        <v>56</v>
      </c>
      <c r="G631" t="s">
        <v>30</v>
      </c>
      <c r="H631" t="s">
        <v>1336</v>
      </c>
      <c r="I631" t="s">
        <v>246</v>
      </c>
      <c r="J631">
        <v>438.42</v>
      </c>
      <c r="K631">
        <v>11</v>
      </c>
      <c r="L631" t="s">
        <v>78</v>
      </c>
      <c r="M631">
        <v>3</v>
      </c>
      <c r="N631">
        <v>2</v>
      </c>
      <c r="O631">
        <v>2</v>
      </c>
      <c r="P631" t="s">
        <v>49</v>
      </c>
      <c r="Q631" t="s">
        <v>85</v>
      </c>
      <c r="R631">
        <v>0</v>
      </c>
      <c r="S631">
        <v>4</v>
      </c>
      <c r="T631" t="s">
        <v>59</v>
      </c>
      <c r="U631" t="s">
        <v>38</v>
      </c>
      <c r="V631" t="s">
        <v>86</v>
      </c>
      <c r="W631" s="1">
        <v>45545</v>
      </c>
      <c r="X631" t="b">
        <v>1</v>
      </c>
      <c r="Y631" t="b">
        <v>0</v>
      </c>
      <c r="Z631" t="s">
        <v>74</v>
      </c>
      <c r="AA631" t="s">
        <v>67</v>
      </c>
      <c r="AB631">
        <v>4</v>
      </c>
    </row>
    <row r="632" spans="1:28" x14ac:dyDescent="0.25">
      <c r="A632" t="s">
        <v>1337</v>
      </c>
      <c r="B632">
        <v>36</v>
      </c>
      <c r="C632" t="s">
        <v>43</v>
      </c>
      <c r="D632" t="s">
        <v>30</v>
      </c>
      <c r="E632" t="s">
        <v>69</v>
      </c>
      <c r="F632" t="s">
        <v>56</v>
      </c>
      <c r="G632" t="s">
        <v>30</v>
      </c>
      <c r="H632" t="s">
        <v>1338</v>
      </c>
      <c r="I632" t="s">
        <v>98</v>
      </c>
      <c r="J632">
        <v>189.97</v>
      </c>
      <c r="K632">
        <v>2</v>
      </c>
      <c r="L632" t="s">
        <v>48</v>
      </c>
      <c r="M632">
        <v>2</v>
      </c>
      <c r="N632">
        <v>3</v>
      </c>
      <c r="O632">
        <v>1</v>
      </c>
      <c r="P632" t="s">
        <v>44</v>
      </c>
      <c r="Q632" t="s">
        <v>37</v>
      </c>
      <c r="R632">
        <v>0</v>
      </c>
      <c r="S632">
        <v>3</v>
      </c>
      <c r="T632" t="s">
        <v>49</v>
      </c>
      <c r="U632" t="s">
        <v>60</v>
      </c>
      <c r="V632" t="s">
        <v>39</v>
      </c>
      <c r="W632" s="1">
        <v>45357</v>
      </c>
      <c r="X632" t="b">
        <v>1</v>
      </c>
      <c r="Y632" t="b">
        <v>0</v>
      </c>
      <c r="Z632" t="s">
        <v>40</v>
      </c>
      <c r="AA632" t="s">
        <v>53</v>
      </c>
      <c r="AB632">
        <v>8</v>
      </c>
    </row>
    <row r="633" spans="1:28" x14ac:dyDescent="0.25">
      <c r="A633" t="s">
        <v>1339</v>
      </c>
      <c r="B633">
        <v>35</v>
      </c>
      <c r="C633" t="s">
        <v>43</v>
      </c>
      <c r="D633" t="s">
        <v>44</v>
      </c>
      <c r="E633" t="s">
        <v>76</v>
      </c>
      <c r="F633" t="s">
        <v>56</v>
      </c>
      <c r="G633" t="s">
        <v>30</v>
      </c>
      <c r="H633" t="s">
        <v>1340</v>
      </c>
      <c r="I633" t="s">
        <v>142</v>
      </c>
      <c r="J633">
        <v>227.03</v>
      </c>
      <c r="K633">
        <v>12</v>
      </c>
      <c r="L633" t="s">
        <v>78</v>
      </c>
      <c r="M633">
        <v>2</v>
      </c>
      <c r="N633">
        <v>2</v>
      </c>
      <c r="O633">
        <v>0</v>
      </c>
      <c r="P633" t="s">
        <v>44</v>
      </c>
      <c r="Q633" t="s">
        <v>85</v>
      </c>
      <c r="R633">
        <v>2</v>
      </c>
      <c r="S633">
        <v>10</v>
      </c>
      <c r="T633" t="s">
        <v>59</v>
      </c>
      <c r="U633" t="s">
        <v>79</v>
      </c>
      <c r="V633" t="s">
        <v>51</v>
      </c>
      <c r="W633" s="1">
        <v>45480</v>
      </c>
      <c r="X633" t="b">
        <v>1</v>
      </c>
      <c r="Y633" t="b">
        <v>1</v>
      </c>
      <c r="Z633" t="s">
        <v>74</v>
      </c>
      <c r="AA633" t="s">
        <v>53</v>
      </c>
      <c r="AB633">
        <v>2</v>
      </c>
    </row>
    <row r="634" spans="1:28" x14ac:dyDescent="0.25">
      <c r="A634" t="s">
        <v>1341</v>
      </c>
      <c r="B634">
        <v>26</v>
      </c>
      <c r="C634" t="s">
        <v>43</v>
      </c>
      <c r="D634" t="s">
        <v>44</v>
      </c>
      <c r="E634" t="s">
        <v>76</v>
      </c>
      <c r="F634" t="s">
        <v>32</v>
      </c>
      <c r="G634" t="s">
        <v>30</v>
      </c>
      <c r="H634" t="s">
        <v>1342</v>
      </c>
      <c r="I634" t="s">
        <v>65</v>
      </c>
      <c r="J634">
        <v>278.49</v>
      </c>
      <c r="K634">
        <v>4</v>
      </c>
      <c r="L634" t="s">
        <v>35</v>
      </c>
      <c r="M634">
        <v>5</v>
      </c>
      <c r="N634">
        <v>5</v>
      </c>
      <c r="O634">
        <v>0</v>
      </c>
      <c r="P634" t="s">
        <v>59</v>
      </c>
      <c r="Q634" t="s">
        <v>37</v>
      </c>
      <c r="R634">
        <v>1</v>
      </c>
      <c r="S634">
        <v>5</v>
      </c>
      <c r="T634" t="s">
        <v>59</v>
      </c>
      <c r="U634" t="s">
        <v>60</v>
      </c>
      <c r="V634" t="s">
        <v>39</v>
      </c>
      <c r="W634" s="1">
        <v>45543</v>
      </c>
      <c r="X634" t="b">
        <v>1</v>
      </c>
      <c r="Y634" t="b">
        <v>1</v>
      </c>
      <c r="Z634" t="s">
        <v>40</v>
      </c>
      <c r="AA634" t="s">
        <v>67</v>
      </c>
      <c r="AB634">
        <v>8</v>
      </c>
    </row>
    <row r="635" spans="1:28" x14ac:dyDescent="0.25">
      <c r="A635" t="s">
        <v>1343</v>
      </c>
      <c r="B635">
        <v>43</v>
      </c>
      <c r="C635" t="s">
        <v>29</v>
      </c>
      <c r="D635" t="s">
        <v>44</v>
      </c>
      <c r="E635" t="s">
        <v>69</v>
      </c>
      <c r="F635" t="s">
        <v>32</v>
      </c>
      <c r="G635" t="s">
        <v>44</v>
      </c>
      <c r="H635" t="s">
        <v>1344</v>
      </c>
      <c r="I635" t="s">
        <v>101</v>
      </c>
      <c r="J635">
        <v>120.56</v>
      </c>
      <c r="K635">
        <v>5</v>
      </c>
      <c r="L635" t="s">
        <v>78</v>
      </c>
      <c r="M635">
        <v>4</v>
      </c>
      <c r="N635">
        <v>3</v>
      </c>
      <c r="O635">
        <v>2</v>
      </c>
      <c r="P635" t="s">
        <v>36</v>
      </c>
      <c r="Q635" t="s">
        <v>50</v>
      </c>
      <c r="R635">
        <v>2</v>
      </c>
      <c r="S635">
        <v>7</v>
      </c>
      <c r="T635" t="s">
        <v>59</v>
      </c>
      <c r="U635" t="s">
        <v>38</v>
      </c>
      <c r="V635" t="s">
        <v>61</v>
      </c>
      <c r="W635" s="1">
        <v>45446</v>
      </c>
      <c r="X635" t="b">
        <v>0</v>
      </c>
      <c r="Y635" t="b">
        <v>0</v>
      </c>
      <c r="Z635" t="s">
        <v>40</v>
      </c>
      <c r="AA635" t="s">
        <v>67</v>
      </c>
      <c r="AB635">
        <v>7</v>
      </c>
    </row>
    <row r="636" spans="1:28" x14ac:dyDescent="0.25">
      <c r="A636" t="s">
        <v>1345</v>
      </c>
      <c r="B636">
        <v>25</v>
      </c>
      <c r="C636" t="s">
        <v>43</v>
      </c>
      <c r="D636" t="s">
        <v>44</v>
      </c>
      <c r="E636" t="s">
        <v>76</v>
      </c>
      <c r="F636" t="s">
        <v>32</v>
      </c>
      <c r="G636" t="s">
        <v>30</v>
      </c>
      <c r="H636" t="s">
        <v>1346</v>
      </c>
      <c r="I636" t="s">
        <v>34</v>
      </c>
      <c r="J636">
        <v>320.94</v>
      </c>
      <c r="K636">
        <v>11</v>
      </c>
      <c r="L636" t="s">
        <v>78</v>
      </c>
      <c r="M636">
        <v>3</v>
      </c>
      <c r="N636">
        <v>3</v>
      </c>
      <c r="O636">
        <v>2</v>
      </c>
      <c r="P636" t="s">
        <v>44</v>
      </c>
      <c r="Q636" t="s">
        <v>50</v>
      </c>
      <c r="R636">
        <v>2</v>
      </c>
      <c r="S636">
        <v>10</v>
      </c>
      <c r="T636" t="s">
        <v>36</v>
      </c>
      <c r="U636" t="s">
        <v>60</v>
      </c>
      <c r="V636" t="s">
        <v>86</v>
      </c>
      <c r="W636" s="1">
        <v>45604</v>
      </c>
      <c r="X636" t="b">
        <v>0</v>
      </c>
      <c r="Y636" t="b">
        <v>0</v>
      </c>
      <c r="Z636" t="s">
        <v>62</v>
      </c>
      <c r="AA636" t="s">
        <v>41</v>
      </c>
      <c r="AB636">
        <v>10</v>
      </c>
    </row>
    <row r="637" spans="1:28" x14ac:dyDescent="0.25">
      <c r="A637" t="s">
        <v>1347</v>
      </c>
      <c r="B637">
        <v>37</v>
      </c>
      <c r="C637" t="s">
        <v>29</v>
      </c>
      <c r="D637" t="s">
        <v>44</v>
      </c>
      <c r="E637" t="s">
        <v>76</v>
      </c>
      <c r="F637" t="s">
        <v>56</v>
      </c>
      <c r="G637" t="s">
        <v>30</v>
      </c>
      <c r="H637" t="s">
        <v>1348</v>
      </c>
      <c r="I637" t="s">
        <v>246</v>
      </c>
      <c r="J637">
        <v>217.72</v>
      </c>
      <c r="K637">
        <v>3</v>
      </c>
      <c r="L637" t="s">
        <v>48</v>
      </c>
      <c r="M637">
        <v>4</v>
      </c>
      <c r="N637">
        <v>4</v>
      </c>
      <c r="O637">
        <v>2</v>
      </c>
      <c r="P637" t="s">
        <v>49</v>
      </c>
      <c r="Q637" t="s">
        <v>50</v>
      </c>
      <c r="R637">
        <v>1</v>
      </c>
      <c r="S637">
        <v>4</v>
      </c>
      <c r="T637" t="s">
        <v>44</v>
      </c>
      <c r="U637" t="s">
        <v>38</v>
      </c>
      <c r="V637" t="s">
        <v>61</v>
      </c>
      <c r="W637" s="1">
        <v>45581</v>
      </c>
      <c r="X637" t="b">
        <v>0</v>
      </c>
      <c r="Y637" t="b">
        <v>1</v>
      </c>
      <c r="Z637" t="s">
        <v>52</v>
      </c>
      <c r="AA637" t="s">
        <v>41</v>
      </c>
      <c r="AB637">
        <v>14</v>
      </c>
    </row>
    <row r="638" spans="1:28" x14ac:dyDescent="0.25">
      <c r="A638" t="s">
        <v>1349</v>
      </c>
      <c r="B638">
        <v>25</v>
      </c>
      <c r="C638" t="s">
        <v>43</v>
      </c>
      <c r="D638" t="s">
        <v>44</v>
      </c>
      <c r="E638" t="s">
        <v>69</v>
      </c>
      <c r="F638" t="s">
        <v>32</v>
      </c>
      <c r="G638" t="s">
        <v>30</v>
      </c>
      <c r="H638" t="s">
        <v>1350</v>
      </c>
      <c r="I638" t="s">
        <v>65</v>
      </c>
      <c r="J638">
        <v>222.61</v>
      </c>
      <c r="K638">
        <v>3</v>
      </c>
      <c r="L638" t="s">
        <v>78</v>
      </c>
      <c r="M638">
        <v>1</v>
      </c>
      <c r="N638">
        <v>2</v>
      </c>
      <c r="O638">
        <v>1</v>
      </c>
      <c r="P638" t="s">
        <v>49</v>
      </c>
      <c r="Q638" t="s">
        <v>85</v>
      </c>
      <c r="R638">
        <v>1</v>
      </c>
      <c r="S638">
        <v>1</v>
      </c>
      <c r="T638" t="s">
        <v>36</v>
      </c>
      <c r="U638" t="s">
        <v>79</v>
      </c>
      <c r="V638" t="s">
        <v>51</v>
      </c>
      <c r="W638" s="1">
        <v>45476</v>
      </c>
      <c r="X638" t="b">
        <v>0</v>
      </c>
      <c r="Y638" t="b">
        <v>1</v>
      </c>
      <c r="Z638" t="s">
        <v>40</v>
      </c>
      <c r="AA638" t="s">
        <v>53</v>
      </c>
      <c r="AB638">
        <v>3</v>
      </c>
    </row>
    <row r="639" spans="1:28" x14ac:dyDescent="0.25">
      <c r="A639" t="s">
        <v>1351</v>
      </c>
      <c r="B639">
        <v>40</v>
      </c>
      <c r="C639" t="s">
        <v>29</v>
      </c>
      <c r="D639" t="s">
        <v>30</v>
      </c>
      <c r="E639" t="s">
        <v>76</v>
      </c>
      <c r="F639" t="s">
        <v>45</v>
      </c>
      <c r="G639" t="s">
        <v>30</v>
      </c>
      <c r="H639" t="s">
        <v>1352</v>
      </c>
      <c r="I639" t="s">
        <v>188</v>
      </c>
      <c r="J639">
        <v>102.73</v>
      </c>
      <c r="K639">
        <v>3</v>
      </c>
      <c r="L639" t="s">
        <v>35</v>
      </c>
      <c r="M639">
        <v>4</v>
      </c>
      <c r="N639">
        <v>5</v>
      </c>
      <c r="O639">
        <v>0.3</v>
      </c>
      <c r="P639" t="s">
        <v>36</v>
      </c>
      <c r="Q639" t="s">
        <v>50</v>
      </c>
      <c r="R639">
        <v>2</v>
      </c>
      <c r="S639">
        <v>5</v>
      </c>
      <c r="T639" t="s">
        <v>36</v>
      </c>
      <c r="U639" t="s">
        <v>38</v>
      </c>
      <c r="V639" t="s">
        <v>61</v>
      </c>
      <c r="W639" s="1">
        <v>45491</v>
      </c>
      <c r="X639" t="b">
        <v>0</v>
      </c>
      <c r="Y639" t="b">
        <v>0</v>
      </c>
      <c r="Z639" t="s">
        <v>52</v>
      </c>
      <c r="AA639" t="s">
        <v>67</v>
      </c>
      <c r="AB639">
        <v>14</v>
      </c>
    </row>
    <row r="640" spans="1:28" x14ac:dyDescent="0.25">
      <c r="A640" t="s">
        <v>1353</v>
      </c>
      <c r="B640">
        <v>40</v>
      </c>
      <c r="C640" t="s">
        <v>29</v>
      </c>
      <c r="D640" t="s">
        <v>30</v>
      </c>
      <c r="E640" t="s">
        <v>31</v>
      </c>
      <c r="F640" t="s">
        <v>32</v>
      </c>
      <c r="G640" t="s">
        <v>44</v>
      </c>
      <c r="H640" t="s">
        <v>1354</v>
      </c>
      <c r="I640" t="s">
        <v>90</v>
      </c>
      <c r="J640">
        <v>426.87</v>
      </c>
      <c r="K640">
        <v>2</v>
      </c>
      <c r="L640" t="s">
        <v>48</v>
      </c>
      <c r="M640">
        <v>4</v>
      </c>
      <c r="N640">
        <v>2</v>
      </c>
      <c r="O640">
        <v>2</v>
      </c>
      <c r="P640" t="s">
        <v>36</v>
      </c>
      <c r="Q640" t="s">
        <v>50</v>
      </c>
      <c r="R640">
        <v>0</v>
      </c>
      <c r="S640">
        <v>4</v>
      </c>
      <c r="T640" t="s">
        <v>49</v>
      </c>
      <c r="U640" t="s">
        <v>60</v>
      </c>
      <c r="V640" t="s">
        <v>61</v>
      </c>
      <c r="W640" s="1">
        <v>45365</v>
      </c>
      <c r="X640" t="b">
        <v>0</v>
      </c>
      <c r="Y640" t="b">
        <v>0</v>
      </c>
      <c r="Z640" t="s">
        <v>52</v>
      </c>
      <c r="AA640" t="s">
        <v>41</v>
      </c>
      <c r="AB640">
        <v>3</v>
      </c>
    </row>
    <row r="641" spans="1:28" x14ac:dyDescent="0.25">
      <c r="A641" t="s">
        <v>1355</v>
      </c>
      <c r="B641">
        <v>20</v>
      </c>
      <c r="C641" t="s">
        <v>29</v>
      </c>
      <c r="D641" t="s">
        <v>30</v>
      </c>
      <c r="E641" t="s">
        <v>69</v>
      </c>
      <c r="F641" t="s">
        <v>45</v>
      </c>
      <c r="G641" t="s">
        <v>30</v>
      </c>
      <c r="H641" t="s">
        <v>1356</v>
      </c>
      <c r="I641" t="s">
        <v>246</v>
      </c>
      <c r="J641">
        <v>473.28</v>
      </c>
      <c r="K641">
        <v>5</v>
      </c>
      <c r="L641" t="s">
        <v>78</v>
      </c>
      <c r="M641">
        <v>5</v>
      </c>
      <c r="N641">
        <v>5</v>
      </c>
      <c r="O641">
        <v>1</v>
      </c>
      <c r="P641" t="s">
        <v>49</v>
      </c>
      <c r="Q641" t="s">
        <v>85</v>
      </c>
      <c r="R641">
        <v>1</v>
      </c>
      <c r="S641">
        <v>9</v>
      </c>
      <c r="T641" t="s">
        <v>36</v>
      </c>
      <c r="U641" t="s">
        <v>60</v>
      </c>
      <c r="V641" t="s">
        <v>86</v>
      </c>
      <c r="W641" s="1">
        <v>45635</v>
      </c>
      <c r="X641" t="b">
        <v>0</v>
      </c>
      <c r="Y641" t="b">
        <v>0</v>
      </c>
      <c r="Z641" t="s">
        <v>40</v>
      </c>
      <c r="AA641" t="s">
        <v>53</v>
      </c>
      <c r="AB641">
        <v>13</v>
      </c>
    </row>
    <row r="642" spans="1:28" x14ac:dyDescent="0.25">
      <c r="A642" t="s">
        <v>1357</v>
      </c>
      <c r="B642">
        <v>39</v>
      </c>
      <c r="C642" t="s">
        <v>43</v>
      </c>
      <c r="D642" t="s">
        <v>44</v>
      </c>
      <c r="E642" t="s">
        <v>69</v>
      </c>
      <c r="F642" t="s">
        <v>32</v>
      </c>
      <c r="G642" t="s">
        <v>44</v>
      </c>
      <c r="H642" t="s">
        <v>1358</v>
      </c>
      <c r="I642" t="s">
        <v>246</v>
      </c>
      <c r="J642">
        <v>446.03</v>
      </c>
      <c r="K642">
        <v>9</v>
      </c>
      <c r="L642" t="s">
        <v>48</v>
      </c>
      <c r="M642">
        <v>2</v>
      </c>
      <c r="N642">
        <v>1</v>
      </c>
      <c r="O642">
        <v>2</v>
      </c>
      <c r="P642" t="s">
        <v>59</v>
      </c>
      <c r="Q642" t="s">
        <v>37</v>
      </c>
      <c r="R642">
        <v>2</v>
      </c>
      <c r="S642">
        <v>7</v>
      </c>
      <c r="T642" t="s">
        <v>36</v>
      </c>
      <c r="U642" t="s">
        <v>38</v>
      </c>
      <c r="V642" t="s">
        <v>66</v>
      </c>
      <c r="W642" s="1">
        <v>45469</v>
      </c>
      <c r="X642" t="b">
        <v>1</v>
      </c>
      <c r="Y642" t="b">
        <v>1</v>
      </c>
      <c r="Z642" t="s">
        <v>40</v>
      </c>
      <c r="AA642" t="s">
        <v>67</v>
      </c>
      <c r="AB642">
        <v>12</v>
      </c>
    </row>
    <row r="643" spans="1:28" x14ac:dyDescent="0.25">
      <c r="A643" t="s">
        <v>1359</v>
      </c>
      <c r="B643">
        <v>19</v>
      </c>
      <c r="C643" t="s">
        <v>29</v>
      </c>
      <c r="D643" t="s">
        <v>44</v>
      </c>
      <c r="E643" t="s">
        <v>55</v>
      </c>
      <c r="F643" t="s">
        <v>32</v>
      </c>
      <c r="G643" t="s">
        <v>44</v>
      </c>
      <c r="H643" t="s">
        <v>1360</v>
      </c>
      <c r="I643" t="s">
        <v>135</v>
      </c>
      <c r="J643">
        <v>287.95</v>
      </c>
      <c r="K643">
        <v>3</v>
      </c>
      <c r="L643" t="s">
        <v>35</v>
      </c>
      <c r="M643">
        <v>2</v>
      </c>
      <c r="N643">
        <v>3</v>
      </c>
      <c r="O643">
        <v>2</v>
      </c>
      <c r="P643" t="s">
        <v>36</v>
      </c>
      <c r="Q643" t="s">
        <v>85</v>
      </c>
      <c r="R643">
        <v>2</v>
      </c>
      <c r="S643">
        <v>7</v>
      </c>
      <c r="T643" t="s">
        <v>44</v>
      </c>
      <c r="U643" t="s">
        <v>38</v>
      </c>
      <c r="V643" t="s">
        <v>51</v>
      </c>
      <c r="W643" s="1">
        <v>45608</v>
      </c>
      <c r="X643" t="b">
        <v>1</v>
      </c>
      <c r="Y643" t="b">
        <v>1</v>
      </c>
      <c r="Z643" t="s">
        <v>74</v>
      </c>
      <c r="AA643" t="s">
        <v>53</v>
      </c>
      <c r="AB643">
        <v>11</v>
      </c>
    </row>
    <row r="644" spans="1:28" x14ac:dyDescent="0.25">
      <c r="A644" t="s">
        <v>1361</v>
      </c>
      <c r="B644">
        <v>31</v>
      </c>
      <c r="C644" t="s">
        <v>29</v>
      </c>
      <c r="D644" t="s">
        <v>30</v>
      </c>
      <c r="E644" t="s">
        <v>69</v>
      </c>
      <c r="F644" t="s">
        <v>56</v>
      </c>
      <c r="G644" t="s">
        <v>44</v>
      </c>
      <c r="H644" t="s">
        <v>1362</v>
      </c>
      <c r="I644" t="s">
        <v>98</v>
      </c>
      <c r="J644">
        <v>132.52000000000001</v>
      </c>
      <c r="K644">
        <v>6</v>
      </c>
      <c r="L644" t="s">
        <v>35</v>
      </c>
      <c r="M644">
        <v>1</v>
      </c>
      <c r="N644">
        <v>2</v>
      </c>
      <c r="O644">
        <v>0</v>
      </c>
      <c r="P644" t="s">
        <v>49</v>
      </c>
      <c r="Q644" t="s">
        <v>37</v>
      </c>
      <c r="R644">
        <v>2</v>
      </c>
      <c r="S644">
        <v>10</v>
      </c>
      <c r="T644" t="s">
        <v>59</v>
      </c>
      <c r="U644" t="s">
        <v>60</v>
      </c>
      <c r="V644" t="s">
        <v>61</v>
      </c>
      <c r="W644" s="1">
        <v>45646</v>
      </c>
      <c r="X644" t="b">
        <v>1</v>
      </c>
      <c r="Y644" t="b">
        <v>1</v>
      </c>
      <c r="Z644" t="s">
        <v>62</v>
      </c>
      <c r="AA644" t="s">
        <v>67</v>
      </c>
      <c r="AB644">
        <v>12</v>
      </c>
    </row>
    <row r="645" spans="1:28" x14ac:dyDescent="0.25">
      <c r="A645" t="s">
        <v>1363</v>
      </c>
      <c r="B645">
        <v>36</v>
      </c>
      <c r="C645" t="s">
        <v>29</v>
      </c>
      <c r="D645" t="s">
        <v>30</v>
      </c>
      <c r="E645" t="s">
        <v>31</v>
      </c>
      <c r="F645" t="s">
        <v>32</v>
      </c>
      <c r="G645" t="s">
        <v>30</v>
      </c>
      <c r="H645" t="s">
        <v>1364</v>
      </c>
      <c r="I645" t="s">
        <v>90</v>
      </c>
      <c r="J645">
        <v>379.2</v>
      </c>
      <c r="K645">
        <v>7</v>
      </c>
      <c r="L645" t="s">
        <v>78</v>
      </c>
      <c r="M645">
        <v>5</v>
      </c>
      <c r="N645">
        <v>1</v>
      </c>
      <c r="O645">
        <v>0</v>
      </c>
      <c r="P645" t="s">
        <v>49</v>
      </c>
      <c r="Q645" t="s">
        <v>85</v>
      </c>
      <c r="R645">
        <v>2</v>
      </c>
      <c r="S645">
        <v>2</v>
      </c>
      <c r="T645" t="s">
        <v>44</v>
      </c>
      <c r="U645" t="s">
        <v>60</v>
      </c>
      <c r="V645" t="s">
        <v>61</v>
      </c>
      <c r="W645" s="1">
        <v>45440</v>
      </c>
      <c r="X645" t="b">
        <v>1</v>
      </c>
      <c r="Y645" t="b">
        <v>1</v>
      </c>
      <c r="Z645" t="s">
        <v>40</v>
      </c>
      <c r="AA645" t="s">
        <v>41</v>
      </c>
      <c r="AB645">
        <v>7</v>
      </c>
    </row>
    <row r="646" spans="1:28" x14ac:dyDescent="0.25">
      <c r="A646" t="s">
        <v>1365</v>
      </c>
      <c r="B646">
        <v>31</v>
      </c>
      <c r="C646" t="s">
        <v>148</v>
      </c>
      <c r="D646" t="s">
        <v>30</v>
      </c>
      <c r="E646" t="s">
        <v>31</v>
      </c>
      <c r="F646" t="s">
        <v>45</v>
      </c>
      <c r="G646" t="s">
        <v>44</v>
      </c>
      <c r="H646" t="s">
        <v>1366</v>
      </c>
      <c r="I646" t="s">
        <v>158</v>
      </c>
      <c r="J646">
        <v>447.53</v>
      </c>
      <c r="K646">
        <v>4</v>
      </c>
      <c r="L646" t="s">
        <v>78</v>
      </c>
      <c r="M646">
        <v>2</v>
      </c>
      <c r="N646">
        <v>1</v>
      </c>
      <c r="O646">
        <v>2</v>
      </c>
      <c r="P646" t="s">
        <v>44</v>
      </c>
      <c r="Q646" t="s">
        <v>37</v>
      </c>
      <c r="R646">
        <v>1</v>
      </c>
      <c r="S646">
        <v>6</v>
      </c>
      <c r="T646" t="s">
        <v>36</v>
      </c>
      <c r="U646" t="s">
        <v>60</v>
      </c>
      <c r="V646" t="s">
        <v>51</v>
      </c>
      <c r="W646" s="1">
        <v>45578</v>
      </c>
      <c r="X646" t="b">
        <v>1</v>
      </c>
      <c r="Y646" t="b">
        <v>1</v>
      </c>
      <c r="Z646" t="s">
        <v>52</v>
      </c>
      <c r="AA646" t="s">
        <v>41</v>
      </c>
      <c r="AB646">
        <v>3</v>
      </c>
    </row>
    <row r="647" spans="1:28" x14ac:dyDescent="0.25">
      <c r="A647" t="s">
        <v>1367</v>
      </c>
      <c r="B647">
        <v>45</v>
      </c>
      <c r="C647" t="s">
        <v>29</v>
      </c>
      <c r="D647" t="s">
        <v>44</v>
      </c>
      <c r="E647" t="s">
        <v>76</v>
      </c>
      <c r="F647" t="s">
        <v>32</v>
      </c>
      <c r="G647" t="s">
        <v>30</v>
      </c>
      <c r="H647" t="s">
        <v>1368</v>
      </c>
      <c r="I647" t="s">
        <v>58</v>
      </c>
      <c r="J647">
        <v>138.44</v>
      </c>
      <c r="K647">
        <v>4</v>
      </c>
      <c r="L647" t="s">
        <v>35</v>
      </c>
      <c r="M647">
        <v>5</v>
      </c>
      <c r="N647">
        <v>1</v>
      </c>
      <c r="O647">
        <v>1</v>
      </c>
      <c r="P647" t="s">
        <v>36</v>
      </c>
      <c r="Q647" t="s">
        <v>85</v>
      </c>
      <c r="R647">
        <v>1</v>
      </c>
      <c r="S647">
        <v>2</v>
      </c>
      <c r="T647" t="s">
        <v>36</v>
      </c>
      <c r="U647" t="s">
        <v>60</v>
      </c>
      <c r="V647" t="s">
        <v>86</v>
      </c>
      <c r="W647" s="1">
        <v>45344</v>
      </c>
      <c r="X647" t="b">
        <v>0</v>
      </c>
      <c r="Y647" t="b">
        <v>1</v>
      </c>
      <c r="Z647" t="s">
        <v>52</v>
      </c>
      <c r="AA647" t="s">
        <v>67</v>
      </c>
      <c r="AB647">
        <v>1</v>
      </c>
    </row>
    <row r="648" spans="1:28" x14ac:dyDescent="0.25">
      <c r="A648" t="s">
        <v>1369</v>
      </c>
      <c r="B648">
        <v>45</v>
      </c>
      <c r="C648" t="s">
        <v>274</v>
      </c>
      <c r="D648" t="s">
        <v>30</v>
      </c>
      <c r="E648" t="s">
        <v>55</v>
      </c>
      <c r="F648" t="s">
        <v>45</v>
      </c>
      <c r="G648" t="s">
        <v>30</v>
      </c>
      <c r="H648" t="s">
        <v>1370</v>
      </c>
      <c r="I648" t="s">
        <v>65</v>
      </c>
      <c r="J648">
        <v>440.62</v>
      </c>
      <c r="K648">
        <v>8</v>
      </c>
      <c r="L648" t="s">
        <v>35</v>
      </c>
      <c r="M648">
        <v>2</v>
      </c>
      <c r="N648">
        <v>2</v>
      </c>
      <c r="O648">
        <v>2</v>
      </c>
      <c r="P648" t="s">
        <v>36</v>
      </c>
      <c r="Q648" t="s">
        <v>85</v>
      </c>
      <c r="R648">
        <v>1</v>
      </c>
      <c r="S648">
        <v>3</v>
      </c>
      <c r="T648" t="s">
        <v>49</v>
      </c>
      <c r="U648" t="s">
        <v>38</v>
      </c>
      <c r="V648" t="s">
        <v>61</v>
      </c>
      <c r="W648" s="1">
        <v>45323</v>
      </c>
      <c r="X648" t="b">
        <v>1</v>
      </c>
      <c r="Y648" t="b">
        <v>1</v>
      </c>
      <c r="Z648" t="s">
        <v>40</v>
      </c>
      <c r="AA648" t="s">
        <v>67</v>
      </c>
      <c r="AB648">
        <v>6</v>
      </c>
    </row>
    <row r="649" spans="1:28" x14ac:dyDescent="0.25">
      <c r="A649" t="s">
        <v>1371</v>
      </c>
      <c r="B649">
        <v>23</v>
      </c>
      <c r="C649" t="s">
        <v>29</v>
      </c>
      <c r="D649" t="s">
        <v>44</v>
      </c>
      <c r="E649" t="s">
        <v>76</v>
      </c>
      <c r="F649" t="s">
        <v>56</v>
      </c>
      <c r="G649" t="s">
        <v>44</v>
      </c>
      <c r="H649" t="s">
        <v>1372</v>
      </c>
      <c r="I649" t="s">
        <v>90</v>
      </c>
      <c r="J649">
        <v>145.97999999999999</v>
      </c>
      <c r="K649">
        <v>4</v>
      </c>
      <c r="L649" t="s">
        <v>48</v>
      </c>
      <c r="M649">
        <v>1</v>
      </c>
      <c r="N649">
        <v>2</v>
      </c>
      <c r="O649">
        <v>1</v>
      </c>
      <c r="P649" t="s">
        <v>59</v>
      </c>
      <c r="Q649" t="s">
        <v>85</v>
      </c>
      <c r="R649">
        <v>2</v>
      </c>
      <c r="S649">
        <v>5</v>
      </c>
      <c r="T649" t="s">
        <v>44</v>
      </c>
      <c r="U649" t="s">
        <v>79</v>
      </c>
      <c r="V649" t="s">
        <v>66</v>
      </c>
      <c r="W649" s="1">
        <v>45551</v>
      </c>
      <c r="X649" t="b">
        <v>0</v>
      </c>
      <c r="Y649" t="b">
        <v>0</v>
      </c>
      <c r="Z649" t="s">
        <v>40</v>
      </c>
      <c r="AA649" t="s">
        <v>41</v>
      </c>
      <c r="AB649">
        <v>1</v>
      </c>
    </row>
    <row r="650" spans="1:28" x14ac:dyDescent="0.25">
      <c r="A650" t="s">
        <v>1373</v>
      </c>
      <c r="B650">
        <v>28</v>
      </c>
      <c r="C650" t="s">
        <v>43</v>
      </c>
      <c r="D650" t="s">
        <v>30</v>
      </c>
      <c r="E650" t="s">
        <v>31</v>
      </c>
      <c r="F650" t="s">
        <v>45</v>
      </c>
      <c r="G650" t="s">
        <v>44</v>
      </c>
      <c r="H650" t="s">
        <v>1374</v>
      </c>
      <c r="I650" t="s">
        <v>120</v>
      </c>
      <c r="J650">
        <v>405.66</v>
      </c>
      <c r="K650">
        <v>11</v>
      </c>
      <c r="L650" t="s">
        <v>78</v>
      </c>
      <c r="M650">
        <v>5</v>
      </c>
      <c r="N650">
        <v>2</v>
      </c>
      <c r="O650">
        <v>1</v>
      </c>
      <c r="P650" t="s">
        <v>49</v>
      </c>
      <c r="Q650" t="s">
        <v>37</v>
      </c>
      <c r="R650">
        <v>1</v>
      </c>
      <c r="S650">
        <v>3</v>
      </c>
      <c r="T650" t="s">
        <v>44</v>
      </c>
      <c r="U650" t="s">
        <v>38</v>
      </c>
      <c r="V650" t="s">
        <v>86</v>
      </c>
      <c r="W650" s="1">
        <v>45409</v>
      </c>
      <c r="X650" t="b">
        <v>1</v>
      </c>
      <c r="Y650" t="b">
        <v>0</v>
      </c>
      <c r="Z650" t="s">
        <v>62</v>
      </c>
      <c r="AA650" t="s">
        <v>67</v>
      </c>
      <c r="AB650">
        <v>11</v>
      </c>
    </row>
    <row r="651" spans="1:28" x14ac:dyDescent="0.25">
      <c r="A651" t="s">
        <v>1375</v>
      </c>
      <c r="B651">
        <v>26</v>
      </c>
      <c r="C651" t="s">
        <v>29</v>
      </c>
      <c r="D651" t="s">
        <v>44</v>
      </c>
      <c r="E651" t="s">
        <v>55</v>
      </c>
      <c r="F651" t="s">
        <v>45</v>
      </c>
      <c r="G651" t="s">
        <v>30</v>
      </c>
      <c r="H651" t="s">
        <v>1376</v>
      </c>
      <c r="I651" t="s">
        <v>183</v>
      </c>
      <c r="J651">
        <v>419.98</v>
      </c>
      <c r="K651">
        <v>7</v>
      </c>
      <c r="L651" t="s">
        <v>48</v>
      </c>
      <c r="M651">
        <v>4</v>
      </c>
      <c r="N651">
        <v>4</v>
      </c>
      <c r="O651">
        <v>0</v>
      </c>
      <c r="P651" t="s">
        <v>36</v>
      </c>
      <c r="Q651" t="s">
        <v>85</v>
      </c>
      <c r="R651">
        <v>0</v>
      </c>
      <c r="S651">
        <v>10</v>
      </c>
      <c r="T651" t="s">
        <v>49</v>
      </c>
      <c r="U651" t="s">
        <v>79</v>
      </c>
      <c r="V651" t="s">
        <v>51</v>
      </c>
      <c r="W651" s="1">
        <v>45410</v>
      </c>
      <c r="X651" t="b">
        <v>1</v>
      </c>
      <c r="Y651" t="b">
        <v>1</v>
      </c>
      <c r="Z651" t="s">
        <v>62</v>
      </c>
      <c r="AA651" t="s">
        <v>41</v>
      </c>
      <c r="AB651">
        <v>14</v>
      </c>
    </row>
    <row r="652" spans="1:28" x14ac:dyDescent="0.25">
      <c r="A652" t="s">
        <v>1377</v>
      </c>
      <c r="B652">
        <v>50</v>
      </c>
      <c r="C652" t="s">
        <v>29</v>
      </c>
      <c r="D652" t="s">
        <v>30</v>
      </c>
      <c r="E652" t="s">
        <v>76</v>
      </c>
      <c r="F652" t="s">
        <v>56</v>
      </c>
      <c r="G652" t="s">
        <v>44</v>
      </c>
      <c r="H652" t="s">
        <v>1378</v>
      </c>
      <c r="I652" t="s">
        <v>135</v>
      </c>
      <c r="J652">
        <v>260.14</v>
      </c>
      <c r="K652">
        <v>5</v>
      </c>
      <c r="L652" t="s">
        <v>78</v>
      </c>
      <c r="M652">
        <v>3</v>
      </c>
      <c r="N652">
        <v>2</v>
      </c>
      <c r="O652">
        <v>1</v>
      </c>
      <c r="P652" t="s">
        <v>36</v>
      </c>
      <c r="Q652" t="s">
        <v>37</v>
      </c>
      <c r="R652">
        <v>1</v>
      </c>
      <c r="S652">
        <v>7</v>
      </c>
      <c r="T652" t="s">
        <v>59</v>
      </c>
      <c r="U652" t="s">
        <v>60</v>
      </c>
      <c r="V652" t="s">
        <v>66</v>
      </c>
      <c r="W652" s="1">
        <v>45536</v>
      </c>
      <c r="X652" t="b">
        <v>1</v>
      </c>
      <c r="Y652" t="b">
        <v>1</v>
      </c>
      <c r="Z652" t="s">
        <v>40</v>
      </c>
      <c r="AA652" t="s">
        <v>53</v>
      </c>
      <c r="AB652">
        <v>7</v>
      </c>
    </row>
    <row r="653" spans="1:28" x14ac:dyDescent="0.25">
      <c r="A653" t="s">
        <v>1379</v>
      </c>
      <c r="B653">
        <v>36</v>
      </c>
      <c r="C653" t="s">
        <v>29</v>
      </c>
      <c r="D653" t="s">
        <v>30</v>
      </c>
      <c r="E653" t="s">
        <v>69</v>
      </c>
      <c r="F653" t="s">
        <v>32</v>
      </c>
      <c r="G653" t="s">
        <v>44</v>
      </c>
      <c r="H653" t="s">
        <v>1380</v>
      </c>
      <c r="I653" t="s">
        <v>135</v>
      </c>
      <c r="J653">
        <v>368.91</v>
      </c>
      <c r="K653">
        <v>10</v>
      </c>
      <c r="L653" t="s">
        <v>48</v>
      </c>
      <c r="M653">
        <v>1</v>
      </c>
      <c r="N653">
        <v>3</v>
      </c>
      <c r="O653">
        <v>2</v>
      </c>
      <c r="P653" t="s">
        <v>44</v>
      </c>
      <c r="Q653" t="s">
        <v>50</v>
      </c>
      <c r="R653">
        <v>2</v>
      </c>
      <c r="S653">
        <v>10</v>
      </c>
      <c r="T653" t="s">
        <v>44</v>
      </c>
      <c r="U653" t="s">
        <v>79</v>
      </c>
      <c r="V653" t="s">
        <v>61</v>
      </c>
      <c r="W653" s="1">
        <v>45372</v>
      </c>
      <c r="X653" t="b">
        <v>0</v>
      </c>
      <c r="Y653" t="b">
        <v>0</v>
      </c>
      <c r="Z653" t="s">
        <v>40</v>
      </c>
      <c r="AA653" t="s">
        <v>41</v>
      </c>
      <c r="AB653">
        <v>7</v>
      </c>
    </row>
    <row r="654" spans="1:28" x14ac:dyDescent="0.25">
      <c r="A654" t="s">
        <v>1381</v>
      </c>
      <c r="B654">
        <v>32</v>
      </c>
      <c r="C654" t="s">
        <v>43</v>
      </c>
      <c r="D654" t="s">
        <v>30</v>
      </c>
      <c r="E654" t="s">
        <v>69</v>
      </c>
      <c r="F654" t="s">
        <v>56</v>
      </c>
      <c r="G654" t="s">
        <v>30</v>
      </c>
      <c r="H654" t="s">
        <v>1382</v>
      </c>
      <c r="I654" t="s">
        <v>65</v>
      </c>
      <c r="J654">
        <v>100.32</v>
      </c>
      <c r="K654">
        <v>2</v>
      </c>
      <c r="L654" t="s">
        <v>48</v>
      </c>
      <c r="M654">
        <v>5</v>
      </c>
      <c r="N654">
        <v>1</v>
      </c>
      <c r="O654">
        <v>1</v>
      </c>
      <c r="P654" t="s">
        <v>59</v>
      </c>
      <c r="Q654" t="s">
        <v>85</v>
      </c>
      <c r="R654">
        <v>0</v>
      </c>
      <c r="S654">
        <v>1</v>
      </c>
      <c r="T654" t="s">
        <v>49</v>
      </c>
      <c r="U654" t="s">
        <v>38</v>
      </c>
      <c r="V654" t="s">
        <v>39</v>
      </c>
      <c r="W654" s="1">
        <v>45637</v>
      </c>
      <c r="X654" t="b">
        <v>0</v>
      </c>
      <c r="Y654" t="b">
        <v>1</v>
      </c>
      <c r="Z654" t="s">
        <v>74</v>
      </c>
      <c r="AA654" t="s">
        <v>67</v>
      </c>
      <c r="AB654">
        <v>8</v>
      </c>
    </row>
    <row r="655" spans="1:28" x14ac:dyDescent="0.25">
      <c r="A655" t="s">
        <v>1383</v>
      </c>
      <c r="B655">
        <v>34</v>
      </c>
      <c r="C655" t="s">
        <v>43</v>
      </c>
      <c r="D655" t="s">
        <v>44</v>
      </c>
      <c r="E655" t="s">
        <v>31</v>
      </c>
      <c r="F655" t="s">
        <v>56</v>
      </c>
      <c r="G655" t="s">
        <v>30</v>
      </c>
      <c r="H655" t="s">
        <v>1384</v>
      </c>
      <c r="I655" t="s">
        <v>47</v>
      </c>
      <c r="J655">
        <v>107.82</v>
      </c>
      <c r="K655">
        <v>7</v>
      </c>
      <c r="L655" t="s">
        <v>35</v>
      </c>
      <c r="M655">
        <v>5</v>
      </c>
      <c r="N655">
        <v>3</v>
      </c>
      <c r="O655">
        <v>2</v>
      </c>
      <c r="P655" t="s">
        <v>44</v>
      </c>
      <c r="Q655" t="s">
        <v>85</v>
      </c>
      <c r="R655">
        <v>2</v>
      </c>
      <c r="S655">
        <v>10</v>
      </c>
      <c r="T655" t="s">
        <v>59</v>
      </c>
      <c r="U655" t="s">
        <v>60</v>
      </c>
      <c r="V655" t="s">
        <v>39</v>
      </c>
      <c r="W655" s="1">
        <v>45630</v>
      </c>
      <c r="X655" t="b">
        <v>0</v>
      </c>
      <c r="Y655" t="b">
        <v>1</v>
      </c>
      <c r="Z655" t="s">
        <v>52</v>
      </c>
      <c r="AA655" t="s">
        <v>41</v>
      </c>
      <c r="AB655">
        <v>2</v>
      </c>
    </row>
    <row r="656" spans="1:28" x14ac:dyDescent="0.25">
      <c r="A656" t="s">
        <v>1385</v>
      </c>
      <c r="B656">
        <v>50</v>
      </c>
      <c r="C656" t="s">
        <v>43</v>
      </c>
      <c r="D656" t="s">
        <v>30</v>
      </c>
      <c r="E656" t="s">
        <v>31</v>
      </c>
      <c r="F656" t="s">
        <v>45</v>
      </c>
      <c r="G656" t="s">
        <v>30</v>
      </c>
      <c r="H656" t="s">
        <v>1386</v>
      </c>
      <c r="I656" t="s">
        <v>123</v>
      </c>
      <c r="J656">
        <v>83.88</v>
      </c>
      <c r="K656">
        <v>11</v>
      </c>
      <c r="L656" t="s">
        <v>78</v>
      </c>
      <c r="M656">
        <v>4</v>
      </c>
      <c r="N656">
        <v>2</v>
      </c>
      <c r="O656">
        <v>1</v>
      </c>
      <c r="P656" t="s">
        <v>49</v>
      </c>
      <c r="Q656" t="s">
        <v>50</v>
      </c>
      <c r="R656">
        <v>0</v>
      </c>
      <c r="S656">
        <v>6</v>
      </c>
      <c r="T656" t="s">
        <v>59</v>
      </c>
      <c r="U656" t="s">
        <v>79</v>
      </c>
      <c r="V656" t="s">
        <v>66</v>
      </c>
      <c r="W656" s="1">
        <v>45346</v>
      </c>
      <c r="X656" t="b">
        <v>1</v>
      </c>
      <c r="Y656" t="b">
        <v>1</v>
      </c>
      <c r="Z656" t="s">
        <v>74</v>
      </c>
      <c r="AA656" t="s">
        <v>67</v>
      </c>
      <c r="AB656">
        <v>4</v>
      </c>
    </row>
    <row r="657" spans="1:28" x14ac:dyDescent="0.25">
      <c r="A657" t="s">
        <v>1387</v>
      </c>
      <c r="B657">
        <v>24</v>
      </c>
      <c r="C657" t="s">
        <v>29</v>
      </c>
      <c r="D657" t="s">
        <v>30</v>
      </c>
      <c r="E657" t="s">
        <v>69</v>
      </c>
      <c r="F657" t="s">
        <v>32</v>
      </c>
      <c r="G657" t="s">
        <v>30</v>
      </c>
      <c r="H657" t="s">
        <v>1388</v>
      </c>
      <c r="I657" t="s">
        <v>194</v>
      </c>
      <c r="J657">
        <v>81.25</v>
      </c>
      <c r="K657">
        <v>9</v>
      </c>
      <c r="L657" t="s">
        <v>78</v>
      </c>
      <c r="M657">
        <v>1</v>
      </c>
      <c r="N657">
        <v>2</v>
      </c>
      <c r="O657">
        <v>1</v>
      </c>
      <c r="P657" t="s">
        <v>59</v>
      </c>
      <c r="Q657" t="s">
        <v>85</v>
      </c>
      <c r="R657">
        <v>2</v>
      </c>
      <c r="S657">
        <v>8</v>
      </c>
      <c r="T657" t="s">
        <v>49</v>
      </c>
      <c r="U657" t="s">
        <v>79</v>
      </c>
      <c r="V657" t="s">
        <v>86</v>
      </c>
      <c r="W657" s="1">
        <v>45436</v>
      </c>
      <c r="X657" t="b">
        <v>1</v>
      </c>
      <c r="Y657" t="b">
        <v>1</v>
      </c>
      <c r="Z657" t="s">
        <v>74</v>
      </c>
      <c r="AA657" t="s">
        <v>41</v>
      </c>
      <c r="AB657">
        <v>10</v>
      </c>
    </row>
    <row r="658" spans="1:28" x14ac:dyDescent="0.25">
      <c r="A658" t="s">
        <v>1389</v>
      </c>
      <c r="B658">
        <v>49</v>
      </c>
      <c r="C658" t="s">
        <v>43</v>
      </c>
      <c r="D658" t="s">
        <v>30</v>
      </c>
      <c r="E658" t="s">
        <v>69</v>
      </c>
      <c r="F658" t="s">
        <v>56</v>
      </c>
      <c r="G658" t="s">
        <v>44</v>
      </c>
      <c r="H658" t="s">
        <v>1390</v>
      </c>
      <c r="I658" t="s">
        <v>65</v>
      </c>
      <c r="J658">
        <v>125.8</v>
      </c>
      <c r="K658">
        <v>12</v>
      </c>
      <c r="L658" t="s">
        <v>48</v>
      </c>
      <c r="M658">
        <v>4</v>
      </c>
      <c r="N658">
        <v>4</v>
      </c>
      <c r="O658">
        <v>2</v>
      </c>
      <c r="P658" t="s">
        <v>36</v>
      </c>
      <c r="Q658" t="s">
        <v>37</v>
      </c>
      <c r="R658">
        <v>0</v>
      </c>
      <c r="S658">
        <v>8</v>
      </c>
      <c r="T658" t="s">
        <v>44</v>
      </c>
      <c r="U658" t="s">
        <v>79</v>
      </c>
      <c r="V658" t="s">
        <v>51</v>
      </c>
      <c r="W658" s="1">
        <v>45430</v>
      </c>
      <c r="X658" t="b">
        <v>0</v>
      </c>
      <c r="Y658" t="b">
        <v>1</v>
      </c>
      <c r="Z658" t="s">
        <v>74</v>
      </c>
      <c r="AA658" t="s">
        <v>41</v>
      </c>
      <c r="AB658">
        <v>1</v>
      </c>
    </row>
    <row r="659" spans="1:28" x14ac:dyDescent="0.25">
      <c r="A659" t="s">
        <v>1391</v>
      </c>
      <c r="B659">
        <v>18</v>
      </c>
      <c r="C659" t="s">
        <v>29</v>
      </c>
      <c r="D659" t="s">
        <v>30</v>
      </c>
      <c r="E659" t="s">
        <v>55</v>
      </c>
      <c r="F659" t="s">
        <v>32</v>
      </c>
      <c r="G659" t="s">
        <v>30</v>
      </c>
      <c r="H659" t="s">
        <v>1392</v>
      </c>
      <c r="I659" t="s">
        <v>142</v>
      </c>
      <c r="J659">
        <v>197.9</v>
      </c>
      <c r="K659">
        <v>11</v>
      </c>
      <c r="L659" t="s">
        <v>35</v>
      </c>
      <c r="M659">
        <v>2</v>
      </c>
      <c r="N659">
        <v>4</v>
      </c>
      <c r="O659">
        <v>2</v>
      </c>
      <c r="P659" t="s">
        <v>49</v>
      </c>
      <c r="Q659" t="s">
        <v>50</v>
      </c>
      <c r="R659">
        <v>1</v>
      </c>
      <c r="S659">
        <v>4</v>
      </c>
      <c r="T659" t="s">
        <v>59</v>
      </c>
      <c r="U659" t="s">
        <v>79</v>
      </c>
      <c r="V659" t="s">
        <v>61</v>
      </c>
      <c r="W659" s="1">
        <v>45384</v>
      </c>
      <c r="X659" t="b">
        <v>1</v>
      </c>
      <c r="Y659" t="b">
        <v>1</v>
      </c>
      <c r="Z659" t="s">
        <v>52</v>
      </c>
      <c r="AA659" t="s">
        <v>53</v>
      </c>
      <c r="AB659">
        <v>5</v>
      </c>
    </row>
    <row r="660" spans="1:28" x14ac:dyDescent="0.25">
      <c r="A660" t="s">
        <v>1393</v>
      </c>
      <c r="B660">
        <v>44</v>
      </c>
      <c r="C660" t="s">
        <v>43</v>
      </c>
      <c r="D660" t="s">
        <v>44</v>
      </c>
      <c r="E660" t="s">
        <v>76</v>
      </c>
      <c r="F660" t="s">
        <v>45</v>
      </c>
      <c r="G660" t="s">
        <v>30</v>
      </c>
      <c r="H660" t="s">
        <v>1394</v>
      </c>
      <c r="I660" t="s">
        <v>194</v>
      </c>
      <c r="J660">
        <v>299.08999999999997</v>
      </c>
      <c r="K660">
        <v>8</v>
      </c>
      <c r="L660" t="s">
        <v>48</v>
      </c>
      <c r="M660">
        <v>1</v>
      </c>
      <c r="N660">
        <v>1</v>
      </c>
      <c r="O660">
        <v>2</v>
      </c>
      <c r="P660" t="s">
        <v>44</v>
      </c>
      <c r="Q660" t="s">
        <v>85</v>
      </c>
      <c r="R660">
        <v>2</v>
      </c>
      <c r="S660">
        <v>7</v>
      </c>
      <c r="T660" t="s">
        <v>44</v>
      </c>
      <c r="U660" t="s">
        <v>38</v>
      </c>
      <c r="V660" t="s">
        <v>61</v>
      </c>
      <c r="W660" s="1">
        <v>45467</v>
      </c>
      <c r="X660" t="b">
        <v>0</v>
      </c>
      <c r="Y660" t="b">
        <v>0</v>
      </c>
      <c r="Z660" t="s">
        <v>62</v>
      </c>
      <c r="AA660" t="s">
        <v>53</v>
      </c>
      <c r="AB660">
        <v>14</v>
      </c>
    </row>
    <row r="661" spans="1:28" x14ac:dyDescent="0.25">
      <c r="A661" t="s">
        <v>1395</v>
      </c>
      <c r="B661">
        <v>41</v>
      </c>
      <c r="C661" t="s">
        <v>43</v>
      </c>
      <c r="D661" t="s">
        <v>44</v>
      </c>
      <c r="E661" t="s">
        <v>31</v>
      </c>
      <c r="F661" t="s">
        <v>45</v>
      </c>
      <c r="G661" t="s">
        <v>30</v>
      </c>
      <c r="H661" t="s">
        <v>1396</v>
      </c>
      <c r="I661" t="s">
        <v>194</v>
      </c>
      <c r="J661">
        <v>79.3</v>
      </c>
      <c r="K661">
        <v>10</v>
      </c>
      <c r="L661" t="s">
        <v>78</v>
      </c>
      <c r="M661">
        <v>3</v>
      </c>
      <c r="N661">
        <v>2</v>
      </c>
      <c r="O661">
        <v>1</v>
      </c>
      <c r="P661" t="s">
        <v>59</v>
      </c>
      <c r="Q661" t="s">
        <v>37</v>
      </c>
      <c r="R661">
        <v>2</v>
      </c>
      <c r="S661">
        <v>4</v>
      </c>
      <c r="T661" t="s">
        <v>44</v>
      </c>
      <c r="U661" t="s">
        <v>60</v>
      </c>
      <c r="V661" t="s">
        <v>61</v>
      </c>
      <c r="W661" s="1">
        <v>45538</v>
      </c>
      <c r="X661" t="b">
        <v>0</v>
      </c>
      <c r="Y661" t="b">
        <v>0</v>
      </c>
      <c r="Z661" t="s">
        <v>74</v>
      </c>
      <c r="AA661" t="s">
        <v>41</v>
      </c>
      <c r="AB661">
        <v>2</v>
      </c>
    </row>
    <row r="662" spans="1:28" x14ac:dyDescent="0.25">
      <c r="A662" t="s">
        <v>1397</v>
      </c>
      <c r="B662">
        <v>33</v>
      </c>
      <c r="C662" t="s">
        <v>43</v>
      </c>
      <c r="D662" t="s">
        <v>44</v>
      </c>
      <c r="E662" t="s">
        <v>76</v>
      </c>
      <c r="F662" t="s">
        <v>45</v>
      </c>
      <c r="G662" t="s">
        <v>44</v>
      </c>
      <c r="H662" t="s">
        <v>1398</v>
      </c>
      <c r="I662" t="s">
        <v>82</v>
      </c>
      <c r="J662">
        <v>55.73</v>
      </c>
      <c r="K662">
        <v>12</v>
      </c>
      <c r="L662" t="s">
        <v>48</v>
      </c>
      <c r="M662">
        <v>4</v>
      </c>
      <c r="N662">
        <v>3</v>
      </c>
      <c r="O662">
        <v>0.3</v>
      </c>
      <c r="P662" t="s">
        <v>49</v>
      </c>
      <c r="Q662" t="s">
        <v>50</v>
      </c>
      <c r="R662">
        <v>1</v>
      </c>
      <c r="S662">
        <v>3</v>
      </c>
      <c r="T662" t="s">
        <v>44</v>
      </c>
      <c r="U662" t="s">
        <v>38</v>
      </c>
      <c r="V662" t="s">
        <v>51</v>
      </c>
      <c r="W662" s="1">
        <v>45431</v>
      </c>
      <c r="X662" t="b">
        <v>0</v>
      </c>
      <c r="Y662" t="b">
        <v>1</v>
      </c>
      <c r="Z662" t="s">
        <v>40</v>
      </c>
      <c r="AA662" t="s">
        <v>67</v>
      </c>
      <c r="AB662">
        <v>3</v>
      </c>
    </row>
    <row r="663" spans="1:28" x14ac:dyDescent="0.25">
      <c r="A663" t="s">
        <v>1399</v>
      </c>
      <c r="B663">
        <v>46</v>
      </c>
      <c r="C663" t="s">
        <v>43</v>
      </c>
      <c r="D663" t="s">
        <v>44</v>
      </c>
      <c r="E663" t="s">
        <v>55</v>
      </c>
      <c r="F663" t="s">
        <v>32</v>
      </c>
      <c r="G663" t="s">
        <v>44</v>
      </c>
      <c r="H663" t="s">
        <v>1400</v>
      </c>
      <c r="I663" t="s">
        <v>120</v>
      </c>
      <c r="J663">
        <v>256.44</v>
      </c>
      <c r="K663">
        <v>8</v>
      </c>
      <c r="L663" t="s">
        <v>48</v>
      </c>
      <c r="M663">
        <v>4</v>
      </c>
      <c r="N663">
        <v>1</v>
      </c>
      <c r="O663">
        <v>2</v>
      </c>
      <c r="P663" t="s">
        <v>44</v>
      </c>
      <c r="Q663" t="s">
        <v>37</v>
      </c>
      <c r="R663">
        <v>1</v>
      </c>
      <c r="S663">
        <v>6</v>
      </c>
      <c r="T663" t="s">
        <v>49</v>
      </c>
      <c r="U663" t="s">
        <v>38</v>
      </c>
      <c r="V663" t="s">
        <v>66</v>
      </c>
      <c r="W663" s="1">
        <v>45508</v>
      </c>
      <c r="X663" t="b">
        <v>0</v>
      </c>
      <c r="Y663" t="b">
        <v>0</v>
      </c>
      <c r="Z663" t="s">
        <v>52</v>
      </c>
      <c r="AA663" t="s">
        <v>67</v>
      </c>
      <c r="AB663">
        <v>3</v>
      </c>
    </row>
    <row r="664" spans="1:28" x14ac:dyDescent="0.25">
      <c r="A664" t="s">
        <v>1401</v>
      </c>
      <c r="B664">
        <v>23</v>
      </c>
      <c r="C664" t="s">
        <v>29</v>
      </c>
      <c r="D664" t="s">
        <v>44</v>
      </c>
      <c r="E664" t="s">
        <v>31</v>
      </c>
      <c r="F664" t="s">
        <v>32</v>
      </c>
      <c r="G664" t="s">
        <v>44</v>
      </c>
      <c r="H664" t="s">
        <v>1402</v>
      </c>
      <c r="I664" t="s">
        <v>126</v>
      </c>
      <c r="J664">
        <v>337.21</v>
      </c>
      <c r="K664">
        <v>12</v>
      </c>
      <c r="L664" t="s">
        <v>78</v>
      </c>
      <c r="M664">
        <v>1</v>
      </c>
      <c r="N664">
        <v>5</v>
      </c>
      <c r="O664">
        <v>1</v>
      </c>
      <c r="P664" t="s">
        <v>59</v>
      </c>
      <c r="Q664" t="s">
        <v>37</v>
      </c>
      <c r="R664">
        <v>0</v>
      </c>
      <c r="S664">
        <v>9</v>
      </c>
      <c r="T664" t="s">
        <v>36</v>
      </c>
      <c r="U664" t="s">
        <v>60</v>
      </c>
      <c r="V664" t="s">
        <v>61</v>
      </c>
      <c r="W664" s="1">
        <v>45589</v>
      </c>
      <c r="X664" t="b">
        <v>1</v>
      </c>
      <c r="Y664" t="b">
        <v>1</v>
      </c>
      <c r="Z664" t="s">
        <v>74</v>
      </c>
      <c r="AA664" t="s">
        <v>67</v>
      </c>
      <c r="AB664">
        <v>11</v>
      </c>
    </row>
    <row r="665" spans="1:28" x14ac:dyDescent="0.25">
      <c r="A665" t="s">
        <v>1403</v>
      </c>
      <c r="B665">
        <v>35</v>
      </c>
      <c r="C665" t="s">
        <v>29</v>
      </c>
      <c r="D665" t="s">
        <v>44</v>
      </c>
      <c r="E665" t="s">
        <v>55</v>
      </c>
      <c r="F665" t="s">
        <v>56</v>
      </c>
      <c r="G665" t="s">
        <v>30</v>
      </c>
      <c r="H665" t="s">
        <v>1404</v>
      </c>
      <c r="I665" t="s">
        <v>120</v>
      </c>
      <c r="J665">
        <v>494.97</v>
      </c>
      <c r="K665">
        <v>12</v>
      </c>
      <c r="L665" t="s">
        <v>48</v>
      </c>
      <c r="M665">
        <v>5</v>
      </c>
      <c r="N665">
        <v>4</v>
      </c>
      <c r="O665">
        <v>2</v>
      </c>
      <c r="P665" t="s">
        <v>59</v>
      </c>
      <c r="Q665" t="s">
        <v>50</v>
      </c>
      <c r="R665">
        <v>1</v>
      </c>
      <c r="S665">
        <v>5</v>
      </c>
      <c r="T665" t="s">
        <v>59</v>
      </c>
      <c r="U665" t="s">
        <v>38</v>
      </c>
      <c r="V665" t="s">
        <v>61</v>
      </c>
      <c r="W665" s="1">
        <v>45520</v>
      </c>
      <c r="X665" t="b">
        <v>0</v>
      </c>
      <c r="Y665" t="b">
        <v>0</v>
      </c>
      <c r="Z665" t="s">
        <v>74</v>
      </c>
      <c r="AA665" t="s">
        <v>41</v>
      </c>
      <c r="AB665">
        <v>7</v>
      </c>
    </row>
    <row r="666" spans="1:28" x14ac:dyDescent="0.25">
      <c r="A666" t="s">
        <v>1405</v>
      </c>
      <c r="B666">
        <v>31</v>
      </c>
      <c r="C666" t="s">
        <v>29</v>
      </c>
      <c r="D666" t="s">
        <v>30</v>
      </c>
      <c r="E666" t="s">
        <v>69</v>
      </c>
      <c r="F666" t="s">
        <v>45</v>
      </c>
      <c r="G666" t="s">
        <v>44</v>
      </c>
      <c r="H666" t="s">
        <v>1406</v>
      </c>
      <c r="I666" t="s">
        <v>135</v>
      </c>
      <c r="J666">
        <v>238.58</v>
      </c>
      <c r="K666">
        <v>6</v>
      </c>
      <c r="L666" t="s">
        <v>78</v>
      </c>
      <c r="M666">
        <v>3</v>
      </c>
      <c r="N666">
        <v>2</v>
      </c>
      <c r="O666">
        <v>2</v>
      </c>
      <c r="P666" t="s">
        <v>49</v>
      </c>
      <c r="Q666" t="s">
        <v>85</v>
      </c>
      <c r="R666">
        <v>2</v>
      </c>
      <c r="S666">
        <v>9</v>
      </c>
      <c r="T666" t="s">
        <v>49</v>
      </c>
      <c r="U666" t="s">
        <v>38</v>
      </c>
      <c r="V666" t="s">
        <v>51</v>
      </c>
      <c r="W666" s="1">
        <v>45454</v>
      </c>
      <c r="X666" t="b">
        <v>1</v>
      </c>
      <c r="Y666" t="b">
        <v>1</v>
      </c>
      <c r="Z666" t="s">
        <v>52</v>
      </c>
      <c r="AA666" t="s">
        <v>53</v>
      </c>
      <c r="AB666">
        <v>8</v>
      </c>
    </row>
    <row r="667" spans="1:28" x14ac:dyDescent="0.25">
      <c r="A667" t="s">
        <v>1407</v>
      </c>
      <c r="B667">
        <v>20</v>
      </c>
      <c r="C667" t="s">
        <v>29</v>
      </c>
      <c r="D667" t="s">
        <v>44</v>
      </c>
      <c r="E667" t="s">
        <v>55</v>
      </c>
      <c r="F667" t="s">
        <v>32</v>
      </c>
      <c r="G667" t="s">
        <v>44</v>
      </c>
      <c r="H667" t="s">
        <v>1408</v>
      </c>
      <c r="I667" t="s">
        <v>90</v>
      </c>
      <c r="J667">
        <v>131.9</v>
      </c>
      <c r="K667">
        <v>8</v>
      </c>
      <c r="L667" t="s">
        <v>35</v>
      </c>
      <c r="M667">
        <v>3</v>
      </c>
      <c r="N667">
        <v>5</v>
      </c>
      <c r="O667">
        <v>0</v>
      </c>
      <c r="P667" t="s">
        <v>36</v>
      </c>
      <c r="Q667" t="s">
        <v>50</v>
      </c>
      <c r="R667">
        <v>2</v>
      </c>
      <c r="S667">
        <v>4</v>
      </c>
      <c r="T667" t="s">
        <v>49</v>
      </c>
      <c r="U667" t="s">
        <v>38</v>
      </c>
      <c r="V667" t="s">
        <v>39</v>
      </c>
      <c r="W667" s="1">
        <v>45597</v>
      </c>
      <c r="X667" t="b">
        <v>1</v>
      </c>
      <c r="Y667" t="b">
        <v>1</v>
      </c>
      <c r="Z667" t="s">
        <v>74</v>
      </c>
      <c r="AA667" t="s">
        <v>41</v>
      </c>
      <c r="AB667">
        <v>4</v>
      </c>
    </row>
    <row r="668" spans="1:28" x14ac:dyDescent="0.25">
      <c r="A668" t="s">
        <v>1409</v>
      </c>
      <c r="B668">
        <v>49</v>
      </c>
      <c r="C668" t="s">
        <v>29</v>
      </c>
      <c r="D668" t="s">
        <v>30</v>
      </c>
      <c r="E668" t="s">
        <v>31</v>
      </c>
      <c r="F668" t="s">
        <v>32</v>
      </c>
      <c r="G668" t="s">
        <v>44</v>
      </c>
      <c r="H668" t="s">
        <v>1410</v>
      </c>
      <c r="I668" t="s">
        <v>47</v>
      </c>
      <c r="J668">
        <v>403.03</v>
      </c>
      <c r="K668">
        <v>12</v>
      </c>
      <c r="L668" t="s">
        <v>35</v>
      </c>
      <c r="M668">
        <v>1</v>
      </c>
      <c r="N668">
        <v>5</v>
      </c>
      <c r="O668">
        <v>1</v>
      </c>
      <c r="P668" t="s">
        <v>49</v>
      </c>
      <c r="Q668" t="s">
        <v>37</v>
      </c>
      <c r="R668">
        <v>0</v>
      </c>
      <c r="S668">
        <v>1</v>
      </c>
      <c r="T668" t="s">
        <v>44</v>
      </c>
      <c r="U668" t="s">
        <v>38</v>
      </c>
      <c r="V668" t="s">
        <v>66</v>
      </c>
      <c r="W668" s="1">
        <v>45526</v>
      </c>
      <c r="X668" t="b">
        <v>1</v>
      </c>
      <c r="Y668" t="b">
        <v>1</v>
      </c>
      <c r="Z668" t="s">
        <v>52</v>
      </c>
      <c r="AA668" t="s">
        <v>53</v>
      </c>
      <c r="AB668">
        <v>2</v>
      </c>
    </row>
    <row r="669" spans="1:28" x14ac:dyDescent="0.25">
      <c r="A669" t="s">
        <v>1411</v>
      </c>
      <c r="B669">
        <v>26</v>
      </c>
      <c r="C669" t="s">
        <v>29</v>
      </c>
      <c r="D669" t="s">
        <v>44</v>
      </c>
      <c r="E669" t="s">
        <v>69</v>
      </c>
      <c r="F669" t="s">
        <v>32</v>
      </c>
      <c r="G669" t="s">
        <v>44</v>
      </c>
      <c r="H669" t="s">
        <v>1412</v>
      </c>
      <c r="I669" t="s">
        <v>142</v>
      </c>
      <c r="J669">
        <v>338.6</v>
      </c>
      <c r="K669">
        <v>10</v>
      </c>
      <c r="L669" t="s">
        <v>48</v>
      </c>
      <c r="M669">
        <v>1</v>
      </c>
      <c r="N669">
        <v>3</v>
      </c>
      <c r="O669">
        <v>2</v>
      </c>
      <c r="P669" t="s">
        <v>49</v>
      </c>
      <c r="Q669" t="s">
        <v>37</v>
      </c>
      <c r="R669">
        <v>1</v>
      </c>
      <c r="S669">
        <v>3</v>
      </c>
      <c r="T669" t="s">
        <v>49</v>
      </c>
      <c r="U669" t="s">
        <v>79</v>
      </c>
      <c r="V669" t="s">
        <v>66</v>
      </c>
      <c r="W669" s="1">
        <v>45528</v>
      </c>
      <c r="X669" t="b">
        <v>0</v>
      </c>
      <c r="Y669" t="b">
        <v>0</v>
      </c>
      <c r="Z669" t="s">
        <v>74</v>
      </c>
      <c r="AA669" t="s">
        <v>41</v>
      </c>
      <c r="AB669">
        <v>9</v>
      </c>
    </row>
    <row r="670" spans="1:28" x14ac:dyDescent="0.25">
      <c r="A670" t="s">
        <v>1413</v>
      </c>
      <c r="B670">
        <v>36</v>
      </c>
      <c r="C670" t="s">
        <v>43</v>
      </c>
      <c r="D670" t="s">
        <v>30</v>
      </c>
      <c r="E670" t="s">
        <v>69</v>
      </c>
      <c r="F670" t="s">
        <v>45</v>
      </c>
      <c r="G670" t="s">
        <v>44</v>
      </c>
      <c r="H670" t="s">
        <v>1414</v>
      </c>
      <c r="I670" t="s">
        <v>71</v>
      </c>
      <c r="J670">
        <v>365.38</v>
      </c>
      <c r="K670">
        <v>11</v>
      </c>
      <c r="L670" t="s">
        <v>78</v>
      </c>
      <c r="M670">
        <v>1</v>
      </c>
      <c r="N670">
        <v>4</v>
      </c>
      <c r="O670">
        <v>0</v>
      </c>
      <c r="P670" t="s">
        <v>44</v>
      </c>
      <c r="Q670" t="s">
        <v>37</v>
      </c>
      <c r="R670">
        <v>0</v>
      </c>
      <c r="S670">
        <v>9</v>
      </c>
      <c r="T670" t="s">
        <v>49</v>
      </c>
      <c r="U670" t="s">
        <v>79</v>
      </c>
      <c r="V670" t="s">
        <v>86</v>
      </c>
      <c r="W670" s="1">
        <v>45505</v>
      </c>
      <c r="X670" t="b">
        <v>0</v>
      </c>
      <c r="Y670" t="b">
        <v>0</v>
      </c>
      <c r="Z670" t="s">
        <v>52</v>
      </c>
      <c r="AA670" t="s">
        <v>67</v>
      </c>
      <c r="AB670">
        <v>14</v>
      </c>
    </row>
    <row r="671" spans="1:28" x14ac:dyDescent="0.25">
      <c r="A671" t="s">
        <v>1415</v>
      </c>
      <c r="B671">
        <v>21</v>
      </c>
      <c r="C671" t="s">
        <v>43</v>
      </c>
      <c r="D671" t="s">
        <v>30</v>
      </c>
      <c r="E671" t="s">
        <v>31</v>
      </c>
      <c r="F671" t="s">
        <v>45</v>
      </c>
      <c r="G671" t="s">
        <v>44</v>
      </c>
      <c r="H671" t="s">
        <v>1416</v>
      </c>
      <c r="I671" t="s">
        <v>90</v>
      </c>
      <c r="J671">
        <v>433.99</v>
      </c>
      <c r="K671">
        <v>11</v>
      </c>
      <c r="L671" t="s">
        <v>35</v>
      </c>
      <c r="M671">
        <v>3</v>
      </c>
      <c r="N671">
        <v>2</v>
      </c>
      <c r="O671">
        <v>1</v>
      </c>
      <c r="P671" t="s">
        <v>44</v>
      </c>
      <c r="Q671" t="s">
        <v>50</v>
      </c>
      <c r="R671">
        <v>0</v>
      </c>
      <c r="S671">
        <v>2</v>
      </c>
      <c r="T671" t="s">
        <v>36</v>
      </c>
      <c r="U671" t="s">
        <v>79</v>
      </c>
      <c r="V671" t="s">
        <v>39</v>
      </c>
      <c r="W671" s="1">
        <v>45331</v>
      </c>
      <c r="X671" t="b">
        <v>0</v>
      </c>
      <c r="Y671" t="b">
        <v>0</v>
      </c>
      <c r="Z671" t="s">
        <v>40</v>
      </c>
      <c r="AA671" t="s">
        <v>41</v>
      </c>
      <c r="AB671">
        <v>8</v>
      </c>
    </row>
    <row r="672" spans="1:28" x14ac:dyDescent="0.25">
      <c r="A672" t="s">
        <v>1417</v>
      </c>
      <c r="B672">
        <v>35</v>
      </c>
      <c r="C672" t="s">
        <v>29</v>
      </c>
      <c r="D672" t="s">
        <v>30</v>
      </c>
      <c r="E672" t="s">
        <v>69</v>
      </c>
      <c r="F672" t="s">
        <v>45</v>
      </c>
      <c r="G672" t="s">
        <v>30</v>
      </c>
      <c r="H672" t="s">
        <v>1418</v>
      </c>
      <c r="I672" t="s">
        <v>104</v>
      </c>
      <c r="J672">
        <v>495.95</v>
      </c>
      <c r="K672">
        <v>5</v>
      </c>
      <c r="L672" t="s">
        <v>48</v>
      </c>
      <c r="M672">
        <v>4</v>
      </c>
      <c r="N672">
        <v>2</v>
      </c>
      <c r="O672">
        <v>0</v>
      </c>
      <c r="P672" t="s">
        <v>44</v>
      </c>
      <c r="Q672" t="s">
        <v>85</v>
      </c>
      <c r="R672">
        <v>1</v>
      </c>
      <c r="S672">
        <v>7</v>
      </c>
      <c r="T672" t="s">
        <v>36</v>
      </c>
      <c r="U672" t="s">
        <v>60</v>
      </c>
      <c r="V672" t="s">
        <v>66</v>
      </c>
      <c r="W672" s="1">
        <v>45392</v>
      </c>
      <c r="X672" t="b">
        <v>0</v>
      </c>
      <c r="Y672" t="b">
        <v>0</v>
      </c>
      <c r="Z672" t="s">
        <v>74</v>
      </c>
      <c r="AA672" t="s">
        <v>41</v>
      </c>
      <c r="AB672">
        <v>6</v>
      </c>
    </row>
    <row r="673" spans="1:28" x14ac:dyDescent="0.25">
      <c r="A673" t="s">
        <v>1419</v>
      </c>
      <c r="B673">
        <v>41</v>
      </c>
      <c r="C673" t="s">
        <v>43</v>
      </c>
      <c r="D673" t="s">
        <v>44</v>
      </c>
      <c r="E673" t="s">
        <v>31</v>
      </c>
      <c r="F673" t="s">
        <v>45</v>
      </c>
      <c r="G673" t="s">
        <v>30</v>
      </c>
      <c r="H673" t="s">
        <v>1420</v>
      </c>
      <c r="I673" t="s">
        <v>123</v>
      </c>
      <c r="J673">
        <v>356.22</v>
      </c>
      <c r="K673">
        <v>7</v>
      </c>
      <c r="L673" t="s">
        <v>48</v>
      </c>
      <c r="M673">
        <v>2</v>
      </c>
      <c r="N673">
        <v>5</v>
      </c>
      <c r="O673">
        <v>0</v>
      </c>
      <c r="P673" t="s">
        <v>49</v>
      </c>
      <c r="Q673" t="s">
        <v>85</v>
      </c>
      <c r="R673">
        <v>1</v>
      </c>
      <c r="S673">
        <v>7</v>
      </c>
      <c r="T673" t="s">
        <v>44</v>
      </c>
      <c r="U673" t="s">
        <v>60</v>
      </c>
      <c r="V673" t="s">
        <v>39</v>
      </c>
      <c r="W673" s="1">
        <v>45453</v>
      </c>
      <c r="X673" t="b">
        <v>0</v>
      </c>
      <c r="Y673" t="b">
        <v>1</v>
      </c>
      <c r="Z673" t="s">
        <v>74</v>
      </c>
      <c r="AA673" t="s">
        <v>67</v>
      </c>
      <c r="AB673">
        <v>6</v>
      </c>
    </row>
    <row r="674" spans="1:28" x14ac:dyDescent="0.25">
      <c r="A674" t="s">
        <v>1421</v>
      </c>
      <c r="B674">
        <v>22</v>
      </c>
      <c r="C674" t="s">
        <v>352</v>
      </c>
      <c r="D674" t="s">
        <v>44</v>
      </c>
      <c r="E674" t="s">
        <v>55</v>
      </c>
      <c r="F674" t="s">
        <v>45</v>
      </c>
      <c r="G674" t="s">
        <v>30</v>
      </c>
      <c r="H674" t="s">
        <v>1422</v>
      </c>
      <c r="I674" t="s">
        <v>142</v>
      </c>
      <c r="J674">
        <v>156.4</v>
      </c>
      <c r="K674">
        <v>7</v>
      </c>
      <c r="L674" t="s">
        <v>48</v>
      </c>
      <c r="M674">
        <v>4</v>
      </c>
      <c r="N674">
        <v>5</v>
      </c>
      <c r="O674">
        <v>2</v>
      </c>
      <c r="P674" t="s">
        <v>59</v>
      </c>
      <c r="Q674" t="s">
        <v>37</v>
      </c>
      <c r="R674">
        <v>1</v>
      </c>
      <c r="S674">
        <v>7</v>
      </c>
      <c r="T674" t="s">
        <v>59</v>
      </c>
      <c r="U674" t="s">
        <v>79</v>
      </c>
      <c r="V674" t="s">
        <v>39</v>
      </c>
      <c r="W674" s="1">
        <v>45603</v>
      </c>
      <c r="X674" t="b">
        <v>0</v>
      </c>
      <c r="Y674" t="b">
        <v>1</v>
      </c>
      <c r="Z674" t="s">
        <v>40</v>
      </c>
      <c r="AA674" t="s">
        <v>53</v>
      </c>
      <c r="AB674">
        <v>4</v>
      </c>
    </row>
    <row r="675" spans="1:28" x14ac:dyDescent="0.25">
      <c r="A675" t="s">
        <v>1423</v>
      </c>
      <c r="B675">
        <v>42</v>
      </c>
      <c r="C675" t="s">
        <v>43</v>
      </c>
      <c r="D675" t="s">
        <v>30</v>
      </c>
      <c r="E675" t="s">
        <v>55</v>
      </c>
      <c r="F675" t="s">
        <v>56</v>
      </c>
      <c r="G675" t="s">
        <v>30</v>
      </c>
      <c r="H675" t="s">
        <v>1424</v>
      </c>
      <c r="I675" t="s">
        <v>90</v>
      </c>
      <c r="J675">
        <v>454.36</v>
      </c>
      <c r="K675">
        <v>3</v>
      </c>
      <c r="L675" t="s">
        <v>48</v>
      </c>
      <c r="M675">
        <v>4</v>
      </c>
      <c r="N675">
        <v>5</v>
      </c>
      <c r="O675">
        <v>1</v>
      </c>
      <c r="P675" t="s">
        <v>59</v>
      </c>
      <c r="Q675" t="s">
        <v>85</v>
      </c>
      <c r="R675">
        <v>1</v>
      </c>
      <c r="S675">
        <v>8</v>
      </c>
      <c r="T675" t="s">
        <v>49</v>
      </c>
      <c r="U675" t="s">
        <v>38</v>
      </c>
      <c r="V675" t="s">
        <v>86</v>
      </c>
      <c r="W675" s="1">
        <v>45551</v>
      </c>
      <c r="X675" t="b">
        <v>1</v>
      </c>
      <c r="Y675" t="b">
        <v>0</v>
      </c>
      <c r="Z675" t="s">
        <v>74</v>
      </c>
      <c r="AA675" t="s">
        <v>41</v>
      </c>
      <c r="AB675">
        <v>12</v>
      </c>
    </row>
    <row r="676" spans="1:28" x14ac:dyDescent="0.25">
      <c r="A676" t="s">
        <v>1425</v>
      </c>
      <c r="B676">
        <v>50</v>
      </c>
      <c r="C676" t="s">
        <v>43</v>
      </c>
      <c r="D676" t="s">
        <v>44</v>
      </c>
      <c r="E676" t="s">
        <v>55</v>
      </c>
      <c r="F676" t="s">
        <v>32</v>
      </c>
      <c r="G676" t="s">
        <v>44</v>
      </c>
      <c r="H676" t="s">
        <v>1426</v>
      </c>
      <c r="I676" t="s">
        <v>120</v>
      </c>
      <c r="J676">
        <v>486.07</v>
      </c>
      <c r="K676">
        <v>11</v>
      </c>
      <c r="L676" t="s">
        <v>35</v>
      </c>
      <c r="M676">
        <v>5</v>
      </c>
      <c r="N676">
        <v>1</v>
      </c>
      <c r="O676">
        <v>0</v>
      </c>
      <c r="P676" t="s">
        <v>49</v>
      </c>
      <c r="Q676" t="s">
        <v>37</v>
      </c>
      <c r="R676">
        <v>2</v>
      </c>
      <c r="S676">
        <v>6</v>
      </c>
      <c r="T676" t="s">
        <v>36</v>
      </c>
      <c r="U676" t="s">
        <v>38</v>
      </c>
      <c r="V676" t="s">
        <v>39</v>
      </c>
      <c r="W676" s="1">
        <v>45307</v>
      </c>
      <c r="X676" t="b">
        <v>0</v>
      </c>
      <c r="Y676" t="b">
        <v>0</v>
      </c>
      <c r="Z676" t="s">
        <v>74</v>
      </c>
      <c r="AA676" t="s">
        <v>53</v>
      </c>
      <c r="AB676">
        <v>12</v>
      </c>
    </row>
    <row r="677" spans="1:28" x14ac:dyDescent="0.25">
      <c r="A677" t="s">
        <v>1427</v>
      </c>
      <c r="B677">
        <v>30</v>
      </c>
      <c r="C677" t="s">
        <v>29</v>
      </c>
      <c r="D677" t="s">
        <v>44</v>
      </c>
      <c r="E677" t="s">
        <v>76</v>
      </c>
      <c r="F677" t="s">
        <v>45</v>
      </c>
      <c r="G677" t="s">
        <v>30</v>
      </c>
      <c r="H677" t="s">
        <v>332</v>
      </c>
      <c r="I677" t="s">
        <v>114</v>
      </c>
      <c r="J677">
        <v>427.86</v>
      </c>
      <c r="K677">
        <v>11</v>
      </c>
      <c r="L677" t="s">
        <v>35</v>
      </c>
      <c r="M677">
        <v>4</v>
      </c>
      <c r="N677">
        <v>3</v>
      </c>
      <c r="O677">
        <v>1</v>
      </c>
      <c r="P677" t="s">
        <v>49</v>
      </c>
      <c r="Q677" t="s">
        <v>50</v>
      </c>
      <c r="R677">
        <v>0</v>
      </c>
      <c r="S677">
        <v>6</v>
      </c>
      <c r="T677" t="s">
        <v>49</v>
      </c>
      <c r="U677" t="s">
        <v>79</v>
      </c>
      <c r="V677" t="s">
        <v>61</v>
      </c>
      <c r="W677" s="1">
        <v>45354</v>
      </c>
      <c r="X677" t="b">
        <v>1</v>
      </c>
      <c r="Y677" t="b">
        <v>1</v>
      </c>
      <c r="Z677" t="s">
        <v>40</v>
      </c>
      <c r="AA677" t="s">
        <v>67</v>
      </c>
      <c r="AB677">
        <v>8</v>
      </c>
    </row>
    <row r="678" spans="1:28" x14ac:dyDescent="0.25">
      <c r="A678" t="s">
        <v>1428</v>
      </c>
      <c r="B678">
        <v>49</v>
      </c>
      <c r="C678" t="s">
        <v>29</v>
      </c>
      <c r="D678" t="s">
        <v>44</v>
      </c>
      <c r="E678" t="s">
        <v>76</v>
      </c>
      <c r="F678" t="s">
        <v>56</v>
      </c>
      <c r="G678" t="s">
        <v>44</v>
      </c>
      <c r="H678" t="s">
        <v>1429</v>
      </c>
      <c r="I678" t="s">
        <v>188</v>
      </c>
      <c r="J678">
        <v>235.13</v>
      </c>
      <c r="K678">
        <v>10</v>
      </c>
      <c r="L678" t="s">
        <v>78</v>
      </c>
      <c r="M678">
        <v>5</v>
      </c>
      <c r="N678">
        <v>4</v>
      </c>
      <c r="O678">
        <v>1</v>
      </c>
      <c r="P678" t="s">
        <v>49</v>
      </c>
      <c r="Q678" t="s">
        <v>85</v>
      </c>
      <c r="R678">
        <v>2</v>
      </c>
      <c r="S678">
        <v>3</v>
      </c>
      <c r="T678" t="s">
        <v>36</v>
      </c>
      <c r="U678" t="s">
        <v>60</v>
      </c>
      <c r="V678" t="s">
        <v>66</v>
      </c>
      <c r="W678" s="1">
        <v>45380</v>
      </c>
      <c r="X678" t="b">
        <v>1</v>
      </c>
      <c r="Y678" t="b">
        <v>0</v>
      </c>
      <c r="Z678" t="s">
        <v>74</v>
      </c>
      <c r="AA678" t="s">
        <v>41</v>
      </c>
      <c r="AB678">
        <v>6</v>
      </c>
    </row>
    <row r="679" spans="1:28" x14ac:dyDescent="0.25">
      <c r="A679" t="s">
        <v>1430</v>
      </c>
      <c r="B679">
        <v>40</v>
      </c>
      <c r="C679" t="s">
        <v>29</v>
      </c>
      <c r="D679" t="s">
        <v>30</v>
      </c>
      <c r="E679" t="s">
        <v>76</v>
      </c>
      <c r="F679" t="s">
        <v>32</v>
      </c>
      <c r="G679" t="s">
        <v>30</v>
      </c>
      <c r="H679" t="s">
        <v>1431</v>
      </c>
      <c r="I679" t="s">
        <v>158</v>
      </c>
      <c r="J679">
        <v>361.27</v>
      </c>
      <c r="K679">
        <v>4</v>
      </c>
      <c r="L679" t="s">
        <v>78</v>
      </c>
      <c r="M679">
        <v>3</v>
      </c>
      <c r="N679">
        <v>3</v>
      </c>
      <c r="O679">
        <v>1</v>
      </c>
      <c r="P679" t="s">
        <v>36</v>
      </c>
      <c r="Q679" t="s">
        <v>50</v>
      </c>
      <c r="R679">
        <v>0</v>
      </c>
      <c r="S679">
        <v>5</v>
      </c>
      <c r="T679" t="s">
        <v>44</v>
      </c>
      <c r="U679" t="s">
        <v>38</v>
      </c>
      <c r="V679" t="s">
        <v>39</v>
      </c>
      <c r="W679" s="1">
        <v>45550</v>
      </c>
      <c r="X679" t="b">
        <v>1</v>
      </c>
      <c r="Y679" t="b">
        <v>0</v>
      </c>
      <c r="Z679" t="s">
        <v>40</v>
      </c>
      <c r="AA679" t="s">
        <v>53</v>
      </c>
      <c r="AB679">
        <v>2</v>
      </c>
    </row>
    <row r="680" spans="1:28" x14ac:dyDescent="0.25">
      <c r="A680" t="s">
        <v>1432</v>
      </c>
      <c r="B680">
        <v>38</v>
      </c>
      <c r="C680" t="s">
        <v>29</v>
      </c>
      <c r="D680" t="s">
        <v>30</v>
      </c>
      <c r="E680" t="s">
        <v>55</v>
      </c>
      <c r="F680" t="s">
        <v>32</v>
      </c>
      <c r="G680" t="s">
        <v>30</v>
      </c>
      <c r="H680" t="s">
        <v>1433</v>
      </c>
      <c r="I680" t="s">
        <v>71</v>
      </c>
      <c r="J680">
        <v>195.83</v>
      </c>
      <c r="K680">
        <v>10</v>
      </c>
      <c r="L680" t="s">
        <v>35</v>
      </c>
      <c r="M680">
        <v>1</v>
      </c>
      <c r="N680">
        <v>2</v>
      </c>
      <c r="O680">
        <v>2</v>
      </c>
      <c r="P680" t="s">
        <v>36</v>
      </c>
      <c r="Q680" t="s">
        <v>50</v>
      </c>
      <c r="R680">
        <v>1</v>
      </c>
      <c r="S680">
        <v>7</v>
      </c>
      <c r="T680" t="s">
        <v>44</v>
      </c>
      <c r="U680" t="s">
        <v>79</v>
      </c>
      <c r="V680" t="s">
        <v>61</v>
      </c>
      <c r="W680" s="1">
        <v>45316</v>
      </c>
      <c r="X680" t="b">
        <v>1</v>
      </c>
      <c r="Y680" t="b">
        <v>0</v>
      </c>
      <c r="Z680" t="s">
        <v>40</v>
      </c>
      <c r="AA680" t="s">
        <v>41</v>
      </c>
      <c r="AB680">
        <v>13</v>
      </c>
    </row>
    <row r="681" spans="1:28" x14ac:dyDescent="0.25">
      <c r="A681" t="s">
        <v>1434</v>
      </c>
      <c r="B681">
        <v>21</v>
      </c>
      <c r="C681" t="s">
        <v>43</v>
      </c>
      <c r="D681" t="s">
        <v>44</v>
      </c>
      <c r="E681" t="s">
        <v>31</v>
      </c>
      <c r="F681" t="s">
        <v>56</v>
      </c>
      <c r="G681" t="s">
        <v>44</v>
      </c>
      <c r="H681" t="s">
        <v>1435</v>
      </c>
      <c r="I681" t="s">
        <v>90</v>
      </c>
      <c r="J681">
        <v>340.31</v>
      </c>
      <c r="K681">
        <v>10</v>
      </c>
      <c r="L681" t="s">
        <v>78</v>
      </c>
      <c r="M681">
        <v>5</v>
      </c>
      <c r="N681">
        <v>1</v>
      </c>
      <c r="O681">
        <v>1</v>
      </c>
      <c r="P681" t="s">
        <v>59</v>
      </c>
      <c r="Q681" t="s">
        <v>37</v>
      </c>
      <c r="R681">
        <v>0</v>
      </c>
      <c r="S681">
        <v>5</v>
      </c>
      <c r="T681" t="s">
        <v>59</v>
      </c>
      <c r="U681" t="s">
        <v>79</v>
      </c>
      <c r="V681" t="s">
        <v>66</v>
      </c>
      <c r="W681" s="1">
        <v>45553</v>
      </c>
      <c r="X681" t="b">
        <v>0</v>
      </c>
      <c r="Y681" t="b">
        <v>1</v>
      </c>
      <c r="Z681" t="s">
        <v>62</v>
      </c>
      <c r="AA681" t="s">
        <v>41</v>
      </c>
      <c r="AB681">
        <v>14</v>
      </c>
    </row>
    <row r="682" spans="1:28" x14ac:dyDescent="0.25">
      <c r="A682" t="s">
        <v>1436</v>
      </c>
      <c r="B682">
        <v>40</v>
      </c>
      <c r="C682" t="s">
        <v>43</v>
      </c>
      <c r="D682" t="s">
        <v>44</v>
      </c>
      <c r="E682" t="s">
        <v>76</v>
      </c>
      <c r="F682" t="s">
        <v>56</v>
      </c>
      <c r="G682" t="s">
        <v>44</v>
      </c>
      <c r="H682" t="s">
        <v>1437</v>
      </c>
      <c r="I682" t="s">
        <v>101</v>
      </c>
      <c r="J682">
        <v>489.67</v>
      </c>
      <c r="K682">
        <v>5</v>
      </c>
      <c r="L682" t="s">
        <v>35</v>
      </c>
      <c r="M682">
        <v>5</v>
      </c>
      <c r="N682">
        <v>5</v>
      </c>
      <c r="O682">
        <v>1</v>
      </c>
      <c r="P682" t="s">
        <v>36</v>
      </c>
      <c r="Q682" t="s">
        <v>85</v>
      </c>
      <c r="R682">
        <v>1</v>
      </c>
      <c r="S682">
        <v>5</v>
      </c>
      <c r="T682" t="s">
        <v>49</v>
      </c>
      <c r="U682" t="s">
        <v>38</v>
      </c>
      <c r="V682" t="s">
        <v>61</v>
      </c>
      <c r="W682" s="1">
        <v>45647</v>
      </c>
      <c r="X682" t="b">
        <v>0</v>
      </c>
      <c r="Y682" t="b">
        <v>0</v>
      </c>
      <c r="Z682" t="s">
        <v>52</v>
      </c>
      <c r="AA682" t="s">
        <v>53</v>
      </c>
      <c r="AB682">
        <v>11</v>
      </c>
    </row>
    <row r="683" spans="1:28" x14ac:dyDescent="0.25">
      <c r="A683" t="s">
        <v>1438</v>
      </c>
      <c r="B683">
        <v>26</v>
      </c>
      <c r="C683" t="s">
        <v>43</v>
      </c>
      <c r="D683" t="s">
        <v>44</v>
      </c>
      <c r="E683" t="s">
        <v>76</v>
      </c>
      <c r="F683" t="s">
        <v>56</v>
      </c>
      <c r="G683" t="s">
        <v>30</v>
      </c>
      <c r="H683" t="s">
        <v>1439</v>
      </c>
      <c r="I683" t="s">
        <v>93</v>
      </c>
      <c r="J683">
        <v>482.5</v>
      </c>
      <c r="K683">
        <v>11</v>
      </c>
      <c r="L683" t="s">
        <v>35</v>
      </c>
      <c r="M683">
        <v>1</v>
      </c>
      <c r="N683">
        <v>1</v>
      </c>
      <c r="O683">
        <v>1</v>
      </c>
      <c r="P683" t="s">
        <v>36</v>
      </c>
      <c r="Q683" t="s">
        <v>85</v>
      </c>
      <c r="R683">
        <v>2</v>
      </c>
      <c r="S683">
        <v>1</v>
      </c>
      <c r="T683" t="s">
        <v>36</v>
      </c>
      <c r="U683" t="s">
        <v>60</v>
      </c>
      <c r="V683" t="s">
        <v>86</v>
      </c>
      <c r="W683" s="1">
        <v>45563</v>
      </c>
      <c r="X683" t="b">
        <v>1</v>
      </c>
      <c r="Y683" t="b">
        <v>1</v>
      </c>
      <c r="Z683" t="s">
        <v>40</v>
      </c>
      <c r="AA683" t="s">
        <v>41</v>
      </c>
      <c r="AB683">
        <v>13</v>
      </c>
    </row>
    <row r="684" spans="1:28" x14ac:dyDescent="0.25">
      <c r="A684" t="s">
        <v>1440</v>
      </c>
      <c r="B684">
        <v>32</v>
      </c>
      <c r="C684" t="s">
        <v>29</v>
      </c>
      <c r="D684" t="s">
        <v>30</v>
      </c>
      <c r="E684" t="s">
        <v>31</v>
      </c>
      <c r="F684" t="s">
        <v>56</v>
      </c>
      <c r="G684" t="s">
        <v>30</v>
      </c>
      <c r="H684" t="s">
        <v>1441</v>
      </c>
      <c r="I684" t="s">
        <v>246</v>
      </c>
      <c r="J684">
        <v>433.14</v>
      </c>
      <c r="K684">
        <v>10</v>
      </c>
      <c r="L684" t="s">
        <v>48</v>
      </c>
      <c r="M684">
        <v>3</v>
      </c>
      <c r="N684">
        <v>1</v>
      </c>
      <c r="O684">
        <v>2</v>
      </c>
      <c r="P684" t="s">
        <v>49</v>
      </c>
      <c r="Q684" t="s">
        <v>50</v>
      </c>
      <c r="R684">
        <v>2</v>
      </c>
      <c r="S684">
        <v>3</v>
      </c>
      <c r="T684" t="s">
        <v>44</v>
      </c>
      <c r="U684" t="s">
        <v>38</v>
      </c>
      <c r="V684" t="s">
        <v>61</v>
      </c>
      <c r="W684" s="1">
        <v>45482</v>
      </c>
      <c r="X684" t="b">
        <v>0</v>
      </c>
      <c r="Y684" t="b">
        <v>0</v>
      </c>
      <c r="Z684" t="s">
        <v>62</v>
      </c>
      <c r="AA684" t="s">
        <v>41</v>
      </c>
      <c r="AB684">
        <v>5</v>
      </c>
    </row>
    <row r="685" spans="1:28" x14ac:dyDescent="0.25">
      <c r="A685" t="s">
        <v>1442</v>
      </c>
      <c r="B685">
        <v>47</v>
      </c>
      <c r="C685" t="s">
        <v>29</v>
      </c>
      <c r="D685" t="s">
        <v>30</v>
      </c>
      <c r="E685" t="s">
        <v>69</v>
      </c>
      <c r="F685" t="s">
        <v>45</v>
      </c>
      <c r="G685" t="s">
        <v>44</v>
      </c>
      <c r="H685" t="s">
        <v>1443</v>
      </c>
      <c r="I685" t="s">
        <v>246</v>
      </c>
      <c r="J685">
        <v>375.7</v>
      </c>
      <c r="K685">
        <v>6</v>
      </c>
      <c r="L685" t="s">
        <v>78</v>
      </c>
      <c r="M685">
        <v>3</v>
      </c>
      <c r="N685">
        <v>1</v>
      </c>
      <c r="O685">
        <v>2</v>
      </c>
      <c r="P685" t="s">
        <v>59</v>
      </c>
      <c r="Q685" t="s">
        <v>85</v>
      </c>
      <c r="R685">
        <v>2</v>
      </c>
      <c r="S685">
        <v>10</v>
      </c>
      <c r="T685" t="s">
        <v>49</v>
      </c>
      <c r="U685" t="s">
        <v>38</v>
      </c>
      <c r="V685" t="s">
        <v>66</v>
      </c>
      <c r="W685" s="1">
        <v>45562</v>
      </c>
      <c r="X685" t="b">
        <v>1</v>
      </c>
      <c r="Y685" t="b">
        <v>0</v>
      </c>
      <c r="Z685" t="s">
        <v>52</v>
      </c>
      <c r="AA685" t="s">
        <v>41</v>
      </c>
      <c r="AB685">
        <v>10</v>
      </c>
    </row>
    <row r="686" spans="1:28" x14ac:dyDescent="0.25">
      <c r="A686" t="s">
        <v>1444</v>
      </c>
      <c r="B686">
        <v>21</v>
      </c>
      <c r="C686" t="s">
        <v>43</v>
      </c>
      <c r="D686" t="s">
        <v>30</v>
      </c>
      <c r="E686" t="s">
        <v>55</v>
      </c>
      <c r="F686" t="s">
        <v>56</v>
      </c>
      <c r="G686" t="s">
        <v>30</v>
      </c>
      <c r="H686" t="s">
        <v>1445</v>
      </c>
      <c r="I686" t="s">
        <v>194</v>
      </c>
      <c r="J686">
        <v>381.3</v>
      </c>
      <c r="K686">
        <v>12</v>
      </c>
      <c r="L686" t="s">
        <v>78</v>
      </c>
      <c r="M686">
        <v>2</v>
      </c>
      <c r="N686">
        <v>1</v>
      </c>
      <c r="O686">
        <v>1</v>
      </c>
      <c r="P686" t="s">
        <v>44</v>
      </c>
      <c r="Q686" t="s">
        <v>85</v>
      </c>
      <c r="R686">
        <v>0</v>
      </c>
      <c r="S686">
        <v>4</v>
      </c>
      <c r="T686" t="s">
        <v>59</v>
      </c>
      <c r="U686" t="s">
        <v>79</v>
      </c>
      <c r="V686" t="s">
        <v>39</v>
      </c>
      <c r="W686" s="1">
        <v>45300</v>
      </c>
      <c r="X686" t="b">
        <v>0</v>
      </c>
      <c r="Y686" t="b">
        <v>0</v>
      </c>
      <c r="Z686" t="s">
        <v>74</v>
      </c>
      <c r="AA686" t="s">
        <v>67</v>
      </c>
      <c r="AB686">
        <v>7</v>
      </c>
    </row>
    <row r="687" spans="1:28" x14ac:dyDescent="0.25">
      <c r="A687" t="s">
        <v>1446</v>
      </c>
      <c r="B687">
        <v>34</v>
      </c>
      <c r="C687" t="s">
        <v>43</v>
      </c>
      <c r="D687" t="s">
        <v>44</v>
      </c>
      <c r="E687" t="s">
        <v>69</v>
      </c>
      <c r="F687" t="s">
        <v>45</v>
      </c>
      <c r="G687" t="s">
        <v>44</v>
      </c>
      <c r="H687" t="s">
        <v>1447</v>
      </c>
      <c r="I687" t="s">
        <v>117</v>
      </c>
      <c r="J687">
        <v>210.21</v>
      </c>
      <c r="K687">
        <v>4</v>
      </c>
      <c r="L687" t="s">
        <v>35</v>
      </c>
      <c r="M687">
        <v>4</v>
      </c>
      <c r="N687">
        <v>1</v>
      </c>
      <c r="O687">
        <v>2</v>
      </c>
      <c r="P687" t="s">
        <v>44</v>
      </c>
      <c r="Q687" t="s">
        <v>85</v>
      </c>
      <c r="R687">
        <v>0</v>
      </c>
      <c r="S687">
        <v>10</v>
      </c>
      <c r="T687" t="s">
        <v>44</v>
      </c>
      <c r="U687" t="s">
        <v>79</v>
      </c>
      <c r="V687" t="s">
        <v>51</v>
      </c>
      <c r="W687" s="1">
        <v>45478</v>
      </c>
      <c r="X687" t="b">
        <v>0</v>
      </c>
      <c r="Y687" t="b">
        <v>1</v>
      </c>
      <c r="Z687" t="s">
        <v>40</v>
      </c>
      <c r="AA687" t="s">
        <v>41</v>
      </c>
      <c r="AB687">
        <v>14</v>
      </c>
    </row>
    <row r="688" spans="1:28" x14ac:dyDescent="0.25">
      <c r="A688" t="s">
        <v>1448</v>
      </c>
      <c r="B688">
        <v>29</v>
      </c>
      <c r="C688" t="s">
        <v>43</v>
      </c>
      <c r="D688" t="s">
        <v>30</v>
      </c>
      <c r="E688" t="s">
        <v>69</v>
      </c>
      <c r="F688" t="s">
        <v>56</v>
      </c>
      <c r="G688" t="s">
        <v>44</v>
      </c>
      <c r="H688" t="s">
        <v>1449</v>
      </c>
      <c r="I688" t="s">
        <v>142</v>
      </c>
      <c r="J688">
        <v>408.81</v>
      </c>
      <c r="K688">
        <v>8</v>
      </c>
      <c r="L688" t="s">
        <v>35</v>
      </c>
      <c r="M688">
        <v>5</v>
      </c>
      <c r="N688">
        <v>4</v>
      </c>
      <c r="O688">
        <v>2</v>
      </c>
      <c r="P688" t="s">
        <v>59</v>
      </c>
      <c r="Q688" t="s">
        <v>85</v>
      </c>
      <c r="R688">
        <v>1</v>
      </c>
      <c r="S688">
        <v>3</v>
      </c>
      <c r="T688" t="s">
        <v>49</v>
      </c>
      <c r="U688" t="s">
        <v>79</v>
      </c>
      <c r="V688" t="s">
        <v>61</v>
      </c>
      <c r="W688" s="1">
        <v>45489</v>
      </c>
      <c r="X688" t="b">
        <v>0</v>
      </c>
      <c r="Y688" t="b">
        <v>1</v>
      </c>
      <c r="Z688" t="s">
        <v>52</v>
      </c>
      <c r="AA688" t="s">
        <v>67</v>
      </c>
      <c r="AB688">
        <v>12</v>
      </c>
    </row>
    <row r="689" spans="1:28" x14ac:dyDescent="0.25">
      <c r="A689" t="s">
        <v>1450</v>
      </c>
      <c r="B689">
        <v>20</v>
      </c>
      <c r="C689" t="s">
        <v>29</v>
      </c>
      <c r="D689" t="s">
        <v>30</v>
      </c>
      <c r="E689" t="s">
        <v>76</v>
      </c>
      <c r="F689" t="s">
        <v>32</v>
      </c>
      <c r="G689" t="s">
        <v>44</v>
      </c>
      <c r="H689" t="s">
        <v>1451</v>
      </c>
      <c r="I689" t="s">
        <v>246</v>
      </c>
      <c r="J689">
        <v>118.65</v>
      </c>
      <c r="K689">
        <v>10</v>
      </c>
      <c r="L689" t="s">
        <v>35</v>
      </c>
      <c r="M689">
        <v>1</v>
      </c>
      <c r="N689">
        <v>3</v>
      </c>
      <c r="O689">
        <v>0</v>
      </c>
      <c r="P689" t="s">
        <v>59</v>
      </c>
      <c r="Q689" t="s">
        <v>85</v>
      </c>
      <c r="R689">
        <v>0</v>
      </c>
      <c r="S689">
        <v>2</v>
      </c>
      <c r="T689" t="s">
        <v>59</v>
      </c>
      <c r="U689" t="s">
        <v>60</v>
      </c>
      <c r="V689" t="s">
        <v>39</v>
      </c>
      <c r="W689" s="1">
        <v>45300</v>
      </c>
      <c r="X689" t="b">
        <v>1</v>
      </c>
      <c r="Y689" t="b">
        <v>1</v>
      </c>
      <c r="Z689" t="s">
        <v>62</v>
      </c>
      <c r="AA689" t="s">
        <v>53</v>
      </c>
      <c r="AB689">
        <v>13</v>
      </c>
    </row>
    <row r="690" spans="1:28" x14ac:dyDescent="0.25">
      <c r="A690" t="s">
        <v>1452</v>
      </c>
      <c r="B690">
        <v>50</v>
      </c>
      <c r="C690" t="s">
        <v>43</v>
      </c>
      <c r="D690" t="s">
        <v>44</v>
      </c>
      <c r="E690" t="s">
        <v>76</v>
      </c>
      <c r="F690" t="s">
        <v>32</v>
      </c>
      <c r="G690" t="s">
        <v>30</v>
      </c>
      <c r="H690" t="s">
        <v>1453</v>
      </c>
      <c r="I690" t="s">
        <v>120</v>
      </c>
      <c r="J690">
        <v>166.45</v>
      </c>
      <c r="K690">
        <v>7</v>
      </c>
      <c r="L690" t="s">
        <v>35</v>
      </c>
      <c r="M690">
        <v>5</v>
      </c>
      <c r="N690">
        <v>2</v>
      </c>
      <c r="O690">
        <v>2</v>
      </c>
      <c r="P690" t="s">
        <v>59</v>
      </c>
      <c r="Q690" t="s">
        <v>85</v>
      </c>
      <c r="R690">
        <v>2</v>
      </c>
      <c r="S690">
        <v>1</v>
      </c>
      <c r="T690" t="s">
        <v>44</v>
      </c>
      <c r="U690" t="s">
        <v>60</v>
      </c>
      <c r="V690" t="s">
        <v>86</v>
      </c>
      <c r="W690" s="1">
        <v>45517</v>
      </c>
      <c r="X690" t="b">
        <v>1</v>
      </c>
      <c r="Y690" t="b">
        <v>0</v>
      </c>
      <c r="Z690" t="s">
        <v>74</v>
      </c>
      <c r="AA690" t="s">
        <v>67</v>
      </c>
      <c r="AB690">
        <v>12</v>
      </c>
    </row>
    <row r="691" spans="1:28" x14ac:dyDescent="0.25">
      <c r="A691" t="s">
        <v>1454</v>
      </c>
      <c r="B691">
        <v>29</v>
      </c>
      <c r="C691" t="s">
        <v>29</v>
      </c>
      <c r="D691" t="s">
        <v>30</v>
      </c>
      <c r="E691" t="s">
        <v>76</v>
      </c>
      <c r="F691" t="s">
        <v>56</v>
      </c>
      <c r="G691" t="s">
        <v>44</v>
      </c>
      <c r="H691" t="s">
        <v>1455</v>
      </c>
      <c r="I691" t="s">
        <v>194</v>
      </c>
      <c r="J691">
        <v>385.32</v>
      </c>
      <c r="K691">
        <v>10</v>
      </c>
      <c r="L691" t="s">
        <v>78</v>
      </c>
      <c r="M691">
        <v>1</v>
      </c>
      <c r="N691">
        <v>1</v>
      </c>
      <c r="O691">
        <v>1</v>
      </c>
      <c r="P691" t="s">
        <v>59</v>
      </c>
      <c r="Q691" t="s">
        <v>85</v>
      </c>
      <c r="R691">
        <v>0</v>
      </c>
      <c r="S691">
        <v>1</v>
      </c>
      <c r="T691" t="s">
        <v>49</v>
      </c>
      <c r="U691" t="s">
        <v>60</v>
      </c>
      <c r="V691" t="s">
        <v>51</v>
      </c>
      <c r="W691" s="1">
        <v>45540</v>
      </c>
      <c r="X691" t="b">
        <v>1</v>
      </c>
      <c r="Y691" t="b">
        <v>1</v>
      </c>
      <c r="Z691" t="s">
        <v>62</v>
      </c>
      <c r="AA691" t="s">
        <v>53</v>
      </c>
      <c r="AB691">
        <v>9</v>
      </c>
    </row>
    <row r="692" spans="1:28" x14ac:dyDescent="0.25">
      <c r="A692" t="s">
        <v>1456</v>
      </c>
      <c r="B692">
        <v>25</v>
      </c>
      <c r="C692" t="s">
        <v>190</v>
      </c>
      <c r="D692" t="s">
        <v>30</v>
      </c>
      <c r="E692" t="s">
        <v>31</v>
      </c>
      <c r="F692" t="s">
        <v>32</v>
      </c>
      <c r="G692" t="s">
        <v>44</v>
      </c>
      <c r="H692" t="s">
        <v>1457</v>
      </c>
      <c r="I692" t="s">
        <v>93</v>
      </c>
      <c r="J692">
        <v>293.99</v>
      </c>
      <c r="K692">
        <v>10</v>
      </c>
      <c r="L692" t="s">
        <v>35</v>
      </c>
      <c r="M692">
        <v>3</v>
      </c>
      <c r="N692">
        <v>4</v>
      </c>
      <c r="O692">
        <v>0</v>
      </c>
      <c r="P692" t="s">
        <v>36</v>
      </c>
      <c r="Q692" t="s">
        <v>37</v>
      </c>
      <c r="R692">
        <v>2</v>
      </c>
      <c r="S692">
        <v>7</v>
      </c>
      <c r="T692" t="s">
        <v>36</v>
      </c>
      <c r="U692" t="s">
        <v>38</v>
      </c>
      <c r="V692" t="s">
        <v>39</v>
      </c>
      <c r="W692" s="1">
        <v>45564</v>
      </c>
      <c r="X692" t="b">
        <v>0</v>
      </c>
      <c r="Y692" t="b">
        <v>1</v>
      </c>
      <c r="Z692" t="s">
        <v>52</v>
      </c>
      <c r="AA692" t="s">
        <v>41</v>
      </c>
      <c r="AB692">
        <v>5</v>
      </c>
    </row>
    <row r="693" spans="1:28" x14ac:dyDescent="0.25">
      <c r="A693" t="s">
        <v>1458</v>
      </c>
      <c r="B693">
        <v>37</v>
      </c>
      <c r="C693" t="s">
        <v>43</v>
      </c>
      <c r="D693" t="s">
        <v>30</v>
      </c>
      <c r="E693" t="s">
        <v>69</v>
      </c>
      <c r="F693" t="s">
        <v>45</v>
      </c>
      <c r="G693" t="s">
        <v>30</v>
      </c>
      <c r="H693" t="s">
        <v>1459</v>
      </c>
      <c r="I693" t="s">
        <v>126</v>
      </c>
      <c r="J693">
        <v>161.41</v>
      </c>
      <c r="K693">
        <v>9</v>
      </c>
      <c r="L693" t="s">
        <v>35</v>
      </c>
      <c r="M693">
        <v>1</v>
      </c>
      <c r="N693">
        <v>4</v>
      </c>
      <c r="O693">
        <v>0</v>
      </c>
      <c r="P693" t="s">
        <v>59</v>
      </c>
      <c r="Q693" t="s">
        <v>85</v>
      </c>
      <c r="R693">
        <v>1</v>
      </c>
      <c r="S693">
        <v>8</v>
      </c>
      <c r="T693" t="s">
        <v>44</v>
      </c>
      <c r="U693" t="s">
        <v>79</v>
      </c>
      <c r="V693" t="s">
        <v>51</v>
      </c>
      <c r="W693" s="1">
        <v>45389</v>
      </c>
      <c r="X693" t="b">
        <v>1</v>
      </c>
      <c r="Y693" t="b">
        <v>0</v>
      </c>
      <c r="Z693" t="s">
        <v>62</v>
      </c>
      <c r="AA693" t="s">
        <v>53</v>
      </c>
      <c r="AB693">
        <v>3</v>
      </c>
    </row>
    <row r="694" spans="1:28" x14ac:dyDescent="0.25">
      <c r="A694" t="s">
        <v>1460</v>
      </c>
      <c r="B694">
        <v>39</v>
      </c>
      <c r="C694" t="s">
        <v>43</v>
      </c>
      <c r="D694" t="s">
        <v>30</v>
      </c>
      <c r="E694" t="s">
        <v>55</v>
      </c>
      <c r="F694" t="s">
        <v>56</v>
      </c>
      <c r="G694" t="s">
        <v>30</v>
      </c>
      <c r="H694" t="s">
        <v>675</v>
      </c>
      <c r="I694" t="s">
        <v>158</v>
      </c>
      <c r="J694">
        <v>130.91999999999999</v>
      </c>
      <c r="K694">
        <v>2</v>
      </c>
      <c r="L694" t="s">
        <v>78</v>
      </c>
      <c r="M694">
        <v>1</v>
      </c>
      <c r="N694">
        <v>2</v>
      </c>
      <c r="O694">
        <v>1</v>
      </c>
      <c r="P694" t="s">
        <v>44</v>
      </c>
      <c r="Q694" t="s">
        <v>85</v>
      </c>
      <c r="R694">
        <v>2</v>
      </c>
      <c r="S694">
        <v>2</v>
      </c>
      <c r="T694" t="s">
        <v>36</v>
      </c>
      <c r="U694" t="s">
        <v>38</v>
      </c>
      <c r="V694" t="s">
        <v>86</v>
      </c>
      <c r="W694" s="1">
        <v>45644</v>
      </c>
      <c r="X694" t="b">
        <v>1</v>
      </c>
      <c r="Y694" t="b">
        <v>1</v>
      </c>
      <c r="Z694" t="s">
        <v>62</v>
      </c>
      <c r="AA694" t="s">
        <v>41</v>
      </c>
      <c r="AB694">
        <v>9</v>
      </c>
    </row>
    <row r="695" spans="1:28" x14ac:dyDescent="0.25">
      <c r="A695" t="s">
        <v>1461</v>
      </c>
      <c r="B695">
        <v>48</v>
      </c>
      <c r="C695" t="s">
        <v>29</v>
      </c>
      <c r="D695" t="s">
        <v>30</v>
      </c>
      <c r="E695" t="s">
        <v>76</v>
      </c>
      <c r="F695" t="s">
        <v>32</v>
      </c>
      <c r="G695" t="s">
        <v>44</v>
      </c>
      <c r="H695" t="s">
        <v>1462</v>
      </c>
      <c r="I695" t="s">
        <v>126</v>
      </c>
      <c r="J695">
        <v>468.6</v>
      </c>
      <c r="K695">
        <v>4</v>
      </c>
      <c r="L695" t="s">
        <v>35</v>
      </c>
      <c r="M695">
        <v>3</v>
      </c>
      <c r="N695">
        <v>4</v>
      </c>
      <c r="O695">
        <v>2</v>
      </c>
      <c r="P695" t="s">
        <v>49</v>
      </c>
      <c r="Q695" t="s">
        <v>37</v>
      </c>
      <c r="R695">
        <v>0</v>
      </c>
      <c r="S695">
        <v>6</v>
      </c>
      <c r="T695" t="s">
        <v>36</v>
      </c>
      <c r="U695" t="s">
        <v>79</v>
      </c>
      <c r="V695" t="s">
        <v>51</v>
      </c>
      <c r="W695" s="1">
        <v>45457</v>
      </c>
      <c r="X695" t="b">
        <v>0</v>
      </c>
      <c r="Y695" t="b">
        <v>1</v>
      </c>
      <c r="Z695" t="s">
        <v>40</v>
      </c>
      <c r="AA695" t="s">
        <v>41</v>
      </c>
      <c r="AB695">
        <v>2</v>
      </c>
    </row>
    <row r="696" spans="1:28" x14ac:dyDescent="0.25">
      <c r="A696" t="s">
        <v>1463</v>
      </c>
      <c r="B696">
        <v>47</v>
      </c>
      <c r="C696" t="s">
        <v>43</v>
      </c>
      <c r="D696" t="s">
        <v>44</v>
      </c>
      <c r="E696" t="s">
        <v>76</v>
      </c>
      <c r="F696" t="s">
        <v>32</v>
      </c>
      <c r="G696" t="s">
        <v>30</v>
      </c>
      <c r="H696" t="s">
        <v>1464</v>
      </c>
      <c r="I696" t="s">
        <v>126</v>
      </c>
      <c r="J696">
        <v>237.57</v>
      </c>
      <c r="K696">
        <v>5</v>
      </c>
      <c r="L696" t="s">
        <v>78</v>
      </c>
      <c r="M696">
        <v>3</v>
      </c>
      <c r="N696">
        <v>3</v>
      </c>
      <c r="O696">
        <v>0</v>
      </c>
      <c r="P696" t="s">
        <v>49</v>
      </c>
      <c r="Q696" t="s">
        <v>37</v>
      </c>
      <c r="R696">
        <v>0</v>
      </c>
      <c r="S696">
        <v>3</v>
      </c>
      <c r="T696" t="s">
        <v>49</v>
      </c>
      <c r="U696" t="s">
        <v>60</v>
      </c>
      <c r="V696" t="s">
        <v>86</v>
      </c>
      <c r="W696" s="1">
        <v>45407</v>
      </c>
      <c r="X696" t="b">
        <v>1</v>
      </c>
      <c r="Y696" t="b">
        <v>1</v>
      </c>
      <c r="Z696" t="s">
        <v>40</v>
      </c>
      <c r="AA696" t="s">
        <v>41</v>
      </c>
      <c r="AB696">
        <v>11</v>
      </c>
    </row>
    <row r="697" spans="1:28" x14ac:dyDescent="0.25">
      <c r="A697" t="s">
        <v>1465</v>
      </c>
      <c r="B697">
        <v>50</v>
      </c>
      <c r="C697" t="s">
        <v>29</v>
      </c>
      <c r="D697" t="s">
        <v>30</v>
      </c>
      <c r="E697" t="s">
        <v>76</v>
      </c>
      <c r="F697" t="s">
        <v>45</v>
      </c>
      <c r="G697" t="s">
        <v>44</v>
      </c>
      <c r="H697" t="s">
        <v>1466</v>
      </c>
      <c r="I697" t="s">
        <v>71</v>
      </c>
      <c r="J697">
        <v>395.18</v>
      </c>
      <c r="K697">
        <v>5</v>
      </c>
      <c r="L697" t="s">
        <v>48</v>
      </c>
      <c r="M697">
        <v>2</v>
      </c>
      <c r="N697">
        <v>2</v>
      </c>
      <c r="O697">
        <v>1</v>
      </c>
      <c r="P697" t="s">
        <v>36</v>
      </c>
      <c r="Q697" t="s">
        <v>50</v>
      </c>
      <c r="R697">
        <v>0</v>
      </c>
      <c r="S697">
        <v>5</v>
      </c>
      <c r="T697" t="s">
        <v>44</v>
      </c>
      <c r="U697" t="s">
        <v>60</v>
      </c>
      <c r="V697" t="s">
        <v>66</v>
      </c>
      <c r="W697" s="1">
        <v>45493</v>
      </c>
      <c r="X697" t="b">
        <v>1</v>
      </c>
      <c r="Y697" t="b">
        <v>1</v>
      </c>
      <c r="Z697" t="s">
        <v>40</v>
      </c>
      <c r="AA697" t="s">
        <v>53</v>
      </c>
      <c r="AB697">
        <v>6</v>
      </c>
    </row>
    <row r="698" spans="1:28" x14ac:dyDescent="0.25">
      <c r="A698" t="s">
        <v>1467</v>
      </c>
      <c r="B698">
        <v>42</v>
      </c>
      <c r="C698" t="s">
        <v>212</v>
      </c>
      <c r="D698" t="s">
        <v>44</v>
      </c>
      <c r="E698" t="s">
        <v>31</v>
      </c>
      <c r="F698" t="s">
        <v>45</v>
      </c>
      <c r="G698" t="s">
        <v>30</v>
      </c>
      <c r="H698" t="s">
        <v>1468</v>
      </c>
      <c r="I698" t="s">
        <v>117</v>
      </c>
      <c r="J698">
        <v>427.94</v>
      </c>
      <c r="K698">
        <v>12</v>
      </c>
      <c r="L698" t="s">
        <v>35</v>
      </c>
      <c r="M698">
        <v>5</v>
      </c>
      <c r="N698">
        <v>4</v>
      </c>
      <c r="O698">
        <v>1.3</v>
      </c>
      <c r="P698" t="s">
        <v>44</v>
      </c>
      <c r="Q698" t="s">
        <v>50</v>
      </c>
      <c r="R698">
        <v>1</v>
      </c>
      <c r="S698">
        <v>2</v>
      </c>
      <c r="T698" t="s">
        <v>36</v>
      </c>
      <c r="U698" t="s">
        <v>60</v>
      </c>
      <c r="V698" t="s">
        <v>66</v>
      </c>
      <c r="W698" s="1">
        <v>45380</v>
      </c>
      <c r="X698" t="b">
        <v>0</v>
      </c>
      <c r="Y698" t="b">
        <v>0</v>
      </c>
      <c r="Z698" t="s">
        <v>62</v>
      </c>
      <c r="AA698" t="s">
        <v>41</v>
      </c>
      <c r="AB698">
        <v>10</v>
      </c>
    </row>
    <row r="699" spans="1:28" x14ac:dyDescent="0.25">
      <c r="A699" t="s">
        <v>1469</v>
      </c>
      <c r="B699">
        <v>28</v>
      </c>
      <c r="C699" t="s">
        <v>29</v>
      </c>
      <c r="D699" t="s">
        <v>44</v>
      </c>
      <c r="E699" t="s">
        <v>55</v>
      </c>
      <c r="F699" t="s">
        <v>32</v>
      </c>
      <c r="G699" t="s">
        <v>44</v>
      </c>
      <c r="H699" t="s">
        <v>1470</v>
      </c>
      <c r="I699" t="s">
        <v>107</v>
      </c>
      <c r="J699">
        <v>81.23</v>
      </c>
      <c r="K699">
        <v>9</v>
      </c>
      <c r="L699" t="s">
        <v>35</v>
      </c>
      <c r="M699">
        <v>2</v>
      </c>
      <c r="N699">
        <v>5</v>
      </c>
      <c r="O699">
        <v>2</v>
      </c>
      <c r="P699" t="s">
        <v>44</v>
      </c>
      <c r="Q699" t="s">
        <v>50</v>
      </c>
      <c r="R699">
        <v>1</v>
      </c>
      <c r="S699">
        <v>10</v>
      </c>
      <c r="T699" t="s">
        <v>49</v>
      </c>
      <c r="U699" t="s">
        <v>38</v>
      </c>
      <c r="V699" t="s">
        <v>86</v>
      </c>
      <c r="W699" s="1">
        <v>45377</v>
      </c>
      <c r="X699" t="b">
        <v>0</v>
      </c>
      <c r="Y699" t="b">
        <v>1</v>
      </c>
      <c r="Z699" t="s">
        <v>52</v>
      </c>
      <c r="AA699" t="s">
        <v>53</v>
      </c>
      <c r="AB699">
        <v>6</v>
      </c>
    </row>
    <row r="700" spans="1:28" x14ac:dyDescent="0.25">
      <c r="A700" t="s">
        <v>1471</v>
      </c>
      <c r="B700">
        <v>23</v>
      </c>
      <c r="C700" t="s">
        <v>43</v>
      </c>
      <c r="D700" t="s">
        <v>30</v>
      </c>
      <c r="E700" t="s">
        <v>55</v>
      </c>
      <c r="F700" t="s">
        <v>45</v>
      </c>
      <c r="G700" t="s">
        <v>30</v>
      </c>
      <c r="H700" t="s">
        <v>1472</v>
      </c>
      <c r="I700" t="s">
        <v>107</v>
      </c>
      <c r="J700">
        <v>257.43</v>
      </c>
      <c r="K700">
        <v>5</v>
      </c>
      <c r="L700" t="s">
        <v>78</v>
      </c>
      <c r="M700">
        <v>4</v>
      </c>
      <c r="N700">
        <v>2</v>
      </c>
      <c r="O700">
        <v>0</v>
      </c>
      <c r="P700" t="s">
        <v>59</v>
      </c>
      <c r="Q700" t="s">
        <v>37</v>
      </c>
      <c r="R700">
        <v>1</v>
      </c>
      <c r="S700">
        <v>7</v>
      </c>
      <c r="T700" t="s">
        <v>59</v>
      </c>
      <c r="U700" t="s">
        <v>79</v>
      </c>
      <c r="V700" t="s">
        <v>66</v>
      </c>
      <c r="W700" s="1">
        <v>45396</v>
      </c>
      <c r="X700" t="b">
        <v>1</v>
      </c>
      <c r="Y700" t="b">
        <v>1</v>
      </c>
      <c r="Z700" t="s">
        <v>40</v>
      </c>
      <c r="AA700" t="s">
        <v>53</v>
      </c>
      <c r="AB700">
        <v>13</v>
      </c>
    </row>
    <row r="701" spans="1:28" x14ac:dyDescent="0.25">
      <c r="A701" t="s">
        <v>1473</v>
      </c>
      <c r="B701">
        <v>42</v>
      </c>
      <c r="C701" t="s">
        <v>43</v>
      </c>
      <c r="D701" t="s">
        <v>44</v>
      </c>
      <c r="E701" t="s">
        <v>76</v>
      </c>
      <c r="F701" t="s">
        <v>45</v>
      </c>
      <c r="G701" t="s">
        <v>44</v>
      </c>
      <c r="H701" t="s">
        <v>1474</v>
      </c>
      <c r="I701" t="s">
        <v>135</v>
      </c>
      <c r="J701">
        <v>305.73</v>
      </c>
      <c r="K701">
        <v>7</v>
      </c>
      <c r="L701" t="s">
        <v>35</v>
      </c>
      <c r="M701">
        <v>2</v>
      </c>
      <c r="N701">
        <v>5</v>
      </c>
      <c r="O701">
        <v>1</v>
      </c>
      <c r="P701" t="s">
        <v>49</v>
      </c>
      <c r="Q701" t="s">
        <v>50</v>
      </c>
      <c r="R701">
        <v>2</v>
      </c>
      <c r="S701">
        <v>8</v>
      </c>
      <c r="T701" t="s">
        <v>49</v>
      </c>
      <c r="U701" t="s">
        <v>38</v>
      </c>
      <c r="V701" t="s">
        <v>86</v>
      </c>
      <c r="W701" s="1">
        <v>45640</v>
      </c>
      <c r="X701" t="b">
        <v>1</v>
      </c>
      <c r="Y701" t="b">
        <v>0</v>
      </c>
      <c r="Z701" t="s">
        <v>74</v>
      </c>
      <c r="AA701" t="s">
        <v>67</v>
      </c>
      <c r="AB701">
        <v>14</v>
      </c>
    </row>
    <row r="702" spans="1:28" x14ac:dyDescent="0.25">
      <c r="A702" t="s">
        <v>1475</v>
      </c>
      <c r="B702">
        <v>32</v>
      </c>
      <c r="C702" t="s">
        <v>43</v>
      </c>
      <c r="D702" t="s">
        <v>44</v>
      </c>
      <c r="E702" t="s">
        <v>55</v>
      </c>
      <c r="F702" t="s">
        <v>32</v>
      </c>
      <c r="G702" t="s">
        <v>44</v>
      </c>
      <c r="H702" t="s">
        <v>1476</v>
      </c>
      <c r="I702" t="s">
        <v>126</v>
      </c>
      <c r="J702">
        <v>249.82</v>
      </c>
      <c r="K702">
        <v>10</v>
      </c>
      <c r="L702" t="s">
        <v>48</v>
      </c>
      <c r="M702">
        <v>5</v>
      </c>
      <c r="N702">
        <v>3</v>
      </c>
      <c r="O702">
        <v>1</v>
      </c>
      <c r="P702" t="s">
        <v>44</v>
      </c>
      <c r="Q702" t="s">
        <v>50</v>
      </c>
      <c r="R702">
        <v>2</v>
      </c>
      <c r="S702">
        <v>6</v>
      </c>
      <c r="T702" t="s">
        <v>49</v>
      </c>
      <c r="U702" t="s">
        <v>38</v>
      </c>
      <c r="V702" t="s">
        <v>51</v>
      </c>
      <c r="W702" s="1">
        <v>45516</v>
      </c>
      <c r="X702" t="b">
        <v>1</v>
      </c>
      <c r="Y702" t="b">
        <v>0</v>
      </c>
      <c r="Z702" t="s">
        <v>52</v>
      </c>
      <c r="AA702" t="s">
        <v>41</v>
      </c>
      <c r="AB702">
        <v>10</v>
      </c>
    </row>
    <row r="703" spans="1:28" x14ac:dyDescent="0.25">
      <c r="A703" t="s">
        <v>1477</v>
      </c>
      <c r="B703">
        <v>33</v>
      </c>
      <c r="C703" t="s">
        <v>43</v>
      </c>
      <c r="D703" t="s">
        <v>30</v>
      </c>
      <c r="E703" t="s">
        <v>76</v>
      </c>
      <c r="F703" t="s">
        <v>32</v>
      </c>
      <c r="G703" t="s">
        <v>44</v>
      </c>
      <c r="H703" t="s">
        <v>1478</v>
      </c>
      <c r="I703" t="s">
        <v>101</v>
      </c>
      <c r="J703">
        <v>332.79</v>
      </c>
      <c r="K703">
        <v>11</v>
      </c>
      <c r="L703" t="s">
        <v>78</v>
      </c>
      <c r="M703">
        <v>3</v>
      </c>
      <c r="N703">
        <v>5</v>
      </c>
      <c r="O703">
        <v>2</v>
      </c>
      <c r="P703" t="s">
        <v>36</v>
      </c>
      <c r="Q703" t="s">
        <v>50</v>
      </c>
      <c r="R703">
        <v>2</v>
      </c>
      <c r="S703">
        <v>1</v>
      </c>
      <c r="T703" t="s">
        <v>44</v>
      </c>
      <c r="U703" t="s">
        <v>38</v>
      </c>
      <c r="V703" t="s">
        <v>51</v>
      </c>
      <c r="W703" s="1">
        <v>45533</v>
      </c>
      <c r="X703" t="b">
        <v>0</v>
      </c>
      <c r="Y703" t="b">
        <v>0</v>
      </c>
      <c r="Z703" t="s">
        <v>52</v>
      </c>
      <c r="AA703" t="s">
        <v>41</v>
      </c>
      <c r="AB703">
        <v>4</v>
      </c>
    </row>
    <row r="704" spans="1:28" x14ac:dyDescent="0.25">
      <c r="A704" t="s">
        <v>1479</v>
      </c>
      <c r="B704">
        <v>32</v>
      </c>
      <c r="C704" t="s">
        <v>43</v>
      </c>
      <c r="D704" t="s">
        <v>44</v>
      </c>
      <c r="E704" t="s">
        <v>55</v>
      </c>
      <c r="F704" t="s">
        <v>32</v>
      </c>
      <c r="G704" t="s">
        <v>30</v>
      </c>
      <c r="H704" t="s">
        <v>1480</v>
      </c>
      <c r="I704" t="s">
        <v>135</v>
      </c>
      <c r="J704">
        <v>78.900000000000006</v>
      </c>
      <c r="K704">
        <v>3</v>
      </c>
      <c r="L704" t="s">
        <v>48</v>
      </c>
      <c r="M704">
        <v>4</v>
      </c>
      <c r="N704">
        <v>1</v>
      </c>
      <c r="O704">
        <v>1</v>
      </c>
      <c r="P704" t="s">
        <v>59</v>
      </c>
      <c r="Q704" t="s">
        <v>50</v>
      </c>
      <c r="R704">
        <v>0</v>
      </c>
      <c r="S704">
        <v>1</v>
      </c>
      <c r="T704" t="s">
        <v>49</v>
      </c>
      <c r="U704" t="s">
        <v>38</v>
      </c>
      <c r="V704" t="s">
        <v>61</v>
      </c>
      <c r="W704" s="1">
        <v>45542</v>
      </c>
      <c r="X704" t="b">
        <v>0</v>
      </c>
      <c r="Y704" t="b">
        <v>1</v>
      </c>
      <c r="Z704" t="s">
        <v>74</v>
      </c>
      <c r="AA704" t="s">
        <v>53</v>
      </c>
      <c r="AB704">
        <v>10</v>
      </c>
    </row>
    <row r="705" spans="1:28" x14ac:dyDescent="0.25">
      <c r="A705" t="s">
        <v>1481</v>
      </c>
      <c r="B705">
        <v>29</v>
      </c>
      <c r="C705" t="s">
        <v>43</v>
      </c>
      <c r="D705" t="s">
        <v>44</v>
      </c>
      <c r="E705" t="s">
        <v>69</v>
      </c>
      <c r="F705" t="s">
        <v>45</v>
      </c>
      <c r="G705" t="s">
        <v>44</v>
      </c>
      <c r="H705" t="s">
        <v>1482</v>
      </c>
      <c r="I705" t="s">
        <v>104</v>
      </c>
      <c r="J705">
        <v>122.55</v>
      </c>
      <c r="K705">
        <v>9</v>
      </c>
      <c r="L705" t="s">
        <v>35</v>
      </c>
      <c r="M705">
        <v>2</v>
      </c>
      <c r="N705">
        <v>4</v>
      </c>
      <c r="O705">
        <v>0.3</v>
      </c>
      <c r="P705" t="s">
        <v>59</v>
      </c>
      <c r="Q705" t="s">
        <v>50</v>
      </c>
      <c r="R705">
        <v>2</v>
      </c>
      <c r="S705">
        <v>3</v>
      </c>
      <c r="T705" t="s">
        <v>49</v>
      </c>
      <c r="U705" t="s">
        <v>79</v>
      </c>
      <c r="V705" t="s">
        <v>39</v>
      </c>
      <c r="W705" s="1">
        <v>45471</v>
      </c>
      <c r="X705" t="b">
        <v>0</v>
      </c>
      <c r="Y705" t="b">
        <v>0</v>
      </c>
      <c r="Z705" t="s">
        <v>62</v>
      </c>
      <c r="AA705" t="s">
        <v>67</v>
      </c>
      <c r="AB705">
        <v>4</v>
      </c>
    </row>
    <row r="706" spans="1:28" x14ac:dyDescent="0.25">
      <c r="A706" t="s">
        <v>1483</v>
      </c>
      <c r="B706">
        <v>25</v>
      </c>
      <c r="C706" t="s">
        <v>190</v>
      </c>
      <c r="D706" t="s">
        <v>44</v>
      </c>
      <c r="E706" t="s">
        <v>76</v>
      </c>
      <c r="F706" t="s">
        <v>32</v>
      </c>
      <c r="G706" t="s">
        <v>30</v>
      </c>
      <c r="H706" t="s">
        <v>1484</v>
      </c>
      <c r="I706" t="s">
        <v>93</v>
      </c>
      <c r="J706">
        <v>307.61</v>
      </c>
      <c r="K706">
        <v>6</v>
      </c>
      <c r="L706" t="s">
        <v>35</v>
      </c>
      <c r="M706">
        <v>1</v>
      </c>
      <c r="N706">
        <v>1</v>
      </c>
      <c r="O706">
        <v>0</v>
      </c>
      <c r="P706" t="s">
        <v>59</v>
      </c>
      <c r="Q706" t="s">
        <v>37</v>
      </c>
      <c r="R706">
        <v>0</v>
      </c>
      <c r="S706">
        <v>9</v>
      </c>
      <c r="T706" t="s">
        <v>49</v>
      </c>
      <c r="U706" t="s">
        <v>60</v>
      </c>
      <c r="V706" t="s">
        <v>51</v>
      </c>
      <c r="W706" s="1">
        <v>45547</v>
      </c>
      <c r="X706" t="b">
        <v>1</v>
      </c>
      <c r="Y706" t="b">
        <v>1</v>
      </c>
      <c r="Z706" t="s">
        <v>40</v>
      </c>
      <c r="AA706" t="s">
        <v>41</v>
      </c>
      <c r="AB706">
        <v>10</v>
      </c>
    </row>
    <row r="707" spans="1:28" x14ac:dyDescent="0.25">
      <c r="A707" t="s">
        <v>1485</v>
      </c>
      <c r="B707">
        <v>41</v>
      </c>
      <c r="C707" t="s">
        <v>29</v>
      </c>
      <c r="D707" t="s">
        <v>44</v>
      </c>
      <c r="E707" t="s">
        <v>76</v>
      </c>
      <c r="F707" t="s">
        <v>32</v>
      </c>
      <c r="G707" t="s">
        <v>30</v>
      </c>
      <c r="H707" t="s">
        <v>1486</v>
      </c>
      <c r="I707" t="s">
        <v>120</v>
      </c>
      <c r="J707">
        <v>152.33000000000001</v>
      </c>
      <c r="K707">
        <v>2</v>
      </c>
      <c r="L707" t="s">
        <v>48</v>
      </c>
      <c r="M707">
        <v>1</v>
      </c>
      <c r="N707">
        <v>5</v>
      </c>
      <c r="O707">
        <v>1</v>
      </c>
      <c r="P707" t="s">
        <v>36</v>
      </c>
      <c r="Q707" t="s">
        <v>50</v>
      </c>
      <c r="R707">
        <v>1</v>
      </c>
      <c r="S707">
        <v>6</v>
      </c>
      <c r="T707" t="s">
        <v>44</v>
      </c>
      <c r="U707" t="s">
        <v>60</v>
      </c>
      <c r="V707" t="s">
        <v>61</v>
      </c>
      <c r="W707" s="1">
        <v>45310</v>
      </c>
      <c r="X707" t="b">
        <v>0</v>
      </c>
      <c r="Y707" t="b">
        <v>1</v>
      </c>
      <c r="Z707" t="s">
        <v>62</v>
      </c>
      <c r="AA707" t="s">
        <v>41</v>
      </c>
      <c r="AB707">
        <v>8</v>
      </c>
    </row>
    <row r="708" spans="1:28" x14ac:dyDescent="0.25">
      <c r="A708" t="s">
        <v>1487</v>
      </c>
      <c r="B708">
        <v>24</v>
      </c>
      <c r="C708" t="s">
        <v>29</v>
      </c>
      <c r="D708" t="s">
        <v>30</v>
      </c>
      <c r="E708" t="s">
        <v>76</v>
      </c>
      <c r="F708" t="s">
        <v>32</v>
      </c>
      <c r="G708" t="s">
        <v>44</v>
      </c>
      <c r="H708" t="s">
        <v>1488</v>
      </c>
      <c r="I708" t="s">
        <v>93</v>
      </c>
      <c r="J708">
        <v>465.07</v>
      </c>
      <c r="K708">
        <v>8</v>
      </c>
      <c r="L708" t="s">
        <v>78</v>
      </c>
      <c r="M708">
        <v>2</v>
      </c>
      <c r="N708">
        <v>4</v>
      </c>
      <c r="O708">
        <v>0</v>
      </c>
      <c r="P708" t="s">
        <v>49</v>
      </c>
      <c r="Q708" t="s">
        <v>50</v>
      </c>
      <c r="R708">
        <v>1</v>
      </c>
      <c r="S708">
        <v>2</v>
      </c>
      <c r="T708" t="s">
        <v>44</v>
      </c>
      <c r="U708" t="s">
        <v>79</v>
      </c>
      <c r="V708" t="s">
        <v>86</v>
      </c>
      <c r="W708" s="1">
        <v>45353</v>
      </c>
      <c r="X708" t="b">
        <v>0</v>
      </c>
      <c r="Y708" t="b">
        <v>0</v>
      </c>
      <c r="Z708" t="s">
        <v>52</v>
      </c>
      <c r="AA708" t="s">
        <v>41</v>
      </c>
      <c r="AB708">
        <v>8</v>
      </c>
    </row>
    <row r="709" spans="1:28" x14ac:dyDescent="0.25">
      <c r="A709" t="s">
        <v>1489</v>
      </c>
      <c r="B709">
        <v>32</v>
      </c>
      <c r="C709" t="s">
        <v>29</v>
      </c>
      <c r="D709" t="s">
        <v>44</v>
      </c>
      <c r="E709" t="s">
        <v>55</v>
      </c>
      <c r="F709" t="s">
        <v>56</v>
      </c>
      <c r="G709" t="s">
        <v>30</v>
      </c>
      <c r="H709" t="s">
        <v>1490</v>
      </c>
      <c r="I709" t="s">
        <v>90</v>
      </c>
      <c r="J709">
        <v>498.23</v>
      </c>
      <c r="K709">
        <v>10</v>
      </c>
      <c r="L709" t="s">
        <v>78</v>
      </c>
      <c r="M709">
        <v>5</v>
      </c>
      <c r="N709">
        <v>2</v>
      </c>
      <c r="O709">
        <v>0</v>
      </c>
      <c r="P709" t="s">
        <v>36</v>
      </c>
      <c r="Q709" t="s">
        <v>85</v>
      </c>
      <c r="R709">
        <v>0</v>
      </c>
      <c r="S709">
        <v>7</v>
      </c>
      <c r="T709" t="s">
        <v>49</v>
      </c>
      <c r="U709" t="s">
        <v>60</v>
      </c>
      <c r="V709" t="s">
        <v>66</v>
      </c>
      <c r="W709" s="1">
        <v>45299</v>
      </c>
      <c r="X709" t="b">
        <v>1</v>
      </c>
      <c r="Y709" t="b">
        <v>0</v>
      </c>
      <c r="Z709" t="s">
        <v>74</v>
      </c>
      <c r="AA709" t="s">
        <v>41</v>
      </c>
      <c r="AB709">
        <v>9</v>
      </c>
    </row>
    <row r="710" spans="1:28" x14ac:dyDescent="0.25">
      <c r="A710" t="s">
        <v>1491</v>
      </c>
      <c r="B710">
        <v>41</v>
      </c>
      <c r="C710" t="s">
        <v>29</v>
      </c>
      <c r="D710" t="s">
        <v>30</v>
      </c>
      <c r="E710" t="s">
        <v>69</v>
      </c>
      <c r="F710" t="s">
        <v>45</v>
      </c>
      <c r="G710" t="s">
        <v>30</v>
      </c>
      <c r="H710" t="s">
        <v>1492</v>
      </c>
      <c r="I710" t="s">
        <v>98</v>
      </c>
      <c r="J710">
        <v>491.18</v>
      </c>
      <c r="K710">
        <v>3</v>
      </c>
      <c r="L710" t="s">
        <v>35</v>
      </c>
      <c r="M710">
        <v>4</v>
      </c>
      <c r="N710">
        <v>4</v>
      </c>
      <c r="O710">
        <v>1</v>
      </c>
      <c r="P710" t="s">
        <v>44</v>
      </c>
      <c r="Q710" t="s">
        <v>85</v>
      </c>
      <c r="R710">
        <v>0</v>
      </c>
      <c r="S710">
        <v>6</v>
      </c>
      <c r="T710" t="s">
        <v>36</v>
      </c>
      <c r="U710" t="s">
        <v>60</v>
      </c>
      <c r="V710" t="s">
        <v>86</v>
      </c>
      <c r="W710" s="1">
        <v>45531</v>
      </c>
      <c r="X710" t="b">
        <v>0</v>
      </c>
      <c r="Y710" t="b">
        <v>0</v>
      </c>
      <c r="Z710" t="s">
        <v>62</v>
      </c>
      <c r="AA710" t="s">
        <v>41</v>
      </c>
      <c r="AB710">
        <v>14</v>
      </c>
    </row>
    <row r="711" spans="1:28" x14ac:dyDescent="0.25">
      <c r="A711" t="s">
        <v>1493</v>
      </c>
      <c r="B711">
        <v>18</v>
      </c>
      <c r="C711" t="s">
        <v>43</v>
      </c>
      <c r="D711" t="s">
        <v>30</v>
      </c>
      <c r="E711" t="s">
        <v>76</v>
      </c>
      <c r="F711" t="s">
        <v>32</v>
      </c>
      <c r="G711" t="s">
        <v>30</v>
      </c>
      <c r="H711" t="s">
        <v>1494</v>
      </c>
      <c r="I711" t="s">
        <v>104</v>
      </c>
      <c r="J711">
        <v>149.41999999999999</v>
      </c>
      <c r="K711">
        <v>3</v>
      </c>
      <c r="L711" t="s">
        <v>35</v>
      </c>
      <c r="M711">
        <v>1</v>
      </c>
      <c r="N711">
        <v>1</v>
      </c>
      <c r="O711">
        <v>2</v>
      </c>
      <c r="P711" t="s">
        <v>49</v>
      </c>
      <c r="Q711" t="s">
        <v>85</v>
      </c>
      <c r="R711">
        <v>0</v>
      </c>
      <c r="S711">
        <v>6</v>
      </c>
      <c r="T711" t="s">
        <v>36</v>
      </c>
      <c r="U711" t="s">
        <v>79</v>
      </c>
      <c r="V711" t="s">
        <v>86</v>
      </c>
      <c r="W711" s="1">
        <v>45294</v>
      </c>
      <c r="X711" t="b">
        <v>1</v>
      </c>
      <c r="Y711" t="b">
        <v>0</v>
      </c>
      <c r="Z711" t="s">
        <v>52</v>
      </c>
      <c r="AA711" t="s">
        <v>67</v>
      </c>
      <c r="AB711">
        <v>5</v>
      </c>
    </row>
    <row r="712" spans="1:28" x14ac:dyDescent="0.25">
      <c r="A712" t="s">
        <v>1495</v>
      </c>
      <c r="B712">
        <v>25</v>
      </c>
      <c r="C712" t="s">
        <v>43</v>
      </c>
      <c r="D712" t="s">
        <v>30</v>
      </c>
      <c r="E712" t="s">
        <v>55</v>
      </c>
      <c r="F712" t="s">
        <v>56</v>
      </c>
      <c r="G712" t="s">
        <v>30</v>
      </c>
      <c r="H712" t="s">
        <v>1496</v>
      </c>
      <c r="I712" t="s">
        <v>71</v>
      </c>
      <c r="J712">
        <v>82.13</v>
      </c>
      <c r="K712">
        <v>9</v>
      </c>
      <c r="L712" t="s">
        <v>78</v>
      </c>
      <c r="M712">
        <v>5</v>
      </c>
      <c r="N712">
        <v>1</v>
      </c>
      <c r="O712">
        <v>0</v>
      </c>
      <c r="P712" t="s">
        <v>49</v>
      </c>
      <c r="Q712" t="s">
        <v>37</v>
      </c>
      <c r="R712">
        <v>2</v>
      </c>
      <c r="S712">
        <v>6</v>
      </c>
      <c r="T712" t="s">
        <v>44</v>
      </c>
      <c r="U712" t="s">
        <v>38</v>
      </c>
      <c r="V712" t="s">
        <v>61</v>
      </c>
      <c r="W712" s="1">
        <v>45391</v>
      </c>
      <c r="X712" t="b">
        <v>1</v>
      </c>
      <c r="Y712" t="b">
        <v>1</v>
      </c>
      <c r="Z712" t="s">
        <v>40</v>
      </c>
      <c r="AA712" t="s">
        <v>67</v>
      </c>
      <c r="AB712">
        <v>6</v>
      </c>
    </row>
    <row r="713" spans="1:28" x14ac:dyDescent="0.25">
      <c r="A713" t="s">
        <v>1497</v>
      </c>
      <c r="B713">
        <v>49</v>
      </c>
      <c r="C713" t="s">
        <v>43</v>
      </c>
      <c r="D713" t="s">
        <v>30</v>
      </c>
      <c r="E713" t="s">
        <v>76</v>
      </c>
      <c r="F713" t="s">
        <v>32</v>
      </c>
      <c r="G713" t="s">
        <v>44</v>
      </c>
      <c r="H713" t="s">
        <v>1498</v>
      </c>
      <c r="I713" t="s">
        <v>90</v>
      </c>
      <c r="J713">
        <v>425.18</v>
      </c>
      <c r="K713">
        <v>4</v>
      </c>
      <c r="L713" t="s">
        <v>35</v>
      </c>
      <c r="M713">
        <v>2</v>
      </c>
      <c r="N713">
        <v>1</v>
      </c>
      <c r="O713">
        <v>0</v>
      </c>
      <c r="P713" t="s">
        <v>49</v>
      </c>
      <c r="Q713" t="s">
        <v>85</v>
      </c>
      <c r="R713">
        <v>1</v>
      </c>
      <c r="S713">
        <v>8</v>
      </c>
      <c r="T713" t="s">
        <v>49</v>
      </c>
      <c r="U713" t="s">
        <v>38</v>
      </c>
      <c r="V713" t="s">
        <v>51</v>
      </c>
      <c r="W713" s="1">
        <v>45370</v>
      </c>
      <c r="X713" t="b">
        <v>1</v>
      </c>
      <c r="Y713" t="b">
        <v>0</v>
      </c>
      <c r="Z713" t="s">
        <v>52</v>
      </c>
      <c r="AA713" t="s">
        <v>53</v>
      </c>
      <c r="AB713">
        <v>10</v>
      </c>
    </row>
    <row r="714" spans="1:28" x14ac:dyDescent="0.25">
      <c r="A714" t="s">
        <v>1499</v>
      </c>
      <c r="B714">
        <v>39</v>
      </c>
      <c r="C714" t="s">
        <v>43</v>
      </c>
      <c r="D714" t="s">
        <v>44</v>
      </c>
      <c r="E714" t="s">
        <v>31</v>
      </c>
      <c r="F714" t="s">
        <v>56</v>
      </c>
      <c r="G714" t="s">
        <v>30</v>
      </c>
      <c r="H714" t="s">
        <v>1500</v>
      </c>
      <c r="I714" t="s">
        <v>135</v>
      </c>
      <c r="J714">
        <v>176.12</v>
      </c>
      <c r="K714">
        <v>8</v>
      </c>
      <c r="L714" t="s">
        <v>78</v>
      </c>
      <c r="M714">
        <v>2</v>
      </c>
      <c r="N714">
        <v>3</v>
      </c>
      <c r="O714">
        <v>1.2</v>
      </c>
      <c r="P714" t="s">
        <v>49</v>
      </c>
      <c r="Q714" t="s">
        <v>37</v>
      </c>
      <c r="R714">
        <v>1</v>
      </c>
      <c r="S714">
        <v>10</v>
      </c>
      <c r="T714" t="s">
        <v>59</v>
      </c>
      <c r="U714" t="s">
        <v>79</v>
      </c>
      <c r="V714" t="s">
        <v>39</v>
      </c>
      <c r="W714" s="1">
        <v>45458</v>
      </c>
      <c r="X714" t="b">
        <v>1</v>
      </c>
      <c r="Y714" t="b">
        <v>1</v>
      </c>
      <c r="Z714" t="s">
        <v>62</v>
      </c>
      <c r="AA714" t="s">
        <v>53</v>
      </c>
      <c r="AB714">
        <v>14</v>
      </c>
    </row>
    <row r="715" spans="1:28" x14ac:dyDescent="0.25">
      <c r="A715" t="s">
        <v>1501</v>
      </c>
      <c r="B715">
        <v>47</v>
      </c>
      <c r="C715" t="s">
        <v>29</v>
      </c>
      <c r="D715" t="s">
        <v>44</v>
      </c>
      <c r="E715" t="s">
        <v>55</v>
      </c>
      <c r="F715" t="s">
        <v>45</v>
      </c>
      <c r="G715" t="s">
        <v>30</v>
      </c>
      <c r="H715" t="s">
        <v>1502</v>
      </c>
      <c r="I715" t="s">
        <v>246</v>
      </c>
      <c r="J715">
        <v>70.3</v>
      </c>
      <c r="K715">
        <v>6</v>
      </c>
      <c r="L715" t="s">
        <v>78</v>
      </c>
      <c r="M715">
        <v>3</v>
      </c>
      <c r="N715">
        <v>5</v>
      </c>
      <c r="O715">
        <v>0</v>
      </c>
      <c r="P715" t="s">
        <v>36</v>
      </c>
      <c r="Q715" t="s">
        <v>85</v>
      </c>
      <c r="R715">
        <v>1</v>
      </c>
      <c r="S715">
        <v>8</v>
      </c>
      <c r="T715" t="s">
        <v>49</v>
      </c>
      <c r="U715" t="s">
        <v>79</v>
      </c>
      <c r="V715" t="s">
        <v>86</v>
      </c>
      <c r="W715" s="1">
        <v>45354</v>
      </c>
      <c r="X715" t="b">
        <v>1</v>
      </c>
      <c r="Y715" t="b">
        <v>1</v>
      </c>
      <c r="Z715" t="s">
        <v>40</v>
      </c>
      <c r="AA715" t="s">
        <v>53</v>
      </c>
      <c r="AB715">
        <v>3</v>
      </c>
    </row>
    <row r="716" spans="1:28" x14ac:dyDescent="0.25">
      <c r="A716" t="s">
        <v>1503</v>
      </c>
      <c r="B716">
        <v>43</v>
      </c>
      <c r="C716" t="s">
        <v>43</v>
      </c>
      <c r="D716" t="s">
        <v>30</v>
      </c>
      <c r="E716" t="s">
        <v>31</v>
      </c>
      <c r="F716" t="s">
        <v>32</v>
      </c>
      <c r="G716" t="s">
        <v>30</v>
      </c>
      <c r="H716" t="s">
        <v>1504</v>
      </c>
      <c r="I716" t="s">
        <v>98</v>
      </c>
      <c r="J716">
        <v>319.39</v>
      </c>
      <c r="K716">
        <v>7</v>
      </c>
      <c r="L716" t="s">
        <v>35</v>
      </c>
      <c r="M716">
        <v>4</v>
      </c>
      <c r="N716">
        <v>5</v>
      </c>
      <c r="O716">
        <v>0</v>
      </c>
      <c r="P716" t="s">
        <v>36</v>
      </c>
      <c r="Q716" t="s">
        <v>85</v>
      </c>
      <c r="R716">
        <v>1</v>
      </c>
      <c r="S716">
        <v>10</v>
      </c>
      <c r="T716" t="s">
        <v>44</v>
      </c>
      <c r="U716" t="s">
        <v>79</v>
      </c>
      <c r="V716" t="s">
        <v>39</v>
      </c>
      <c r="W716" s="1">
        <v>45613</v>
      </c>
      <c r="X716" t="b">
        <v>0</v>
      </c>
      <c r="Y716" t="b">
        <v>1</v>
      </c>
      <c r="Z716" t="s">
        <v>74</v>
      </c>
      <c r="AA716" t="s">
        <v>53</v>
      </c>
      <c r="AB716">
        <v>3</v>
      </c>
    </row>
    <row r="717" spans="1:28" x14ac:dyDescent="0.25">
      <c r="A717" t="s">
        <v>1505</v>
      </c>
      <c r="B717">
        <v>38</v>
      </c>
      <c r="C717" t="s">
        <v>29</v>
      </c>
      <c r="D717" t="s">
        <v>44</v>
      </c>
      <c r="E717" t="s">
        <v>69</v>
      </c>
      <c r="F717" t="s">
        <v>45</v>
      </c>
      <c r="G717" t="s">
        <v>44</v>
      </c>
      <c r="H717" t="s">
        <v>1506</v>
      </c>
      <c r="I717" t="s">
        <v>65</v>
      </c>
      <c r="J717">
        <v>113.51</v>
      </c>
      <c r="K717">
        <v>11</v>
      </c>
      <c r="L717" t="s">
        <v>35</v>
      </c>
      <c r="M717">
        <v>4</v>
      </c>
      <c r="N717">
        <v>1</v>
      </c>
      <c r="O717">
        <v>1</v>
      </c>
      <c r="P717" t="s">
        <v>44</v>
      </c>
      <c r="Q717" t="s">
        <v>50</v>
      </c>
      <c r="R717">
        <v>2</v>
      </c>
      <c r="S717">
        <v>2</v>
      </c>
      <c r="T717" t="s">
        <v>59</v>
      </c>
      <c r="U717" t="s">
        <v>79</v>
      </c>
      <c r="V717" t="s">
        <v>39</v>
      </c>
      <c r="W717" s="1">
        <v>45336</v>
      </c>
      <c r="X717" t="b">
        <v>1</v>
      </c>
      <c r="Y717" t="b">
        <v>1</v>
      </c>
      <c r="Z717" t="s">
        <v>74</v>
      </c>
      <c r="AA717" t="s">
        <v>67</v>
      </c>
      <c r="AB717">
        <v>8</v>
      </c>
    </row>
    <row r="718" spans="1:28" x14ac:dyDescent="0.25">
      <c r="A718" t="s">
        <v>1507</v>
      </c>
      <c r="B718">
        <v>40</v>
      </c>
      <c r="C718" t="s">
        <v>29</v>
      </c>
      <c r="D718" t="s">
        <v>44</v>
      </c>
      <c r="E718" t="s">
        <v>55</v>
      </c>
      <c r="F718" t="s">
        <v>32</v>
      </c>
      <c r="G718" t="s">
        <v>30</v>
      </c>
      <c r="H718" t="s">
        <v>1508</v>
      </c>
      <c r="I718" t="s">
        <v>101</v>
      </c>
      <c r="J718">
        <v>492.74</v>
      </c>
      <c r="K718">
        <v>2</v>
      </c>
      <c r="L718" t="s">
        <v>35</v>
      </c>
      <c r="M718">
        <v>1</v>
      </c>
      <c r="N718">
        <v>5</v>
      </c>
      <c r="O718">
        <v>2</v>
      </c>
      <c r="P718" t="s">
        <v>59</v>
      </c>
      <c r="Q718" t="s">
        <v>85</v>
      </c>
      <c r="R718">
        <v>1</v>
      </c>
      <c r="S718">
        <v>3</v>
      </c>
      <c r="T718" t="s">
        <v>44</v>
      </c>
      <c r="U718" t="s">
        <v>38</v>
      </c>
      <c r="V718" t="s">
        <v>66</v>
      </c>
      <c r="W718" s="1">
        <v>45351</v>
      </c>
      <c r="X718" t="b">
        <v>1</v>
      </c>
      <c r="Y718" t="b">
        <v>0</v>
      </c>
      <c r="Z718" t="s">
        <v>40</v>
      </c>
      <c r="AA718" t="s">
        <v>67</v>
      </c>
      <c r="AB718">
        <v>13</v>
      </c>
    </row>
    <row r="719" spans="1:28" x14ac:dyDescent="0.25">
      <c r="A719" t="s">
        <v>1509</v>
      </c>
      <c r="B719">
        <v>33</v>
      </c>
      <c r="C719" t="s">
        <v>43</v>
      </c>
      <c r="D719" t="s">
        <v>30</v>
      </c>
      <c r="E719" t="s">
        <v>76</v>
      </c>
      <c r="F719" t="s">
        <v>56</v>
      </c>
      <c r="G719" t="s">
        <v>30</v>
      </c>
      <c r="H719" t="s">
        <v>1510</v>
      </c>
      <c r="I719" t="s">
        <v>71</v>
      </c>
      <c r="J719">
        <v>143.80000000000001</v>
      </c>
      <c r="K719">
        <v>9</v>
      </c>
      <c r="L719" t="s">
        <v>48</v>
      </c>
      <c r="M719">
        <v>2</v>
      </c>
      <c r="N719">
        <v>2</v>
      </c>
      <c r="O719">
        <v>2</v>
      </c>
      <c r="P719" t="s">
        <v>59</v>
      </c>
      <c r="Q719" t="s">
        <v>37</v>
      </c>
      <c r="R719">
        <v>0</v>
      </c>
      <c r="S719">
        <v>7</v>
      </c>
      <c r="T719" t="s">
        <v>36</v>
      </c>
      <c r="U719" t="s">
        <v>38</v>
      </c>
      <c r="V719" t="s">
        <v>61</v>
      </c>
      <c r="W719" s="1">
        <v>45344</v>
      </c>
      <c r="X719" t="b">
        <v>1</v>
      </c>
      <c r="Y719" t="b">
        <v>0</v>
      </c>
      <c r="Z719" t="s">
        <v>52</v>
      </c>
      <c r="AA719" t="s">
        <v>41</v>
      </c>
      <c r="AB719">
        <v>11</v>
      </c>
    </row>
    <row r="720" spans="1:28" x14ac:dyDescent="0.25">
      <c r="A720" t="s">
        <v>1511</v>
      </c>
      <c r="B720">
        <v>18</v>
      </c>
      <c r="C720" t="s">
        <v>274</v>
      </c>
      <c r="D720" t="s">
        <v>30</v>
      </c>
      <c r="E720" t="s">
        <v>69</v>
      </c>
      <c r="F720" t="s">
        <v>32</v>
      </c>
      <c r="G720" t="s">
        <v>30</v>
      </c>
      <c r="H720" t="s">
        <v>1512</v>
      </c>
      <c r="I720" t="s">
        <v>135</v>
      </c>
      <c r="J720">
        <v>158.54</v>
      </c>
      <c r="K720">
        <v>5</v>
      </c>
      <c r="L720" t="s">
        <v>78</v>
      </c>
      <c r="M720">
        <v>2</v>
      </c>
      <c r="N720">
        <v>1</v>
      </c>
      <c r="O720">
        <v>1</v>
      </c>
      <c r="P720" t="s">
        <v>59</v>
      </c>
      <c r="Q720" t="s">
        <v>50</v>
      </c>
      <c r="R720">
        <v>2</v>
      </c>
      <c r="S720">
        <v>7</v>
      </c>
      <c r="T720" t="s">
        <v>44</v>
      </c>
      <c r="U720" t="s">
        <v>60</v>
      </c>
      <c r="V720" t="s">
        <v>61</v>
      </c>
      <c r="W720" s="1">
        <v>45382</v>
      </c>
      <c r="X720" t="b">
        <v>0</v>
      </c>
      <c r="Y720" t="b">
        <v>0</v>
      </c>
      <c r="Z720" t="s">
        <v>74</v>
      </c>
      <c r="AA720" t="s">
        <v>67</v>
      </c>
      <c r="AB720">
        <v>5</v>
      </c>
    </row>
    <row r="721" spans="1:28" x14ac:dyDescent="0.25">
      <c r="A721" t="s">
        <v>1513</v>
      </c>
      <c r="B721">
        <v>39</v>
      </c>
      <c r="C721" t="s">
        <v>29</v>
      </c>
      <c r="D721" t="s">
        <v>44</v>
      </c>
      <c r="E721" t="s">
        <v>31</v>
      </c>
      <c r="F721" t="s">
        <v>32</v>
      </c>
      <c r="G721" t="s">
        <v>44</v>
      </c>
      <c r="H721" t="s">
        <v>1514</v>
      </c>
      <c r="I721" t="s">
        <v>71</v>
      </c>
      <c r="J721">
        <v>213.39</v>
      </c>
      <c r="K721">
        <v>6</v>
      </c>
      <c r="L721" t="s">
        <v>78</v>
      </c>
      <c r="M721">
        <v>3</v>
      </c>
      <c r="N721">
        <v>4</v>
      </c>
      <c r="O721">
        <v>2</v>
      </c>
      <c r="P721" t="s">
        <v>49</v>
      </c>
      <c r="Q721" t="s">
        <v>50</v>
      </c>
      <c r="R721">
        <v>2</v>
      </c>
      <c r="S721">
        <v>5</v>
      </c>
      <c r="T721" t="s">
        <v>49</v>
      </c>
      <c r="U721" t="s">
        <v>79</v>
      </c>
      <c r="V721" t="s">
        <v>86</v>
      </c>
      <c r="W721" s="1">
        <v>45592</v>
      </c>
      <c r="X721" t="b">
        <v>0</v>
      </c>
      <c r="Y721" t="b">
        <v>1</v>
      </c>
      <c r="Z721" t="s">
        <v>74</v>
      </c>
      <c r="AA721" t="s">
        <v>53</v>
      </c>
      <c r="AB721">
        <v>4</v>
      </c>
    </row>
    <row r="722" spans="1:28" x14ac:dyDescent="0.25">
      <c r="A722" t="s">
        <v>1515</v>
      </c>
      <c r="B722">
        <v>31</v>
      </c>
      <c r="C722" t="s">
        <v>43</v>
      </c>
      <c r="D722" t="s">
        <v>30</v>
      </c>
      <c r="E722" t="s">
        <v>76</v>
      </c>
      <c r="F722" t="s">
        <v>32</v>
      </c>
      <c r="G722" t="s">
        <v>44</v>
      </c>
      <c r="H722" t="s">
        <v>1516</v>
      </c>
      <c r="I722" t="s">
        <v>142</v>
      </c>
      <c r="J722">
        <v>127.18</v>
      </c>
      <c r="K722">
        <v>2</v>
      </c>
      <c r="L722" t="s">
        <v>48</v>
      </c>
      <c r="M722">
        <v>5</v>
      </c>
      <c r="N722">
        <v>5</v>
      </c>
      <c r="O722">
        <v>1</v>
      </c>
      <c r="P722" t="s">
        <v>49</v>
      </c>
      <c r="Q722" t="s">
        <v>37</v>
      </c>
      <c r="R722">
        <v>0</v>
      </c>
      <c r="S722">
        <v>2</v>
      </c>
      <c r="T722" t="s">
        <v>49</v>
      </c>
      <c r="U722" t="s">
        <v>79</v>
      </c>
      <c r="V722" t="s">
        <v>61</v>
      </c>
      <c r="W722" s="1">
        <v>45647</v>
      </c>
      <c r="X722" t="b">
        <v>0</v>
      </c>
      <c r="Y722" t="b">
        <v>0</v>
      </c>
      <c r="Z722" t="s">
        <v>74</v>
      </c>
      <c r="AA722" t="s">
        <v>53</v>
      </c>
      <c r="AB722">
        <v>4</v>
      </c>
    </row>
    <row r="723" spans="1:28" x14ac:dyDescent="0.25">
      <c r="A723" t="s">
        <v>1517</v>
      </c>
      <c r="B723">
        <v>27</v>
      </c>
      <c r="C723" t="s">
        <v>43</v>
      </c>
      <c r="D723" t="s">
        <v>30</v>
      </c>
      <c r="E723" t="s">
        <v>76</v>
      </c>
      <c r="F723" t="s">
        <v>56</v>
      </c>
      <c r="G723" t="s">
        <v>44</v>
      </c>
      <c r="H723" t="s">
        <v>1518</v>
      </c>
      <c r="I723" t="s">
        <v>98</v>
      </c>
      <c r="J723">
        <v>476.63</v>
      </c>
      <c r="K723">
        <v>9</v>
      </c>
      <c r="L723" t="s">
        <v>48</v>
      </c>
      <c r="M723">
        <v>3</v>
      </c>
      <c r="N723">
        <v>5</v>
      </c>
      <c r="O723">
        <v>2</v>
      </c>
      <c r="P723" t="s">
        <v>49</v>
      </c>
      <c r="Q723" t="s">
        <v>50</v>
      </c>
      <c r="R723">
        <v>2</v>
      </c>
      <c r="S723">
        <v>2</v>
      </c>
      <c r="T723" t="s">
        <v>36</v>
      </c>
      <c r="U723" t="s">
        <v>79</v>
      </c>
      <c r="V723" t="s">
        <v>61</v>
      </c>
      <c r="W723" s="1">
        <v>45615</v>
      </c>
      <c r="X723" t="b">
        <v>1</v>
      </c>
      <c r="Y723" t="b">
        <v>0</v>
      </c>
      <c r="Z723" t="s">
        <v>62</v>
      </c>
      <c r="AA723" t="s">
        <v>41</v>
      </c>
      <c r="AB723">
        <v>1</v>
      </c>
    </row>
    <row r="724" spans="1:28" x14ac:dyDescent="0.25">
      <c r="A724" t="s">
        <v>1519</v>
      </c>
      <c r="B724">
        <v>31</v>
      </c>
      <c r="C724" t="s">
        <v>29</v>
      </c>
      <c r="D724" t="s">
        <v>44</v>
      </c>
      <c r="E724" t="s">
        <v>55</v>
      </c>
      <c r="F724" t="s">
        <v>32</v>
      </c>
      <c r="G724" t="s">
        <v>30</v>
      </c>
      <c r="H724" t="s">
        <v>1520</v>
      </c>
      <c r="I724" t="s">
        <v>101</v>
      </c>
      <c r="J724">
        <v>56.02</v>
      </c>
      <c r="K724">
        <v>3</v>
      </c>
      <c r="L724" t="s">
        <v>78</v>
      </c>
      <c r="M724">
        <v>5</v>
      </c>
      <c r="N724">
        <v>3</v>
      </c>
      <c r="O724">
        <v>1</v>
      </c>
      <c r="P724" t="s">
        <v>36</v>
      </c>
      <c r="Q724" t="s">
        <v>85</v>
      </c>
      <c r="R724">
        <v>1</v>
      </c>
      <c r="S724">
        <v>6</v>
      </c>
      <c r="T724" t="s">
        <v>44</v>
      </c>
      <c r="U724" t="s">
        <v>79</v>
      </c>
      <c r="V724" t="s">
        <v>51</v>
      </c>
      <c r="W724" s="1">
        <v>45548</v>
      </c>
      <c r="X724" t="b">
        <v>0</v>
      </c>
      <c r="Y724" t="b">
        <v>1</v>
      </c>
      <c r="Z724" t="s">
        <v>40</v>
      </c>
      <c r="AA724" t="s">
        <v>53</v>
      </c>
      <c r="AB724">
        <v>12</v>
      </c>
    </row>
    <row r="725" spans="1:28" x14ac:dyDescent="0.25">
      <c r="A725" t="s">
        <v>1521</v>
      </c>
      <c r="B725">
        <v>36</v>
      </c>
      <c r="C725" t="s">
        <v>29</v>
      </c>
      <c r="D725" t="s">
        <v>44</v>
      </c>
      <c r="E725" t="s">
        <v>69</v>
      </c>
      <c r="F725" t="s">
        <v>32</v>
      </c>
      <c r="G725" t="s">
        <v>30</v>
      </c>
      <c r="H725" t="s">
        <v>1522</v>
      </c>
      <c r="I725" t="s">
        <v>117</v>
      </c>
      <c r="J725">
        <v>398.97</v>
      </c>
      <c r="K725">
        <v>3</v>
      </c>
      <c r="L725" t="s">
        <v>78</v>
      </c>
      <c r="M725">
        <v>2</v>
      </c>
      <c r="N725">
        <v>3</v>
      </c>
      <c r="O725">
        <v>1</v>
      </c>
      <c r="P725" t="s">
        <v>44</v>
      </c>
      <c r="Q725" t="s">
        <v>50</v>
      </c>
      <c r="R725">
        <v>2</v>
      </c>
      <c r="S725">
        <v>3</v>
      </c>
      <c r="T725" t="s">
        <v>44</v>
      </c>
      <c r="U725" t="s">
        <v>38</v>
      </c>
      <c r="V725" t="s">
        <v>61</v>
      </c>
      <c r="W725" s="1">
        <v>45561</v>
      </c>
      <c r="X725" t="b">
        <v>0</v>
      </c>
      <c r="Y725" t="b">
        <v>0</v>
      </c>
      <c r="Z725" t="s">
        <v>62</v>
      </c>
      <c r="AA725" t="s">
        <v>41</v>
      </c>
      <c r="AB725">
        <v>9</v>
      </c>
    </row>
    <row r="726" spans="1:28" x14ac:dyDescent="0.25">
      <c r="A726" t="s">
        <v>1523</v>
      </c>
      <c r="B726">
        <v>27</v>
      </c>
      <c r="C726" t="s">
        <v>29</v>
      </c>
      <c r="D726" t="s">
        <v>30</v>
      </c>
      <c r="E726" t="s">
        <v>76</v>
      </c>
      <c r="F726" t="s">
        <v>45</v>
      </c>
      <c r="G726" t="s">
        <v>30</v>
      </c>
      <c r="H726" t="s">
        <v>902</v>
      </c>
      <c r="I726" t="s">
        <v>158</v>
      </c>
      <c r="J726">
        <v>53.45</v>
      </c>
      <c r="K726">
        <v>6</v>
      </c>
      <c r="L726" t="s">
        <v>35</v>
      </c>
      <c r="M726">
        <v>2</v>
      </c>
      <c r="N726">
        <v>3</v>
      </c>
      <c r="O726">
        <v>1</v>
      </c>
      <c r="P726" t="s">
        <v>44</v>
      </c>
      <c r="Q726" t="s">
        <v>37</v>
      </c>
      <c r="R726">
        <v>1</v>
      </c>
      <c r="S726">
        <v>9</v>
      </c>
      <c r="T726" t="s">
        <v>44</v>
      </c>
      <c r="U726" t="s">
        <v>38</v>
      </c>
      <c r="V726" t="s">
        <v>61</v>
      </c>
      <c r="W726" s="1">
        <v>45487</v>
      </c>
      <c r="X726" t="b">
        <v>0</v>
      </c>
      <c r="Y726" t="b">
        <v>0</v>
      </c>
      <c r="Z726" t="s">
        <v>40</v>
      </c>
      <c r="AA726" t="s">
        <v>53</v>
      </c>
      <c r="AB726">
        <v>11</v>
      </c>
    </row>
    <row r="727" spans="1:28" x14ac:dyDescent="0.25">
      <c r="A727" t="s">
        <v>1524</v>
      </c>
      <c r="B727">
        <v>21</v>
      </c>
      <c r="C727" t="s">
        <v>274</v>
      </c>
      <c r="D727" t="s">
        <v>30</v>
      </c>
      <c r="E727" t="s">
        <v>31</v>
      </c>
      <c r="F727" t="s">
        <v>32</v>
      </c>
      <c r="G727" t="s">
        <v>44</v>
      </c>
      <c r="H727" t="s">
        <v>1525</v>
      </c>
      <c r="I727" t="s">
        <v>158</v>
      </c>
      <c r="J727">
        <v>61.19</v>
      </c>
      <c r="K727">
        <v>2</v>
      </c>
      <c r="L727" t="s">
        <v>35</v>
      </c>
      <c r="M727">
        <v>4</v>
      </c>
      <c r="N727">
        <v>5</v>
      </c>
      <c r="O727">
        <v>1</v>
      </c>
      <c r="P727" t="s">
        <v>36</v>
      </c>
      <c r="Q727" t="s">
        <v>50</v>
      </c>
      <c r="R727">
        <v>2</v>
      </c>
      <c r="S727">
        <v>6</v>
      </c>
      <c r="T727" t="s">
        <v>44</v>
      </c>
      <c r="U727" t="s">
        <v>79</v>
      </c>
      <c r="V727" t="s">
        <v>51</v>
      </c>
      <c r="W727" s="1">
        <v>45516</v>
      </c>
      <c r="X727" t="b">
        <v>1</v>
      </c>
      <c r="Y727" t="b">
        <v>1</v>
      </c>
      <c r="Z727" t="s">
        <v>52</v>
      </c>
      <c r="AA727" t="s">
        <v>41</v>
      </c>
      <c r="AB727">
        <v>3</v>
      </c>
    </row>
    <row r="728" spans="1:28" x14ac:dyDescent="0.25">
      <c r="A728" t="s">
        <v>1526</v>
      </c>
      <c r="B728">
        <v>50</v>
      </c>
      <c r="C728" t="s">
        <v>29</v>
      </c>
      <c r="D728" t="s">
        <v>30</v>
      </c>
      <c r="E728" t="s">
        <v>31</v>
      </c>
      <c r="F728" t="s">
        <v>45</v>
      </c>
      <c r="G728" t="s">
        <v>30</v>
      </c>
      <c r="H728" t="s">
        <v>1527</v>
      </c>
      <c r="I728" t="s">
        <v>98</v>
      </c>
      <c r="J728">
        <v>471.31</v>
      </c>
      <c r="K728">
        <v>4</v>
      </c>
      <c r="L728" t="s">
        <v>35</v>
      </c>
      <c r="M728">
        <v>1</v>
      </c>
      <c r="N728">
        <v>5</v>
      </c>
      <c r="O728">
        <v>2</v>
      </c>
      <c r="P728" t="s">
        <v>44</v>
      </c>
      <c r="Q728" t="s">
        <v>85</v>
      </c>
      <c r="R728">
        <v>0</v>
      </c>
      <c r="S728">
        <v>8</v>
      </c>
      <c r="T728" t="s">
        <v>36</v>
      </c>
      <c r="U728" t="s">
        <v>60</v>
      </c>
      <c r="V728" t="s">
        <v>66</v>
      </c>
      <c r="W728" s="1">
        <v>45643</v>
      </c>
      <c r="X728" t="b">
        <v>0</v>
      </c>
      <c r="Y728" t="b">
        <v>1</v>
      </c>
      <c r="Z728" t="s">
        <v>62</v>
      </c>
      <c r="AA728" t="s">
        <v>67</v>
      </c>
      <c r="AB728">
        <v>7</v>
      </c>
    </row>
    <row r="729" spans="1:28" x14ac:dyDescent="0.25">
      <c r="A729" t="s">
        <v>1528</v>
      </c>
      <c r="B729">
        <v>49</v>
      </c>
      <c r="C729" t="s">
        <v>29</v>
      </c>
      <c r="D729" t="s">
        <v>44</v>
      </c>
      <c r="E729" t="s">
        <v>76</v>
      </c>
      <c r="F729" t="s">
        <v>45</v>
      </c>
      <c r="G729" t="s">
        <v>44</v>
      </c>
      <c r="H729" t="s">
        <v>1529</v>
      </c>
      <c r="I729" t="s">
        <v>104</v>
      </c>
      <c r="J729">
        <v>179.19</v>
      </c>
      <c r="K729">
        <v>10</v>
      </c>
      <c r="L729" t="s">
        <v>48</v>
      </c>
      <c r="M729">
        <v>3</v>
      </c>
      <c r="N729">
        <v>1</v>
      </c>
      <c r="O729">
        <v>1</v>
      </c>
      <c r="P729" t="s">
        <v>59</v>
      </c>
      <c r="Q729" t="s">
        <v>50</v>
      </c>
      <c r="R729">
        <v>2</v>
      </c>
      <c r="S729">
        <v>7</v>
      </c>
      <c r="T729" t="s">
        <v>36</v>
      </c>
      <c r="U729" t="s">
        <v>38</v>
      </c>
      <c r="V729" t="s">
        <v>51</v>
      </c>
      <c r="W729" s="1">
        <v>45372</v>
      </c>
      <c r="X729" t="b">
        <v>0</v>
      </c>
      <c r="Y729" t="b">
        <v>0</v>
      </c>
      <c r="Z729" t="s">
        <v>62</v>
      </c>
      <c r="AA729" t="s">
        <v>67</v>
      </c>
      <c r="AB729">
        <v>12</v>
      </c>
    </row>
    <row r="730" spans="1:28" x14ac:dyDescent="0.25">
      <c r="A730" t="s">
        <v>1530</v>
      </c>
      <c r="B730">
        <v>43</v>
      </c>
      <c r="C730" t="s">
        <v>29</v>
      </c>
      <c r="D730" t="s">
        <v>44</v>
      </c>
      <c r="E730" t="s">
        <v>76</v>
      </c>
      <c r="F730" t="s">
        <v>45</v>
      </c>
      <c r="G730" t="s">
        <v>30</v>
      </c>
      <c r="H730" t="s">
        <v>1531</v>
      </c>
      <c r="I730" t="s">
        <v>47</v>
      </c>
      <c r="J730">
        <v>294.61</v>
      </c>
      <c r="K730">
        <v>6</v>
      </c>
      <c r="L730" t="s">
        <v>48</v>
      </c>
      <c r="M730">
        <v>2</v>
      </c>
      <c r="N730">
        <v>1</v>
      </c>
      <c r="O730">
        <v>0</v>
      </c>
      <c r="P730" t="s">
        <v>36</v>
      </c>
      <c r="Q730" t="s">
        <v>85</v>
      </c>
      <c r="R730">
        <v>0</v>
      </c>
      <c r="S730">
        <v>2</v>
      </c>
      <c r="T730" t="s">
        <v>36</v>
      </c>
      <c r="U730" t="s">
        <v>79</v>
      </c>
      <c r="V730" t="s">
        <v>51</v>
      </c>
      <c r="W730" s="1">
        <v>45568</v>
      </c>
      <c r="X730" t="b">
        <v>0</v>
      </c>
      <c r="Y730" t="b">
        <v>1</v>
      </c>
      <c r="Z730" t="s">
        <v>52</v>
      </c>
      <c r="AA730" t="s">
        <v>67</v>
      </c>
      <c r="AB730">
        <v>4</v>
      </c>
    </row>
    <row r="731" spans="1:28" x14ac:dyDescent="0.25">
      <c r="A731" t="s">
        <v>1532</v>
      </c>
      <c r="B731">
        <v>35</v>
      </c>
      <c r="C731" t="s">
        <v>190</v>
      </c>
      <c r="D731" t="s">
        <v>44</v>
      </c>
      <c r="E731" t="s">
        <v>69</v>
      </c>
      <c r="F731" t="s">
        <v>32</v>
      </c>
      <c r="G731" t="s">
        <v>44</v>
      </c>
      <c r="H731" t="s">
        <v>1533</v>
      </c>
      <c r="I731" t="s">
        <v>104</v>
      </c>
      <c r="J731">
        <v>375.45</v>
      </c>
      <c r="K731">
        <v>6</v>
      </c>
      <c r="L731" t="s">
        <v>78</v>
      </c>
      <c r="M731">
        <v>3</v>
      </c>
      <c r="N731">
        <v>4</v>
      </c>
      <c r="O731">
        <v>0</v>
      </c>
      <c r="P731" t="s">
        <v>44</v>
      </c>
      <c r="Q731" t="s">
        <v>50</v>
      </c>
      <c r="R731">
        <v>1</v>
      </c>
      <c r="S731">
        <v>8</v>
      </c>
      <c r="T731" t="s">
        <v>49</v>
      </c>
      <c r="U731" t="s">
        <v>60</v>
      </c>
      <c r="V731" t="s">
        <v>66</v>
      </c>
      <c r="W731" s="1">
        <v>45396</v>
      </c>
      <c r="X731" t="b">
        <v>0</v>
      </c>
      <c r="Y731" t="b">
        <v>1</v>
      </c>
      <c r="Z731" t="s">
        <v>62</v>
      </c>
      <c r="AA731" t="s">
        <v>67</v>
      </c>
      <c r="AB731">
        <v>1</v>
      </c>
    </row>
    <row r="732" spans="1:28" x14ac:dyDescent="0.25">
      <c r="A732" t="s">
        <v>1534</v>
      </c>
      <c r="B732">
        <v>21</v>
      </c>
      <c r="C732" t="s">
        <v>43</v>
      </c>
      <c r="D732" t="s">
        <v>30</v>
      </c>
      <c r="E732" t="s">
        <v>69</v>
      </c>
      <c r="F732" t="s">
        <v>56</v>
      </c>
      <c r="G732" t="s">
        <v>44</v>
      </c>
      <c r="H732" t="s">
        <v>1535</v>
      </c>
      <c r="I732" t="s">
        <v>117</v>
      </c>
      <c r="J732">
        <v>83.5</v>
      </c>
      <c r="K732">
        <v>12</v>
      </c>
      <c r="L732" t="s">
        <v>48</v>
      </c>
      <c r="M732">
        <v>2</v>
      </c>
      <c r="N732">
        <v>4</v>
      </c>
      <c r="O732">
        <v>0</v>
      </c>
      <c r="P732" t="s">
        <v>36</v>
      </c>
      <c r="Q732" t="s">
        <v>50</v>
      </c>
      <c r="R732">
        <v>2</v>
      </c>
      <c r="S732">
        <v>7</v>
      </c>
      <c r="T732" t="s">
        <v>59</v>
      </c>
      <c r="U732" t="s">
        <v>60</v>
      </c>
      <c r="V732" t="s">
        <v>86</v>
      </c>
      <c r="W732" s="1">
        <v>45316</v>
      </c>
      <c r="X732" t="b">
        <v>1</v>
      </c>
      <c r="Y732" t="b">
        <v>1</v>
      </c>
      <c r="Z732" t="s">
        <v>40</v>
      </c>
      <c r="AA732" t="s">
        <v>53</v>
      </c>
      <c r="AB732">
        <v>10</v>
      </c>
    </row>
    <row r="733" spans="1:28" x14ac:dyDescent="0.25">
      <c r="A733" t="s">
        <v>1536</v>
      </c>
      <c r="B733">
        <v>34</v>
      </c>
      <c r="C733" t="s">
        <v>43</v>
      </c>
      <c r="D733" t="s">
        <v>44</v>
      </c>
      <c r="E733" t="s">
        <v>31</v>
      </c>
      <c r="F733" t="s">
        <v>45</v>
      </c>
      <c r="G733" t="s">
        <v>30</v>
      </c>
      <c r="H733" t="s">
        <v>1537</v>
      </c>
      <c r="I733" t="s">
        <v>65</v>
      </c>
      <c r="J733">
        <v>109.88</v>
      </c>
      <c r="K733">
        <v>7</v>
      </c>
      <c r="L733" t="s">
        <v>78</v>
      </c>
      <c r="M733">
        <v>4</v>
      </c>
      <c r="N733">
        <v>4</v>
      </c>
      <c r="O733">
        <v>1</v>
      </c>
      <c r="P733" t="s">
        <v>59</v>
      </c>
      <c r="Q733" t="s">
        <v>85</v>
      </c>
      <c r="R733">
        <v>1</v>
      </c>
      <c r="S733">
        <v>3</v>
      </c>
      <c r="T733" t="s">
        <v>49</v>
      </c>
      <c r="U733" t="s">
        <v>60</v>
      </c>
      <c r="V733" t="s">
        <v>39</v>
      </c>
      <c r="W733" s="1">
        <v>45296</v>
      </c>
      <c r="X733" t="b">
        <v>0</v>
      </c>
      <c r="Y733" t="b">
        <v>1</v>
      </c>
      <c r="Z733" t="s">
        <v>62</v>
      </c>
      <c r="AA733" t="s">
        <v>53</v>
      </c>
      <c r="AB733">
        <v>11</v>
      </c>
    </row>
    <row r="734" spans="1:28" x14ac:dyDescent="0.25">
      <c r="A734" t="s">
        <v>1538</v>
      </c>
      <c r="B734">
        <v>21</v>
      </c>
      <c r="C734" t="s">
        <v>29</v>
      </c>
      <c r="D734" t="s">
        <v>44</v>
      </c>
      <c r="E734" t="s">
        <v>31</v>
      </c>
      <c r="F734" t="s">
        <v>45</v>
      </c>
      <c r="G734" t="s">
        <v>44</v>
      </c>
      <c r="H734" t="s">
        <v>1539</v>
      </c>
      <c r="I734" t="s">
        <v>58</v>
      </c>
      <c r="J734">
        <v>182.54</v>
      </c>
      <c r="K734">
        <v>11</v>
      </c>
      <c r="L734" t="s">
        <v>35</v>
      </c>
      <c r="M734">
        <v>5</v>
      </c>
      <c r="N734">
        <v>5</v>
      </c>
      <c r="O734">
        <v>1</v>
      </c>
      <c r="P734" t="s">
        <v>49</v>
      </c>
      <c r="Q734" t="s">
        <v>37</v>
      </c>
      <c r="R734">
        <v>1</v>
      </c>
      <c r="S734">
        <v>1</v>
      </c>
      <c r="T734" t="s">
        <v>44</v>
      </c>
      <c r="U734" t="s">
        <v>38</v>
      </c>
      <c r="V734" t="s">
        <v>86</v>
      </c>
      <c r="W734" s="1">
        <v>45525</v>
      </c>
      <c r="X734" t="b">
        <v>0</v>
      </c>
      <c r="Y734" t="b">
        <v>0</v>
      </c>
      <c r="Z734" t="s">
        <v>40</v>
      </c>
      <c r="AA734" t="s">
        <v>53</v>
      </c>
      <c r="AB734">
        <v>13</v>
      </c>
    </row>
    <row r="735" spans="1:28" x14ac:dyDescent="0.25">
      <c r="A735" t="s">
        <v>1540</v>
      </c>
      <c r="B735">
        <v>23</v>
      </c>
      <c r="C735" t="s">
        <v>29</v>
      </c>
      <c r="D735" t="s">
        <v>44</v>
      </c>
      <c r="E735" t="s">
        <v>69</v>
      </c>
      <c r="F735" t="s">
        <v>32</v>
      </c>
      <c r="G735" t="s">
        <v>44</v>
      </c>
      <c r="H735" t="s">
        <v>1541</v>
      </c>
      <c r="I735" t="s">
        <v>71</v>
      </c>
      <c r="J735">
        <v>465.48</v>
      </c>
      <c r="K735">
        <v>3</v>
      </c>
      <c r="L735" t="s">
        <v>35</v>
      </c>
      <c r="M735">
        <v>3</v>
      </c>
      <c r="N735">
        <v>3</v>
      </c>
      <c r="O735">
        <v>2</v>
      </c>
      <c r="P735" t="s">
        <v>49</v>
      </c>
      <c r="Q735" t="s">
        <v>85</v>
      </c>
      <c r="R735">
        <v>1</v>
      </c>
      <c r="S735">
        <v>8</v>
      </c>
      <c r="T735" t="s">
        <v>49</v>
      </c>
      <c r="U735" t="s">
        <v>38</v>
      </c>
      <c r="V735" t="s">
        <v>86</v>
      </c>
      <c r="W735" s="1">
        <v>45464</v>
      </c>
      <c r="X735" t="b">
        <v>0</v>
      </c>
      <c r="Y735" t="b">
        <v>0</v>
      </c>
      <c r="Z735" t="s">
        <v>52</v>
      </c>
      <c r="AA735" t="s">
        <v>41</v>
      </c>
      <c r="AB735">
        <v>1</v>
      </c>
    </row>
    <row r="736" spans="1:28" x14ac:dyDescent="0.25">
      <c r="A736" t="s">
        <v>1542</v>
      </c>
      <c r="B736">
        <v>31</v>
      </c>
      <c r="C736" t="s">
        <v>29</v>
      </c>
      <c r="D736" t="s">
        <v>30</v>
      </c>
      <c r="E736" t="s">
        <v>31</v>
      </c>
      <c r="F736" t="s">
        <v>45</v>
      </c>
      <c r="G736" t="s">
        <v>30</v>
      </c>
      <c r="H736" t="s">
        <v>1543</v>
      </c>
      <c r="I736" t="s">
        <v>104</v>
      </c>
      <c r="J736">
        <v>224.52</v>
      </c>
      <c r="K736">
        <v>8</v>
      </c>
      <c r="L736" t="s">
        <v>35</v>
      </c>
      <c r="M736">
        <v>3</v>
      </c>
      <c r="N736">
        <v>3</v>
      </c>
      <c r="O736">
        <v>2</v>
      </c>
      <c r="P736" t="s">
        <v>59</v>
      </c>
      <c r="Q736" t="s">
        <v>50</v>
      </c>
      <c r="R736">
        <v>1</v>
      </c>
      <c r="S736">
        <v>5</v>
      </c>
      <c r="T736" t="s">
        <v>44</v>
      </c>
      <c r="U736" t="s">
        <v>79</v>
      </c>
      <c r="V736" t="s">
        <v>39</v>
      </c>
      <c r="W736" s="1">
        <v>45625</v>
      </c>
      <c r="X736" t="b">
        <v>1</v>
      </c>
      <c r="Y736" t="b">
        <v>0</v>
      </c>
      <c r="Z736" t="s">
        <v>62</v>
      </c>
      <c r="AA736" t="s">
        <v>67</v>
      </c>
      <c r="AB736">
        <v>1</v>
      </c>
    </row>
    <row r="737" spans="1:28" x14ac:dyDescent="0.25">
      <c r="A737" t="s">
        <v>1544</v>
      </c>
      <c r="B737">
        <v>21</v>
      </c>
      <c r="C737" t="s">
        <v>43</v>
      </c>
      <c r="D737" t="s">
        <v>44</v>
      </c>
      <c r="E737" t="s">
        <v>69</v>
      </c>
      <c r="F737" t="s">
        <v>56</v>
      </c>
      <c r="G737" t="s">
        <v>30</v>
      </c>
      <c r="H737" t="s">
        <v>1545</v>
      </c>
      <c r="I737" t="s">
        <v>188</v>
      </c>
      <c r="J737">
        <v>281.37</v>
      </c>
      <c r="K737">
        <v>12</v>
      </c>
      <c r="L737" t="s">
        <v>78</v>
      </c>
      <c r="M737">
        <v>2</v>
      </c>
      <c r="N737">
        <v>3</v>
      </c>
      <c r="O737">
        <v>2</v>
      </c>
      <c r="P737" t="s">
        <v>59</v>
      </c>
      <c r="Q737" t="s">
        <v>85</v>
      </c>
      <c r="R737">
        <v>0</v>
      </c>
      <c r="S737">
        <v>2</v>
      </c>
      <c r="T737" t="s">
        <v>59</v>
      </c>
      <c r="U737" t="s">
        <v>60</v>
      </c>
      <c r="V737" t="s">
        <v>61</v>
      </c>
      <c r="W737" s="1">
        <v>45293</v>
      </c>
      <c r="X737" t="b">
        <v>0</v>
      </c>
      <c r="Y737" t="b">
        <v>1</v>
      </c>
      <c r="Z737" t="s">
        <v>62</v>
      </c>
      <c r="AA737" t="s">
        <v>67</v>
      </c>
      <c r="AB737">
        <v>14</v>
      </c>
    </row>
    <row r="738" spans="1:28" x14ac:dyDescent="0.25">
      <c r="A738" t="s">
        <v>1546</v>
      </c>
      <c r="B738">
        <v>22</v>
      </c>
      <c r="C738" t="s">
        <v>29</v>
      </c>
      <c r="D738" t="s">
        <v>30</v>
      </c>
      <c r="E738" t="s">
        <v>31</v>
      </c>
      <c r="F738" t="s">
        <v>32</v>
      </c>
      <c r="G738" t="s">
        <v>30</v>
      </c>
      <c r="H738" t="s">
        <v>1547</v>
      </c>
      <c r="I738" t="s">
        <v>58</v>
      </c>
      <c r="J738">
        <v>125.68</v>
      </c>
      <c r="K738">
        <v>2</v>
      </c>
      <c r="L738" t="s">
        <v>78</v>
      </c>
      <c r="M738">
        <v>1</v>
      </c>
      <c r="N738">
        <v>4</v>
      </c>
      <c r="O738">
        <v>1</v>
      </c>
      <c r="P738" t="s">
        <v>36</v>
      </c>
      <c r="Q738" t="s">
        <v>50</v>
      </c>
      <c r="R738">
        <v>1</v>
      </c>
      <c r="S738">
        <v>8</v>
      </c>
      <c r="T738" t="s">
        <v>49</v>
      </c>
      <c r="U738" t="s">
        <v>60</v>
      </c>
      <c r="V738" t="s">
        <v>61</v>
      </c>
      <c r="W738" s="1">
        <v>45464</v>
      </c>
      <c r="X738" t="b">
        <v>1</v>
      </c>
      <c r="Y738" t="b">
        <v>0</v>
      </c>
      <c r="Z738" t="s">
        <v>40</v>
      </c>
      <c r="AA738" t="s">
        <v>67</v>
      </c>
      <c r="AB738">
        <v>9</v>
      </c>
    </row>
    <row r="739" spans="1:28" x14ac:dyDescent="0.25">
      <c r="A739" t="s">
        <v>1548</v>
      </c>
      <c r="B739">
        <v>38</v>
      </c>
      <c r="C739" t="s">
        <v>29</v>
      </c>
      <c r="D739" t="s">
        <v>44</v>
      </c>
      <c r="E739" t="s">
        <v>55</v>
      </c>
      <c r="F739" t="s">
        <v>45</v>
      </c>
      <c r="G739" t="s">
        <v>44</v>
      </c>
      <c r="H739" t="s">
        <v>1549</v>
      </c>
      <c r="I739" t="s">
        <v>188</v>
      </c>
      <c r="J739">
        <v>178.21</v>
      </c>
      <c r="K739">
        <v>7</v>
      </c>
      <c r="L739" t="s">
        <v>48</v>
      </c>
      <c r="M739">
        <v>1</v>
      </c>
      <c r="N739">
        <v>5</v>
      </c>
      <c r="O739">
        <v>2</v>
      </c>
      <c r="P739" t="s">
        <v>59</v>
      </c>
      <c r="Q739" t="s">
        <v>37</v>
      </c>
      <c r="R739">
        <v>2</v>
      </c>
      <c r="S739">
        <v>8</v>
      </c>
      <c r="T739" t="s">
        <v>36</v>
      </c>
      <c r="U739" t="s">
        <v>79</v>
      </c>
      <c r="V739" t="s">
        <v>51</v>
      </c>
      <c r="W739" s="1">
        <v>45436</v>
      </c>
      <c r="X739" t="b">
        <v>0</v>
      </c>
      <c r="Y739" t="b">
        <v>0</v>
      </c>
      <c r="Z739" t="s">
        <v>74</v>
      </c>
      <c r="AA739" t="s">
        <v>41</v>
      </c>
      <c r="AB739">
        <v>9</v>
      </c>
    </row>
    <row r="740" spans="1:28" x14ac:dyDescent="0.25">
      <c r="A740" t="s">
        <v>1550</v>
      </c>
      <c r="B740">
        <v>27</v>
      </c>
      <c r="C740" t="s">
        <v>43</v>
      </c>
      <c r="D740" t="s">
        <v>44</v>
      </c>
      <c r="E740" t="s">
        <v>76</v>
      </c>
      <c r="F740" t="s">
        <v>32</v>
      </c>
      <c r="G740" t="s">
        <v>30</v>
      </c>
      <c r="H740" t="s">
        <v>1551</v>
      </c>
      <c r="I740" t="s">
        <v>104</v>
      </c>
      <c r="J740">
        <v>483.23</v>
      </c>
      <c r="K740">
        <v>7</v>
      </c>
      <c r="L740" t="s">
        <v>78</v>
      </c>
      <c r="M740">
        <v>2</v>
      </c>
      <c r="N740">
        <v>4</v>
      </c>
      <c r="O740">
        <v>2</v>
      </c>
      <c r="P740" t="s">
        <v>49</v>
      </c>
      <c r="Q740" t="s">
        <v>37</v>
      </c>
      <c r="R740">
        <v>0</v>
      </c>
      <c r="S740">
        <v>5</v>
      </c>
      <c r="T740" t="s">
        <v>44</v>
      </c>
      <c r="U740" t="s">
        <v>60</v>
      </c>
      <c r="V740" t="s">
        <v>51</v>
      </c>
      <c r="W740" s="1">
        <v>45645</v>
      </c>
      <c r="X740" t="b">
        <v>1</v>
      </c>
      <c r="Y740" t="b">
        <v>0</v>
      </c>
      <c r="Z740" t="s">
        <v>62</v>
      </c>
      <c r="AA740" t="s">
        <v>67</v>
      </c>
      <c r="AB740">
        <v>9</v>
      </c>
    </row>
    <row r="741" spans="1:28" x14ac:dyDescent="0.25">
      <c r="A741" t="s">
        <v>1552</v>
      </c>
      <c r="B741">
        <v>18</v>
      </c>
      <c r="C741" t="s">
        <v>43</v>
      </c>
      <c r="D741" t="s">
        <v>30</v>
      </c>
      <c r="E741" t="s">
        <v>31</v>
      </c>
      <c r="F741" t="s">
        <v>56</v>
      </c>
      <c r="G741" t="s">
        <v>44</v>
      </c>
      <c r="H741" t="s">
        <v>1553</v>
      </c>
      <c r="I741" t="s">
        <v>65</v>
      </c>
      <c r="J741">
        <v>415.3</v>
      </c>
      <c r="K741">
        <v>11</v>
      </c>
      <c r="L741" t="s">
        <v>48</v>
      </c>
      <c r="M741">
        <v>4</v>
      </c>
      <c r="N741">
        <v>2</v>
      </c>
      <c r="O741">
        <v>1</v>
      </c>
      <c r="P741" t="s">
        <v>59</v>
      </c>
      <c r="Q741" t="s">
        <v>85</v>
      </c>
      <c r="R741">
        <v>1</v>
      </c>
      <c r="S741">
        <v>9</v>
      </c>
      <c r="T741" t="s">
        <v>36</v>
      </c>
      <c r="U741" t="s">
        <v>38</v>
      </c>
      <c r="V741" t="s">
        <v>51</v>
      </c>
      <c r="W741" s="1">
        <v>45560</v>
      </c>
      <c r="X741" t="b">
        <v>0</v>
      </c>
      <c r="Y741" t="b">
        <v>1</v>
      </c>
      <c r="Z741" t="s">
        <v>62</v>
      </c>
      <c r="AA741" t="s">
        <v>53</v>
      </c>
      <c r="AB741">
        <v>2</v>
      </c>
    </row>
    <row r="742" spans="1:28" x14ac:dyDescent="0.25">
      <c r="A742" t="s">
        <v>1554</v>
      </c>
      <c r="B742">
        <v>36</v>
      </c>
      <c r="C742" t="s">
        <v>43</v>
      </c>
      <c r="D742" t="s">
        <v>44</v>
      </c>
      <c r="E742" t="s">
        <v>31</v>
      </c>
      <c r="F742" t="s">
        <v>56</v>
      </c>
      <c r="G742" t="s">
        <v>30</v>
      </c>
      <c r="H742" t="s">
        <v>1555</v>
      </c>
      <c r="I742" t="s">
        <v>117</v>
      </c>
      <c r="J742">
        <v>85.52</v>
      </c>
      <c r="K742">
        <v>7</v>
      </c>
      <c r="L742" t="s">
        <v>35</v>
      </c>
      <c r="M742">
        <v>1</v>
      </c>
      <c r="N742">
        <v>5</v>
      </c>
      <c r="O742">
        <v>0</v>
      </c>
      <c r="P742" t="s">
        <v>49</v>
      </c>
      <c r="Q742" t="s">
        <v>37</v>
      </c>
      <c r="R742">
        <v>1</v>
      </c>
      <c r="S742">
        <v>3</v>
      </c>
      <c r="T742" t="s">
        <v>59</v>
      </c>
      <c r="U742" t="s">
        <v>60</v>
      </c>
      <c r="V742" t="s">
        <v>66</v>
      </c>
      <c r="W742" s="1">
        <v>45596</v>
      </c>
      <c r="X742" t="b">
        <v>0</v>
      </c>
      <c r="Y742" t="b">
        <v>1</v>
      </c>
      <c r="Z742" t="s">
        <v>74</v>
      </c>
      <c r="AA742" t="s">
        <v>41</v>
      </c>
      <c r="AB742">
        <v>7</v>
      </c>
    </row>
    <row r="743" spans="1:28" x14ac:dyDescent="0.25">
      <c r="A743" t="s">
        <v>1556</v>
      </c>
      <c r="B743">
        <v>44</v>
      </c>
      <c r="C743" t="s">
        <v>29</v>
      </c>
      <c r="D743" t="s">
        <v>30</v>
      </c>
      <c r="E743" t="s">
        <v>69</v>
      </c>
      <c r="F743" t="s">
        <v>45</v>
      </c>
      <c r="G743" t="s">
        <v>44</v>
      </c>
      <c r="H743" t="s">
        <v>1557</v>
      </c>
      <c r="I743" t="s">
        <v>114</v>
      </c>
      <c r="J743">
        <v>422.31</v>
      </c>
      <c r="K743">
        <v>2</v>
      </c>
      <c r="L743" t="s">
        <v>48</v>
      </c>
      <c r="M743">
        <v>3</v>
      </c>
      <c r="N743">
        <v>4</v>
      </c>
      <c r="O743">
        <v>1</v>
      </c>
      <c r="P743" t="s">
        <v>49</v>
      </c>
      <c r="Q743" t="s">
        <v>85</v>
      </c>
      <c r="R743">
        <v>0</v>
      </c>
      <c r="S743">
        <v>6</v>
      </c>
      <c r="T743" t="s">
        <v>36</v>
      </c>
      <c r="U743" t="s">
        <v>60</v>
      </c>
      <c r="V743" t="s">
        <v>66</v>
      </c>
      <c r="W743" s="1">
        <v>45513</v>
      </c>
      <c r="X743" t="b">
        <v>1</v>
      </c>
      <c r="Y743" t="b">
        <v>1</v>
      </c>
      <c r="Z743" t="s">
        <v>62</v>
      </c>
      <c r="AA743" t="s">
        <v>41</v>
      </c>
      <c r="AB743">
        <v>3</v>
      </c>
    </row>
    <row r="744" spans="1:28" x14ac:dyDescent="0.25">
      <c r="A744" t="s">
        <v>1558</v>
      </c>
      <c r="B744">
        <v>48</v>
      </c>
      <c r="C744" t="s">
        <v>88</v>
      </c>
      <c r="D744" t="s">
        <v>44</v>
      </c>
      <c r="E744" t="s">
        <v>31</v>
      </c>
      <c r="F744" t="s">
        <v>45</v>
      </c>
      <c r="G744" t="s">
        <v>44</v>
      </c>
      <c r="H744" t="s">
        <v>1559</v>
      </c>
      <c r="I744" t="s">
        <v>135</v>
      </c>
      <c r="J744">
        <v>70.42</v>
      </c>
      <c r="K744">
        <v>11</v>
      </c>
      <c r="L744" t="s">
        <v>78</v>
      </c>
      <c r="M744">
        <v>4</v>
      </c>
      <c r="N744">
        <v>5</v>
      </c>
      <c r="O744">
        <v>1</v>
      </c>
      <c r="P744" t="s">
        <v>44</v>
      </c>
      <c r="Q744" t="s">
        <v>50</v>
      </c>
      <c r="R744">
        <v>2</v>
      </c>
      <c r="S744">
        <v>7</v>
      </c>
      <c r="T744" t="s">
        <v>59</v>
      </c>
      <c r="U744" t="s">
        <v>79</v>
      </c>
      <c r="V744" t="s">
        <v>66</v>
      </c>
      <c r="W744" s="1">
        <v>45566</v>
      </c>
      <c r="X744" t="b">
        <v>0</v>
      </c>
      <c r="Y744" t="b">
        <v>1</v>
      </c>
      <c r="Z744" t="s">
        <v>40</v>
      </c>
      <c r="AA744" t="s">
        <v>67</v>
      </c>
      <c r="AB744">
        <v>14</v>
      </c>
    </row>
    <row r="745" spans="1:28" x14ac:dyDescent="0.25">
      <c r="A745" t="s">
        <v>1560</v>
      </c>
      <c r="B745">
        <v>23</v>
      </c>
      <c r="C745" t="s">
        <v>29</v>
      </c>
      <c r="D745" t="s">
        <v>30</v>
      </c>
      <c r="E745" t="s">
        <v>69</v>
      </c>
      <c r="F745" t="s">
        <v>56</v>
      </c>
      <c r="G745" t="s">
        <v>30</v>
      </c>
      <c r="H745" t="s">
        <v>1561</v>
      </c>
      <c r="I745" t="s">
        <v>126</v>
      </c>
      <c r="J745">
        <v>437.4</v>
      </c>
      <c r="K745">
        <v>6</v>
      </c>
      <c r="L745" t="s">
        <v>35</v>
      </c>
      <c r="M745">
        <v>1</v>
      </c>
      <c r="N745">
        <v>4</v>
      </c>
      <c r="O745">
        <v>1</v>
      </c>
      <c r="P745" t="s">
        <v>44</v>
      </c>
      <c r="Q745" t="s">
        <v>37</v>
      </c>
      <c r="R745">
        <v>2</v>
      </c>
      <c r="S745">
        <v>5</v>
      </c>
      <c r="T745" t="s">
        <v>59</v>
      </c>
      <c r="U745" t="s">
        <v>38</v>
      </c>
      <c r="V745" t="s">
        <v>39</v>
      </c>
      <c r="W745" s="1">
        <v>45459</v>
      </c>
      <c r="X745" t="b">
        <v>0</v>
      </c>
      <c r="Y745" t="b">
        <v>0</v>
      </c>
      <c r="Z745" t="s">
        <v>74</v>
      </c>
      <c r="AA745" t="s">
        <v>67</v>
      </c>
      <c r="AB745">
        <v>1</v>
      </c>
    </row>
    <row r="746" spans="1:28" x14ac:dyDescent="0.25">
      <c r="A746" t="s">
        <v>1562</v>
      </c>
      <c r="B746">
        <v>35</v>
      </c>
      <c r="C746" t="s">
        <v>43</v>
      </c>
      <c r="D746" t="s">
        <v>30</v>
      </c>
      <c r="E746" t="s">
        <v>76</v>
      </c>
      <c r="F746" t="s">
        <v>32</v>
      </c>
      <c r="G746" t="s">
        <v>30</v>
      </c>
      <c r="H746" t="s">
        <v>1563</v>
      </c>
      <c r="I746" t="s">
        <v>246</v>
      </c>
      <c r="J746">
        <v>207.11</v>
      </c>
      <c r="K746">
        <v>4</v>
      </c>
      <c r="L746" t="s">
        <v>35</v>
      </c>
      <c r="M746">
        <v>1</v>
      </c>
      <c r="N746">
        <v>4</v>
      </c>
      <c r="O746">
        <v>2</v>
      </c>
      <c r="P746" t="s">
        <v>44</v>
      </c>
      <c r="Q746" t="s">
        <v>50</v>
      </c>
      <c r="R746">
        <v>0</v>
      </c>
      <c r="S746">
        <v>1</v>
      </c>
      <c r="T746" t="s">
        <v>59</v>
      </c>
      <c r="U746" t="s">
        <v>38</v>
      </c>
      <c r="V746" t="s">
        <v>66</v>
      </c>
      <c r="W746" s="1">
        <v>45379</v>
      </c>
      <c r="X746" t="b">
        <v>1</v>
      </c>
      <c r="Y746" t="b">
        <v>0</v>
      </c>
      <c r="Z746" t="s">
        <v>40</v>
      </c>
      <c r="AA746" t="s">
        <v>41</v>
      </c>
      <c r="AB746">
        <v>2</v>
      </c>
    </row>
    <row r="747" spans="1:28" x14ac:dyDescent="0.25">
      <c r="A747" t="s">
        <v>1564</v>
      </c>
      <c r="B747">
        <v>50</v>
      </c>
      <c r="C747" t="s">
        <v>29</v>
      </c>
      <c r="D747" t="s">
        <v>44</v>
      </c>
      <c r="E747" t="s">
        <v>69</v>
      </c>
      <c r="F747" t="s">
        <v>32</v>
      </c>
      <c r="G747" t="s">
        <v>30</v>
      </c>
      <c r="H747" t="s">
        <v>1565</v>
      </c>
      <c r="I747" t="s">
        <v>101</v>
      </c>
      <c r="J747">
        <v>378.87</v>
      </c>
      <c r="K747">
        <v>2</v>
      </c>
      <c r="L747" t="s">
        <v>78</v>
      </c>
      <c r="M747">
        <v>5</v>
      </c>
      <c r="N747">
        <v>2</v>
      </c>
      <c r="O747">
        <v>2</v>
      </c>
      <c r="P747" t="s">
        <v>36</v>
      </c>
      <c r="Q747" t="s">
        <v>85</v>
      </c>
      <c r="R747">
        <v>2</v>
      </c>
      <c r="S747">
        <v>2</v>
      </c>
      <c r="T747" t="s">
        <v>49</v>
      </c>
      <c r="U747" t="s">
        <v>79</v>
      </c>
      <c r="V747" t="s">
        <v>61</v>
      </c>
      <c r="W747" s="1">
        <v>45459</v>
      </c>
      <c r="X747" t="b">
        <v>1</v>
      </c>
      <c r="Y747" t="b">
        <v>0</v>
      </c>
      <c r="Z747" t="s">
        <v>74</v>
      </c>
      <c r="AA747" t="s">
        <v>41</v>
      </c>
      <c r="AB747">
        <v>9</v>
      </c>
    </row>
    <row r="748" spans="1:28" x14ac:dyDescent="0.25">
      <c r="A748" t="s">
        <v>1566</v>
      </c>
      <c r="B748">
        <v>30</v>
      </c>
      <c r="C748" t="s">
        <v>29</v>
      </c>
      <c r="D748" t="s">
        <v>44</v>
      </c>
      <c r="E748" t="s">
        <v>76</v>
      </c>
      <c r="F748" t="s">
        <v>45</v>
      </c>
      <c r="G748" t="s">
        <v>44</v>
      </c>
      <c r="H748" t="s">
        <v>1567</v>
      </c>
      <c r="I748" t="s">
        <v>123</v>
      </c>
      <c r="J748">
        <v>349</v>
      </c>
      <c r="K748">
        <v>10</v>
      </c>
      <c r="L748" t="s">
        <v>35</v>
      </c>
      <c r="M748">
        <v>3</v>
      </c>
      <c r="N748">
        <v>5</v>
      </c>
      <c r="O748">
        <v>1</v>
      </c>
      <c r="P748" t="s">
        <v>59</v>
      </c>
      <c r="Q748" t="s">
        <v>50</v>
      </c>
      <c r="R748">
        <v>1</v>
      </c>
      <c r="S748">
        <v>5</v>
      </c>
      <c r="T748" t="s">
        <v>59</v>
      </c>
      <c r="U748" t="s">
        <v>79</v>
      </c>
      <c r="V748" t="s">
        <v>51</v>
      </c>
      <c r="W748" s="1">
        <v>45306</v>
      </c>
      <c r="X748" t="b">
        <v>0</v>
      </c>
      <c r="Y748" t="b">
        <v>1</v>
      </c>
      <c r="Z748" t="s">
        <v>74</v>
      </c>
      <c r="AA748" t="s">
        <v>41</v>
      </c>
      <c r="AB748">
        <v>10</v>
      </c>
    </row>
    <row r="749" spans="1:28" x14ac:dyDescent="0.25">
      <c r="A749" t="s">
        <v>1568</v>
      </c>
      <c r="B749">
        <v>38</v>
      </c>
      <c r="C749" t="s">
        <v>43</v>
      </c>
      <c r="D749" t="s">
        <v>30</v>
      </c>
      <c r="E749" t="s">
        <v>31</v>
      </c>
      <c r="F749" t="s">
        <v>32</v>
      </c>
      <c r="G749" t="s">
        <v>30</v>
      </c>
      <c r="H749" t="s">
        <v>1569</v>
      </c>
      <c r="I749" t="s">
        <v>107</v>
      </c>
      <c r="J749">
        <v>330.27</v>
      </c>
      <c r="K749">
        <v>3</v>
      </c>
      <c r="L749" t="s">
        <v>48</v>
      </c>
      <c r="M749">
        <v>3</v>
      </c>
      <c r="N749">
        <v>2</v>
      </c>
      <c r="O749">
        <v>1</v>
      </c>
      <c r="P749" t="s">
        <v>44</v>
      </c>
      <c r="Q749" t="s">
        <v>50</v>
      </c>
      <c r="R749">
        <v>1</v>
      </c>
      <c r="S749">
        <v>9</v>
      </c>
      <c r="T749" t="s">
        <v>44</v>
      </c>
      <c r="U749" t="s">
        <v>60</v>
      </c>
      <c r="V749" t="s">
        <v>66</v>
      </c>
      <c r="W749" s="1">
        <v>45332</v>
      </c>
      <c r="X749" t="b">
        <v>1</v>
      </c>
      <c r="Y749" t="b">
        <v>0</v>
      </c>
      <c r="Z749" t="s">
        <v>62</v>
      </c>
      <c r="AA749" t="s">
        <v>41</v>
      </c>
      <c r="AB749">
        <v>9</v>
      </c>
    </row>
    <row r="750" spans="1:28" x14ac:dyDescent="0.25">
      <c r="A750" t="s">
        <v>1570</v>
      </c>
      <c r="B750">
        <v>42</v>
      </c>
      <c r="C750" t="s">
        <v>43</v>
      </c>
      <c r="D750" t="s">
        <v>30</v>
      </c>
      <c r="E750" t="s">
        <v>31</v>
      </c>
      <c r="F750" t="s">
        <v>56</v>
      </c>
      <c r="G750" t="s">
        <v>30</v>
      </c>
      <c r="H750" t="s">
        <v>1571</v>
      </c>
      <c r="I750" t="s">
        <v>142</v>
      </c>
      <c r="J750">
        <v>410.29</v>
      </c>
      <c r="K750">
        <v>10</v>
      </c>
      <c r="L750" t="s">
        <v>78</v>
      </c>
      <c r="M750">
        <v>2</v>
      </c>
      <c r="N750">
        <v>4</v>
      </c>
      <c r="O750">
        <v>1</v>
      </c>
      <c r="P750" t="s">
        <v>59</v>
      </c>
      <c r="Q750" t="s">
        <v>50</v>
      </c>
      <c r="R750">
        <v>2</v>
      </c>
      <c r="S750">
        <v>4</v>
      </c>
      <c r="T750" t="s">
        <v>44</v>
      </c>
      <c r="U750" t="s">
        <v>60</v>
      </c>
      <c r="V750" t="s">
        <v>39</v>
      </c>
      <c r="W750" s="1">
        <v>45537</v>
      </c>
      <c r="X750" t="b">
        <v>1</v>
      </c>
      <c r="Y750" t="b">
        <v>0</v>
      </c>
      <c r="Z750" t="s">
        <v>74</v>
      </c>
      <c r="AA750" t="s">
        <v>67</v>
      </c>
      <c r="AB750">
        <v>1</v>
      </c>
    </row>
    <row r="751" spans="1:28" x14ac:dyDescent="0.25">
      <c r="A751" t="s">
        <v>1572</v>
      </c>
      <c r="B751">
        <v>24</v>
      </c>
      <c r="C751" t="s">
        <v>29</v>
      </c>
      <c r="D751" t="s">
        <v>44</v>
      </c>
      <c r="E751" t="s">
        <v>76</v>
      </c>
      <c r="F751" t="s">
        <v>56</v>
      </c>
      <c r="G751" t="s">
        <v>30</v>
      </c>
      <c r="H751" t="s">
        <v>1573</v>
      </c>
      <c r="I751" t="s">
        <v>107</v>
      </c>
      <c r="J751">
        <v>400.86</v>
      </c>
      <c r="K751">
        <v>7</v>
      </c>
      <c r="L751" t="s">
        <v>78</v>
      </c>
      <c r="M751">
        <v>3</v>
      </c>
      <c r="N751">
        <v>3</v>
      </c>
      <c r="O751">
        <v>1</v>
      </c>
      <c r="P751" t="s">
        <v>44</v>
      </c>
      <c r="Q751" t="s">
        <v>85</v>
      </c>
      <c r="R751">
        <v>1</v>
      </c>
      <c r="S751">
        <v>7</v>
      </c>
      <c r="T751" t="s">
        <v>59</v>
      </c>
      <c r="U751" t="s">
        <v>60</v>
      </c>
      <c r="V751" t="s">
        <v>39</v>
      </c>
      <c r="W751" s="1">
        <v>45547</v>
      </c>
      <c r="X751" t="b">
        <v>1</v>
      </c>
      <c r="Y751" t="b">
        <v>0</v>
      </c>
      <c r="Z751" t="s">
        <v>74</v>
      </c>
      <c r="AA751" t="s">
        <v>41</v>
      </c>
      <c r="AB751">
        <v>5</v>
      </c>
    </row>
    <row r="752" spans="1:28" x14ac:dyDescent="0.25">
      <c r="A752" t="s">
        <v>1574</v>
      </c>
      <c r="B752">
        <v>27</v>
      </c>
      <c r="C752" t="s">
        <v>29</v>
      </c>
      <c r="D752" t="s">
        <v>44</v>
      </c>
      <c r="E752" t="s">
        <v>31</v>
      </c>
      <c r="F752" t="s">
        <v>56</v>
      </c>
      <c r="G752" t="s">
        <v>30</v>
      </c>
      <c r="H752" t="s">
        <v>1575</v>
      </c>
      <c r="I752" t="s">
        <v>188</v>
      </c>
      <c r="J752">
        <v>225.12</v>
      </c>
      <c r="K752">
        <v>11</v>
      </c>
      <c r="L752" t="s">
        <v>48</v>
      </c>
      <c r="M752">
        <v>3</v>
      </c>
      <c r="N752">
        <v>2</v>
      </c>
      <c r="O752">
        <v>1</v>
      </c>
      <c r="P752" t="s">
        <v>49</v>
      </c>
      <c r="Q752" t="s">
        <v>37</v>
      </c>
      <c r="R752">
        <v>0</v>
      </c>
      <c r="S752">
        <v>1</v>
      </c>
      <c r="T752" t="s">
        <v>36</v>
      </c>
      <c r="U752" t="s">
        <v>79</v>
      </c>
      <c r="V752" t="s">
        <v>86</v>
      </c>
      <c r="W752" s="1">
        <v>45535</v>
      </c>
      <c r="X752" t="b">
        <v>1</v>
      </c>
      <c r="Y752" t="b">
        <v>0</v>
      </c>
      <c r="Z752" t="s">
        <v>74</v>
      </c>
      <c r="AA752" t="s">
        <v>67</v>
      </c>
      <c r="AB752">
        <v>6</v>
      </c>
    </row>
    <row r="753" spans="1:28" x14ac:dyDescent="0.25">
      <c r="A753" t="s">
        <v>1576</v>
      </c>
      <c r="B753">
        <v>36</v>
      </c>
      <c r="C753" t="s">
        <v>29</v>
      </c>
      <c r="D753" t="s">
        <v>44</v>
      </c>
      <c r="E753" t="s">
        <v>69</v>
      </c>
      <c r="F753" t="s">
        <v>56</v>
      </c>
      <c r="G753" t="s">
        <v>44</v>
      </c>
      <c r="H753" t="s">
        <v>1577</v>
      </c>
      <c r="I753" t="s">
        <v>188</v>
      </c>
      <c r="J753">
        <v>273.48</v>
      </c>
      <c r="K753">
        <v>12</v>
      </c>
      <c r="L753" t="s">
        <v>78</v>
      </c>
      <c r="M753">
        <v>5</v>
      </c>
      <c r="N753">
        <v>3</v>
      </c>
      <c r="O753">
        <v>2</v>
      </c>
      <c r="P753" t="s">
        <v>59</v>
      </c>
      <c r="Q753" t="s">
        <v>85</v>
      </c>
      <c r="R753">
        <v>0</v>
      </c>
      <c r="S753">
        <v>5</v>
      </c>
      <c r="T753" t="s">
        <v>49</v>
      </c>
      <c r="U753" t="s">
        <v>60</v>
      </c>
      <c r="V753" t="s">
        <v>66</v>
      </c>
      <c r="W753" s="1">
        <v>45313</v>
      </c>
      <c r="X753" t="b">
        <v>1</v>
      </c>
      <c r="Y753" t="b">
        <v>0</v>
      </c>
      <c r="Z753" t="s">
        <v>52</v>
      </c>
      <c r="AA753" t="s">
        <v>67</v>
      </c>
      <c r="AB753">
        <v>5</v>
      </c>
    </row>
    <row r="754" spans="1:28" x14ac:dyDescent="0.25">
      <c r="A754" t="s">
        <v>1578</v>
      </c>
      <c r="B754">
        <v>19</v>
      </c>
      <c r="C754" t="s">
        <v>88</v>
      </c>
      <c r="D754" t="s">
        <v>44</v>
      </c>
      <c r="E754" t="s">
        <v>55</v>
      </c>
      <c r="F754" t="s">
        <v>56</v>
      </c>
      <c r="G754" t="s">
        <v>30</v>
      </c>
      <c r="H754" t="s">
        <v>1579</v>
      </c>
      <c r="I754" t="s">
        <v>71</v>
      </c>
      <c r="J754">
        <v>363.84</v>
      </c>
      <c r="K754">
        <v>11</v>
      </c>
      <c r="L754" t="s">
        <v>78</v>
      </c>
      <c r="M754">
        <v>3</v>
      </c>
      <c r="N754">
        <v>2</v>
      </c>
      <c r="O754">
        <v>1</v>
      </c>
      <c r="P754" t="s">
        <v>59</v>
      </c>
      <c r="Q754" t="s">
        <v>50</v>
      </c>
      <c r="R754">
        <v>0</v>
      </c>
      <c r="S754">
        <v>3</v>
      </c>
      <c r="T754" t="s">
        <v>49</v>
      </c>
      <c r="U754" t="s">
        <v>79</v>
      </c>
      <c r="V754" t="s">
        <v>86</v>
      </c>
      <c r="W754" s="1">
        <v>45534</v>
      </c>
      <c r="X754" t="b">
        <v>1</v>
      </c>
      <c r="Y754" t="b">
        <v>0</v>
      </c>
      <c r="Z754" t="s">
        <v>62</v>
      </c>
      <c r="AA754" t="s">
        <v>67</v>
      </c>
      <c r="AB754">
        <v>5</v>
      </c>
    </row>
    <row r="755" spans="1:28" x14ac:dyDescent="0.25">
      <c r="A755" t="s">
        <v>1580</v>
      </c>
      <c r="B755">
        <v>24</v>
      </c>
      <c r="C755" t="s">
        <v>29</v>
      </c>
      <c r="D755" t="s">
        <v>44</v>
      </c>
      <c r="E755" t="s">
        <v>55</v>
      </c>
      <c r="F755" t="s">
        <v>32</v>
      </c>
      <c r="G755" t="s">
        <v>30</v>
      </c>
      <c r="H755" t="s">
        <v>1581</v>
      </c>
      <c r="I755" t="s">
        <v>114</v>
      </c>
      <c r="J755">
        <v>302.60000000000002</v>
      </c>
      <c r="K755">
        <v>9</v>
      </c>
      <c r="L755" t="s">
        <v>78</v>
      </c>
      <c r="M755">
        <v>1</v>
      </c>
      <c r="N755">
        <v>4</v>
      </c>
      <c r="O755">
        <v>2</v>
      </c>
      <c r="P755" t="s">
        <v>49</v>
      </c>
      <c r="Q755" t="s">
        <v>85</v>
      </c>
      <c r="R755">
        <v>2</v>
      </c>
      <c r="S755">
        <v>10</v>
      </c>
      <c r="T755" t="s">
        <v>36</v>
      </c>
      <c r="U755" t="s">
        <v>79</v>
      </c>
      <c r="V755" t="s">
        <v>61</v>
      </c>
      <c r="W755" s="1">
        <v>45496</v>
      </c>
      <c r="X755" t="b">
        <v>0</v>
      </c>
      <c r="Y755" t="b">
        <v>1</v>
      </c>
      <c r="Z755" t="s">
        <v>62</v>
      </c>
      <c r="AA755" t="s">
        <v>53</v>
      </c>
      <c r="AB755">
        <v>2</v>
      </c>
    </row>
    <row r="756" spans="1:28" x14ac:dyDescent="0.25">
      <c r="A756" t="s">
        <v>1582</v>
      </c>
      <c r="B756">
        <v>35</v>
      </c>
      <c r="C756" t="s">
        <v>43</v>
      </c>
      <c r="D756" t="s">
        <v>44</v>
      </c>
      <c r="E756" t="s">
        <v>76</v>
      </c>
      <c r="F756" t="s">
        <v>45</v>
      </c>
      <c r="G756" t="s">
        <v>44</v>
      </c>
      <c r="H756" t="s">
        <v>1583</v>
      </c>
      <c r="I756" t="s">
        <v>101</v>
      </c>
      <c r="J756">
        <v>317.08999999999997</v>
      </c>
      <c r="K756">
        <v>6</v>
      </c>
      <c r="L756" t="s">
        <v>78</v>
      </c>
      <c r="M756">
        <v>1</v>
      </c>
      <c r="N756">
        <v>1</v>
      </c>
      <c r="O756">
        <v>1</v>
      </c>
      <c r="P756" t="s">
        <v>44</v>
      </c>
      <c r="Q756" t="s">
        <v>50</v>
      </c>
      <c r="R756">
        <v>2</v>
      </c>
      <c r="S756">
        <v>2</v>
      </c>
      <c r="T756" t="s">
        <v>44</v>
      </c>
      <c r="U756" t="s">
        <v>79</v>
      </c>
      <c r="V756" t="s">
        <v>66</v>
      </c>
      <c r="W756" s="1">
        <v>45393</v>
      </c>
      <c r="X756" t="b">
        <v>1</v>
      </c>
      <c r="Y756" t="b">
        <v>0</v>
      </c>
      <c r="Z756" t="s">
        <v>62</v>
      </c>
      <c r="AA756" t="s">
        <v>53</v>
      </c>
      <c r="AB756">
        <v>4</v>
      </c>
    </row>
    <row r="757" spans="1:28" x14ac:dyDescent="0.25">
      <c r="A757" t="s">
        <v>1584</v>
      </c>
      <c r="B757">
        <v>38</v>
      </c>
      <c r="C757" t="s">
        <v>29</v>
      </c>
      <c r="D757" t="s">
        <v>44</v>
      </c>
      <c r="E757" t="s">
        <v>31</v>
      </c>
      <c r="F757" t="s">
        <v>45</v>
      </c>
      <c r="G757" t="s">
        <v>44</v>
      </c>
      <c r="H757" t="s">
        <v>1585</v>
      </c>
      <c r="I757" t="s">
        <v>188</v>
      </c>
      <c r="J757">
        <v>193.32</v>
      </c>
      <c r="K757">
        <v>9</v>
      </c>
      <c r="L757" t="s">
        <v>35</v>
      </c>
      <c r="M757">
        <v>4</v>
      </c>
      <c r="N757">
        <v>3</v>
      </c>
      <c r="O757">
        <v>0</v>
      </c>
      <c r="P757" t="s">
        <v>36</v>
      </c>
      <c r="Q757" t="s">
        <v>85</v>
      </c>
      <c r="R757">
        <v>0</v>
      </c>
      <c r="S757">
        <v>8</v>
      </c>
      <c r="T757" t="s">
        <v>44</v>
      </c>
      <c r="U757" t="s">
        <v>38</v>
      </c>
      <c r="V757" t="s">
        <v>51</v>
      </c>
      <c r="W757" s="1">
        <v>45484</v>
      </c>
      <c r="X757" t="b">
        <v>0</v>
      </c>
      <c r="Y757" t="b">
        <v>1</v>
      </c>
      <c r="Z757" t="s">
        <v>52</v>
      </c>
      <c r="AA757" t="s">
        <v>67</v>
      </c>
      <c r="AB757">
        <v>6</v>
      </c>
    </row>
    <row r="758" spans="1:28" x14ac:dyDescent="0.25">
      <c r="A758" t="s">
        <v>1586</v>
      </c>
      <c r="B758">
        <v>34</v>
      </c>
      <c r="C758" t="s">
        <v>43</v>
      </c>
      <c r="D758" t="s">
        <v>44</v>
      </c>
      <c r="E758" t="s">
        <v>69</v>
      </c>
      <c r="F758" t="s">
        <v>45</v>
      </c>
      <c r="G758" t="s">
        <v>44</v>
      </c>
      <c r="H758" t="s">
        <v>1587</v>
      </c>
      <c r="I758" t="s">
        <v>120</v>
      </c>
      <c r="J758">
        <v>282.24</v>
      </c>
      <c r="K758">
        <v>6</v>
      </c>
      <c r="L758" t="s">
        <v>78</v>
      </c>
      <c r="M758">
        <v>2</v>
      </c>
      <c r="N758">
        <v>3</v>
      </c>
      <c r="O758">
        <v>2</v>
      </c>
      <c r="P758" t="s">
        <v>36</v>
      </c>
      <c r="Q758" t="s">
        <v>50</v>
      </c>
      <c r="R758">
        <v>1</v>
      </c>
      <c r="S758">
        <v>7</v>
      </c>
      <c r="T758" t="s">
        <v>49</v>
      </c>
      <c r="U758" t="s">
        <v>79</v>
      </c>
      <c r="V758" t="s">
        <v>39</v>
      </c>
      <c r="W758" s="1">
        <v>45551</v>
      </c>
      <c r="X758" t="b">
        <v>1</v>
      </c>
      <c r="Y758" t="b">
        <v>1</v>
      </c>
      <c r="Z758" t="s">
        <v>40</v>
      </c>
      <c r="AA758" t="s">
        <v>41</v>
      </c>
      <c r="AB758">
        <v>1</v>
      </c>
    </row>
    <row r="759" spans="1:28" x14ac:dyDescent="0.25">
      <c r="A759" t="s">
        <v>1588</v>
      </c>
      <c r="B759">
        <v>29</v>
      </c>
      <c r="C759" t="s">
        <v>29</v>
      </c>
      <c r="D759" t="s">
        <v>44</v>
      </c>
      <c r="E759" t="s">
        <v>76</v>
      </c>
      <c r="F759" t="s">
        <v>56</v>
      </c>
      <c r="G759" t="s">
        <v>30</v>
      </c>
      <c r="H759" t="s">
        <v>1589</v>
      </c>
      <c r="I759" t="s">
        <v>107</v>
      </c>
      <c r="J759">
        <v>154.19</v>
      </c>
      <c r="K759">
        <v>6</v>
      </c>
      <c r="L759" t="s">
        <v>78</v>
      </c>
      <c r="M759">
        <v>5</v>
      </c>
      <c r="N759">
        <v>4</v>
      </c>
      <c r="O759">
        <v>1</v>
      </c>
      <c r="P759" t="s">
        <v>49</v>
      </c>
      <c r="Q759" t="s">
        <v>85</v>
      </c>
      <c r="R759">
        <v>2</v>
      </c>
      <c r="S759">
        <v>1</v>
      </c>
      <c r="T759" t="s">
        <v>36</v>
      </c>
      <c r="U759" t="s">
        <v>38</v>
      </c>
      <c r="V759" t="s">
        <v>51</v>
      </c>
      <c r="W759" s="1">
        <v>45557</v>
      </c>
      <c r="X759" t="b">
        <v>1</v>
      </c>
      <c r="Y759" t="b">
        <v>1</v>
      </c>
      <c r="Z759" t="s">
        <v>40</v>
      </c>
      <c r="AA759" t="s">
        <v>41</v>
      </c>
      <c r="AB759">
        <v>1</v>
      </c>
    </row>
    <row r="760" spans="1:28" x14ac:dyDescent="0.25">
      <c r="A760" t="s">
        <v>1590</v>
      </c>
      <c r="B760">
        <v>41</v>
      </c>
      <c r="C760" t="s">
        <v>29</v>
      </c>
      <c r="D760" t="s">
        <v>30</v>
      </c>
      <c r="E760" t="s">
        <v>69</v>
      </c>
      <c r="F760" t="s">
        <v>32</v>
      </c>
      <c r="G760" t="s">
        <v>30</v>
      </c>
      <c r="H760" t="s">
        <v>1591</v>
      </c>
      <c r="I760" t="s">
        <v>71</v>
      </c>
      <c r="J760">
        <v>84.15</v>
      </c>
      <c r="K760">
        <v>10</v>
      </c>
      <c r="L760" t="s">
        <v>48</v>
      </c>
      <c r="M760">
        <v>1</v>
      </c>
      <c r="N760">
        <v>3</v>
      </c>
      <c r="O760">
        <v>1</v>
      </c>
      <c r="P760" t="s">
        <v>44</v>
      </c>
      <c r="Q760" t="s">
        <v>50</v>
      </c>
      <c r="R760">
        <v>2</v>
      </c>
      <c r="S760">
        <v>1</v>
      </c>
      <c r="T760" t="s">
        <v>44</v>
      </c>
      <c r="U760" t="s">
        <v>79</v>
      </c>
      <c r="V760" t="s">
        <v>51</v>
      </c>
      <c r="W760" s="1">
        <v>45599</v>
      </c>
      <c r="X760" t="b">
        <v>1</v>
      </c>
      <c r="Y760" t="b">
        <v>1</v>
      </c>
      <c r="Z760" t="s">
        <v>62</v>
      </c>
      <c r="AA760" t="s">
        <v>53</v>
      </c>
      <c r="AB760">
        <v>1</v>
      </c>
    </row>
    <row r="761" spans="1:28" x14ac:dyDescent="0.25">
      <c r="A761" t="s">
        <v>1592</v>
      </c>
      <c r="B761">
        <v>41</v>
      </c>
      <c r="C761" t="s">
        <v>43</v>
      </c>
      <c r="D761" t="s">
        <v>30</v>
      </c>
      <c r="E761" t="s">
        <v>76</v>
      </c>
      <c r="F761" t="s">
        <v>45</v>
      </c>
      <c r="G761" t="s">
        <v>44</v>
      </c>
      <c r="H761" t="s">
        <v>1593</v>
      </c>
      <c r="I761" t="s">
        <v>142</v>
      </c>
      <c r="J761">
        <v>214.69</v>
      </c>
      <c r="K761">
        <v>7</v>
      </c>
      <c r="L761" t="s">
        <v>48</v>
      </c>
      <c r="M761">
        <v>4</v>
      </c>
      <c r="N761">
        <v>4</v>
      </c>
      <c r="O761">
        <v>0</v>
      </c>
      <c r="P761" t="s">
        <v>49</v>
      </c>
      <c r="Q761" t="s">
        <v>50</v>
      </c>
      <c r="R761">
        <v>1</v>
      </c>
      <c r="S761">
        <v>7</v>
      </c>
      <c r="T761" t="s">
        <v>36</v>
      </c>
      <c r="U761" t="s">
        <v>38</v>
      </c>
      <c r="V761" t="s">
        <v>39</v>
      </c>
      <c r="W761" s="1">
        <v>45427</v>
      </c>
      <c r="X761" t="b">
        <v>1</v>
      </c>
      <c r="Y761" t="b">
        <v>1</v>
      </c>
      <c r="Z761" t="s">
        <v>52</v>
      </c>
      <c r="AA761" t="s">
        <v>53</v>
      </c>
      <c r="AB761">
        <v>9</v>
      </c>
    </row>
    <row r="762" spans="1:28" x14ac:dyDescent="0.25">
      <c r="A762" t="s">
        <v>1594</v>
      </c>
      <c r="B762">
        <v>32</v>
      </c>
      <c r="C762" t="s">
        <v>43</v>
      </c>
      <c r="D762" t="s">
        <v>44</v>
      </c>
      <c r="E762" t="s">
        <v>31</v>
      </c>
      <c r="F762" t="s">
        <v>32</v>
      </c>
      <c r="G762" t="s">
        <v>44</v>
      </c>
      <c r="H762" t="s">
        <v>1595</v>
      </c>
      <c r="I762" t="s">
        <v>101</v>
      </c>
      <c r="J762">
        <v>61.21</v>
      </c>
      <c r="K762">
        <v>12</v>
      </c>
      <c r="L762" t="s">
        <v>35</v>
      </c>
      <c r="M762">
        <v>5</v>
      </c>
      <c r="N762">
        <v>5</v>
      </c>
      <c r="O762">
        <v>0</v>
      </c>
      <c r="P762" t="s">
        <v>36</v>
      </c>
      <c r="Q762" t="s">
        <v>50</v>
      </c>
      <c r="R762">
        <v>0</v>
      </c>
      <c r="S762">
        <v>5</v>
      </c>
      <c r="T762" t="s">
        <v>59</v>
      </c>
      <c r="U762" t="s">
        <v>60</v>
      </c>
      <c r="V762" t="s">
        <v>39</v>
      </c>
      <c r="W762" s="1">
        <v>45620</v>
      </c>
      <c r="X762" t="b">
        <v>1</v>
      </c>
      <c r="Y762" t="b">
        <v>0</v>
      </c>
      <c r="Z762" t="s">
        <v>74</v>
      </c>
      <c r="AA762" t="s">
        <v>53</v>
      </c>
      <c r="AB762">
        <v>13</v>
      </c>
    </row>
    <row r="763" spans="1:28" x14ac:dyDescent="0.25">
      <c r="A763" t="s">
        <v>1596</v>
      </c>
      <c r="B763">
        <v>36</v>
      </c>
      <c r="C763" t="s">
        <v>29</v>
      </c>
      <c r="D763" t="s">
        <v>30</v>
      </c>
      <c r="E763" t="s">
        <v>55</v>
      </c>
      <c r="F763" t="s">
        <v>45</v>
      </c>
      <c r="G763" t="s">
        <v>44</v>
      </c>
      <c r="H763" t="s">
        <v>1597</v>
      </c>
      <c r="I763" t="s">
        <v>114</v>
      </c>
      <c r="J763">
        <v>462.48</v>
      </c>
      <c r="K763">
        <v>11</v>
      </c>
      <c r="L763" t="s">
        <v>78</v>
      </c>
      <c r="M763">
        <v>1</v>
      </c>
      <c r="N763">
        <v>3</v>
      </c>
      <c r="O763">
        <v>0</v>
      </c>
      <c r="P763" t="s">
        <v>49</v>
      </c>
      <c r="Q763" t="s">
        <v>85</v>
      </c>
      <c r="R763">
        <v>2</v>
      </c>
      <c r="S763">
        <v>2</v>
      </c>
      <c r="T763" t="s">
        <v>59</v>
      </c>
      <c r="U763" t="s">
        <v>60</v>
      </c>
      <c r="V763" t="s">
        <v>61</v>
      </c>
      <c r="W763" s="1">
        <v>45382</v>
      </c>
      <c r="X763" t="b">
        <v>0</v>
      </c>
      <c r="Y763" t="b">
        <v>0</v>
      </c>
      <c r="Z763" t="s">
        <v>74</v>
      </c>
      <c r="AA763" t="s">
        <v>67</v>
      </c>
      <c r="AB763">
        <v>12</v>
      </c>
    </row>
    <row r="764" spans="1:28" x14ac:dyDescent="0.25">
      <c r="A764" t="s">
        <v>1598</v>
      </c>
      <c r="B764">
        <v>33</v>
      </c>
      <c r="C764" t="s">
        <v>43</v>
      </c>
      <c r="D764" t="s">
        <v>30</v>
      </c>
      <c r="E764" t="s">
        <v>31</v>
      </c>
      <c r="F764" t="s">
        <v>32</v>
      </c>
      <c r="G764" t="s">
        <v>44</v>
      </c>
      <c r="H764" t="s">
        <v>1599</v>
      </c>
      <c r="I764" t="s">
        <v>120</v>
      </c>
      <c r="J764">
        <v>449.18</v>
      </c>
      <c r="K764">
        <v>3</v>
      </c>
      <c r="L764" t="s">
        <v>35</v>
      </c>
      <c r="M764">
        <v>5</v>
      </c>
      <c r="N764">
        <v>3</v>
      </c>
      <c r="O764">
        <v>2</v>
      </c>
      <c r="P764" t="s">
        <v>49</v>
      </c>
      <c r="Q764" t="s">
        <v>37</v>
      </c>
      <c r="R764">
        <v>0</v>
      </c>
      <c r="S764">
        <v>8</v>
      </c>
      <c r="T764" t="s">
        <v>44</v>
      </c>
      <c r="U764" t="s">
        <v>38</v>
      </c>
      <c r="V764" t="s">
        <v>39</v>
      </c>
      <c r="W764" s="1">
        <v>45372</v>
      </c>
      <c r="X764" t="b">
        <v>1</v>
      </c>
      <c r="Y764" t="b">
        <v>1</v>
      </c>
      <c r="Z764" t="s">
        <v>52</v>
      </c>
      <c r="AA764" t="s">
        <v>53</v>
      </c>
      <c r="AB764">
        <v>10</v>
      </c>
    </row>
    <row r="765" spans="1:28" x14ac:dyDescent="0.25">
      <c r="A765" t="s">
        <v>1600</v>
      </c>
      <c r="B765">
        <v>25</v>
      </c>
      <c r="C765" t="s">
        <v>29</v>
      </c>
      <c r="D765" t="s">
        <v>30</v>
      </c>
      <c r="E765" t="s">
        <v>31</v>
      </c>
      <c r="F765" t="s">
        <v>56</v>
      </c>
      <c r="G765" t="s">
        <v>30</v>
      </c>
      <c r="H765" t="s">
        <v>1601</v>
      </c>
      <c r="I765" t="s">
        <v>93</v>
      </c>
      <c r="J765">
        <v>314.36</v>
      </c>
      <c r="K765">
        <v>7</v>
      </c>
      <c r="L765" t="s">
        <v>48</v>
      </c>
      <c r="M765">
        <v>3</v>
      </c>
      <c r="N765">
        <v>5</v>
      </c>
      <c r="O765">
        <v>2</v>
      </c>
      <c r="P765" t="s">
        <v>49</v>
      </c>
      <c r="Q765" t="s">
        <v>85</v>
      </c>
      <c r="R765">
        <v>1</v>
      </c>
      <c r="S765">
        <v>4</v>
      </c>
      <c r="T765" t="s">
        <v>36</v>
      </c>
      <c r="U765" t="s">
        <v>79</v>
      </c>
      <c r="V765" t="s">
        <v>86</v>
      </c>
      <c r="W765" s="1">
        <v>45476</v>
      </c>
      <c r="X765" t="b">
        <v>1</v>
      </c>
      <c r="Y765" t="b">
        <v>0</v>
      </c>
      <c r="Z765" t="s">
        <v>62</v>
      </c>
      <c r="AA765" t="s">
        <v>67</v>
      </c>
      <c r="AB765">
        <v>1</v>
      </c>
    </row>
    <row r="766" spans="1:28" x14ac:dyDescent="0.25">
      <c r="A766" t="s">
        <v>1602</v>
      </c>
      <c r="B766">
        <v>46</v>
      </c>
      <c r="C766" t="s">
        <v>29</v>
      </c>
      <c r="D766" t="s">
        <v>30</v>
      </c>
      <c r="E766" t="s">
        <v>31</v>
      </c>
      <c r="F766" t="s">
        <v>32</v>
      </c>
      <c r="G766" t="s">
        <v>30</v>
      </c>
      <c r="H766" t="s">
        <v>1603</v>
      </c>
      <c r="I766" t="s">
        <v>246</v>
      </c>
      <c r="J766">
        <v>367.7</v>
      </c>
      <c r="K766">
        <v>3</v>
      </c>
      <c r="L766" t="s">
        <v>35</v>
      </c>
      <c r="M766">
        <v>3</v>
      </c>
      <c r="N766">
        <v>5</v>
      </c>
      <c r="O766">
        <v>2</v>
      </c>
      <c r="P766" t="s">
        <v>36</v>
      </c>
      <c r="Q766" t="s">
        <v>37</v>
      </c>
      <c r="R766">
        <v>2</v>
      </c>
      <c r="S766">
        <v>3</v>
      </c>
      <c r="T766" t="s">
        <v>44</v>
      </c>
      <c r="U766" t="s">
        <v>79</v>
      </c>
      <c r="V766" t="s">
        <v>39</v>
      </c>
      <c r="W766" s="1">
        <v>45368</v>
      </c>
      <c r="X766" t="b">
        <v>1</v>
      </c>
      <c r="Y766" t="b">
        <v>1</v>
      </c>
      <c r="Z766" t="s">
        <v>40</v>
      </c>
      <c r="AA766" t="s">
        <v>41</v>
      </c>
      <c r="AB766">
        <v>3</v>
      </c>
    </row>
    <row r="767" spans="1:28" x14ac:dyDescent="0.25">
      <c r="A767" t="s">
        <v>1604</v>
      </c>
      <c r="B767">
        <v>41</v>
      </c>
      <c r="C767" t="s">
        <v>29</v>
      </c>
      <c r="D767" t="s">
        <v>44</v>
      </c>
      <c r="E767" t="s">
        <v>55</v>
      </c>
      <c r="F767" t="s">
        <v>45</v>
      </c>
      <c r="G767" t="s">
        <v>30</v>
      </c>
      <c r="H767" t="s">
        <v>1605</v>
      </c>
      <c r="I767" t="s">
        <v>90</v>
      </c>
      <c r="J767">
        <v>229.97</v>
      </c>
      <c r="K767">
        <v>7</v>
      </c>
      <c r="L767" t="s">
        <v>35</v>
      </c>
      <c r="M767">
        <v>3</v>
      </c>
      <c r="N767">
        <v>4</v>
      </c>
      <c r="O767">
        <v>0</v>
      </c>
      <c r="P767" t="s">
        <v>36</v>
      </c>
      <c r="Q767" t="s">
        <v>85</v>
      </c>
      <c r="R767">
        <v>2</v>
      </c>
      <c r="S767">
        <v>9</v>
      </c>
      <c r="T767" t="s">
        <v>36</v>
      </c>
      <c r="U767" t="s">
        <v>79</v>
      </c>
      <c r="V767" t="s">
        <v>66</v>
      </c>
      <c r="W767" s="1">
        <v>45617</v>
      </c>
      <c r="X767" t="b">
        <v>0</v>
      </c>
      <c r="Y767" t="b">
        <v>1</v>
      </c>
      <c r="Z767" t="s">
        <v>40</v>
      </c>
      <c r="AA767" t="s">
        <v>53</v>
      </c>
      <c r="AB767">
        <v>6</v>
      </c>
    </row>
    <row r="768" spans="1:28" x14ac:dyDescent="0.25">
      <c r="A768" t="s">
        <v>1606</v>
      </c>
      <c r="B768">
        <v>28</v>
      </c>
      <c r="C768" t="s">
        <v>29</v>
      </c>
      <c r="D768" t="s">
        <v>30</v>
      </c>
      <c r="E768" t="s">
        <v>69</v>
      </c>
      <c r="F768" t="s">
        <v>32</v>
      </c>
      <c r="G768" t="s">
        <v>30</v>
      </c>
      <c r="H768" t="s">
        <v>1607</v>
      </c>
      <c r="I768" t="s">
        <v>65</v>
      </c>
      <c r="J768">
        <v>226.53</v>
      </c>
      <c r="K768">
        <v>3</v>
      </c>
      <c r="L768" t="s">
        <v>78</v>
      </c>
      <c r="M768">
        <v>3</v>
      </c>
      <c r="N768">
        <v>1</v>
      </c>
      <c r="O768">
        <v>1</v>
      </c>
      <c r="P768" t="s">
        <v>44</v>
      </c>
      <c r="Q768" t="s">
        <v>50</v>
      </c>
      <c r="R768">
        <v>1</v>
      </c>
      <c r="S768">
        <v>10</v>
      </c>
      <c r="T768" t="s">
        <v>49</v>
      </c>
      <c r="U768" t="s">
        <v>79</v>
      </c>
      <c r="V768" t="s">
        <v>51</v>
      </c>
      <c r="W768" s="1">
        <v>45506</v>
      </c>
      <c r="X768" t="b">
        <v>1</v>
      </c>
      <c r="Y768" t="b">
        <v>0</v>
      </c>
      <c r="Z768" t="s">
        <v>52</v>
      </c>
      <c r="AA768" t="s">
        <v>41</v>
      </c>
      <c r="AB768">
        <v>13</v>
      </c>
    </row>
    <row r="769" spans="1:28" x14ac:dyDescent="0.25">
      <c r="A769" t="s">
        <v>1608</v>
      </c>
      <c r="B769">
        <v>23</v>
      </c>
      <c r="C769" t="s">
        <v>43</v>
      </c>
      <c r="D769" t="s">
        <v>44</v>
      </c>
      <c r="E769" t="s">
        <v>76</v>
      </c>
      <c r="F769" t="s">
        <v>56</v>
      </c>
      <c r="G769" t="s">
        <v>30</v>
      </c>
      <c r="H769" t="s">
        <v>1609</v>
      </c>
      <c r="I769" t="s">
        <v>120</v>
      </c>
      <c r="J769">
        <v>218.32</v>
      </c>
      <c r="K769">
        <v>2</v>
      </c>
      <c r="L769" t="s">
        <v>35</v>
      </c>
      <c r="M769">
        <v>5</v>
      </c>
      <c r="N769">
        <v>3</v>
      </c>
      <c r="O769">
        <v>0</v>
      </c>
      <c r="P769" t="s">
        <v>44</v>
      </c>
      <c r="Q769" t="s">
        <v>50</v>
      </c>
      <c r="R769">
        <v>2</v>
      </c>
      <c r="S769">
        <v>7</v>
      </c>
      <c r="T769" t="s">
        <v>59</v>
      </c>
      <c r="U769" t="s">
        <v>79</v>
      </c>
      <c r="V769" t="s">
        <v>51</v>
      </c>
      <c r="W769" s="1">
        <v>45559</v>
      </c>
      <c r="X769" t="b">
        <v>0</v>
      </c>
      <c r="Y769" t="b">
        <v>0</v>
      </c>
      <c r="Z769" t="s">
        <v>40</v>
      </c>
      <c r="AA769" t="s">
        <v>67</v>
      </c>
      <c r="AB769">
        <v>3</v>
      </c>
    </row>
    <row r="770" spans="1:28" x14ac:dyDescent="0.25">
      <c r="A770" t="s">
        <v>1610</v>
      </c>
      <c r="B770">
        <v>48</v>
      </c>
      <c r="C770" t="s">
        <v>29</v>
      </c>
      <c r="D770" t="s">
        <v>44</v>
      </c>
      <c r="E770" t="s">
        <v>69</v>
      </c>
      <c r="F770" t="s">
        <v>45</v>
      </c>
      <c r="G770" t="s">
        <v>44</v>
      </c>
      <c r="H770" t="s">
        <v>1611</v>
      </c>
      <c r="I770" t="s">
        <v>71</v>
      </c>
      <c r="J770">
        <v>132.66999999999999</v>
      </c>
      <c r="K770">
        <v>7</v>
      </c>
      <c r="L770" t="s">
        <v>48</v>
      </c>
      <c r="M770">
        <v>2</v>
      </c>
      <c r="N770">
        <v>5</v>
      </c>
      <c r="O770">
        <v>1</v>
      </c>
      <c r="P770" t="s">
        <v>59</v>
      </c>
      <c r="Q770" t="s">
        <v>85</v>
      </c>
      <c r="R770">
        <v>2</v>
      </c>
      <c r="S770">
        <v>3</v>
      </c>
      <c r="T770" t="s">
        <v>59</v>
      </c>
      <c r="U770" t="s">
        <v>60</v>
      </c>
      <c r="V770" t="s">
        <v>66</v>
      </c>
      <c r="W770" s="1">
        <v>45644</v>
      </c>
      <c r="X770" t="b">
        <v>1</v>
      </c>
      <c r="Y770" t="b">
        <v>0</v>
      </c>
      <c r="Z770" t="s">
        <v>62</v>
      </c>
      <c r="AA770" t="s">
        <v>67</v>
      </c>
      <c r="AB770">
        <v>1</v>
      </c>
    </row>
    <row r="771" spans="1:28" x14ac:dyDescent="0.25">
      <c r="A771" t="s">
        <v>1612</v>
      </c>
      <c r="B771">
        <v>26</v>
      </c>
      <c r="C771" t="s">
        <v>43</v>
      </c>
      <c r="D771" t="s">
        <v>44</v>
      </c>
      <c r="E771" t="s">
        <v>55</v>
      </c>
      <c r="F771" t="s">
        <v>56</v>
      </c>
      <c r="G771" t="s">
        <v>44</v>
      </c>
      <c r="H771" t="s">
        <v>1613</v>
      </c>
      <c r="I771" t="s">
        <v>135</v>
      </c>
      <c r="J771">
        <v>416.96</v>
      </c>
      <c r="K771">
        <v>7</v>
      </c>
      <c r="L771" t="s">
        <v>48</v>
      </c>
      <c r="M771">
        <v>5</v>
      </c>
      <c r="N771">
        <v>1</v>
      </c>
      <c r="O771">
        <v>1</v>
      </c>
      <c r="P771" t="s">
        <v>44</v>
      </c>
      <c r="Q771" t="s">
        <v>50</v>
      </c>
      <c r="R771">
        <v>0</v>
      </c>
      <c r="S771">
        <v>1</v>
      </c>
      <c r="T771" t="s">
        <v>44</v>
      </c>
      <c r="U771" t="s">
        <v>38</v>
      </c>
      <c r="V771" t="s">
        <v>66</v>
      </c>
      <c r="W771" s="1">
        <v>45437</v>
      </c>
      <c r="X771" t="b">
        <v>0</v>
      </c>
      <c r="Y771" t="b">
        <v>0</v>
      </c>
      <c r="Z771" t="s">
        <v>74</v>
      </c>
      <c r="AA771" t="s">
        <v>67</v>
      </c>
      <c r="AB771">
        <v>7</v>
      </c>
    </row>
    <row r="772" spans="1:28" x14ac:dyDescent="0.25">
      <c r="A772" t="s">
        <v>1614</v>
      </c>
      <c r="B772">
        <v>39</v>
      </c>
      <c r="C772" t="s">
        <v>29</v>
      </c>
      <c r="D772" t="s">
        <v>44</v>
      </c>
      <c r="E772" t="s">
        <v>31</v>
      </c>
      <c r="F772" t="s">
        <v>56</v>
      </c>
      <c r="G772" t="s">
        <v>30</v>
      </c>
      <c r="H772" t="s">
        <v>1615</v>
      </c>
      <c r="I772" t="s">
        <v>135</v>
      </c>
      <c r="J772">
        <v>459.51</v>
      </c>
      <c r="K772">
        <v>7</v>
      </c>
      <c r="L772" t="s">
        <v>48</v>
      </c>
      <c r="M772">
        <v>1</v>
      </c>
      <c r="N772">
        <v>2</v>
      </c>
      <c r="O772">
        <v>2</v>
      </c>
      <c r="P772" t="s">
        <v>44</v>
      </c>
      <c r="Q772" t="s">
        <v>50</v>
      </c>
      <c r="R772">
        <v>0</v>
      </c>
      <c r="S772">
        <v>5</v>
      </c>
      <c r="T772" t="s">
        <v>49</v>
      </c>
      <c r="U772" t="s">
        <v>38</v>
      </c>
      <c r="V772" t="s">
        <v>61</v>
      </c>
      <c r="W772" s="1">
        <v>45296</v>
      </c>
      <c r="X772" t="b">
        <v>1</v>
      </c>
      <c r="Y772" t="b">
        <v>0</v>
      </c>
      <c r="Z772" t="s">
        <v>40</v>
      </c>
      <c r="AA772" t="s">
        <v>41</v>
      </c>
      <c r="AB772">
        <v>11</v>
      </c>
    </row>
    <row r="773" spans="1:28" x14ac:dyDescent="0.25">
      <c r="A773" t="s">
        <v>1616</v>
      </c>
      <c r="B773">
        <v>45</v>
      </c>
      <c r="C773" t="s">
        <v>43</v>
      </c>
      <c r="D773" t="s">
        <v>30</v>
      </c>
      <c r="E773" t="s">
        <v>31</v>
      </c>
      <c r="F773" t="s">
        <v>45</v>
      </c>
      <c r="G773" t="s">
        <v>44</v>
      </c>
      <c r="H773" t="s">
        <v>1617</v>
      </c>
      <c r="I773" t="s">
        <v>90</v>
      </c>
      <c r="J773">
        <v>487.96</v>
      </c>
      <c r="K773">
        <v>2</v>
      </c>
      <c r="L773" t="s">
        <v>35</v>
      </c>
      <c r="M773">
        <v>5</v>
      </c>
      <c r="N773">
        <v>3</v>
      </c>
      <c r="O773">
        <v>2</v>
      </c>
      <c r="P773" t="s">
        <v>59</v>
      </c>
      <c r="Q773" t="s">
        <v>85</v>
      </c>
      <c r="R773">
        <v>0</v>
      </c>
      <c r="S773">
        <v>2</v>
      </c>
      <c r="T773" t="s">
        <v>36</v>
      </c>
      <c r="U773" t="s">
        <v>79</v>
      </c>
      <c r="V773" t="s">
        <v>51</v>
      </c>
      <c r="W773" s="1">
        <v>45366</v>
      </c>
      <c r="X773" t="b">
        <v>1</v>
      </c>
      <c r="Y773" t="b">
        <v>1</v>
      </c>
      <c r="Z773" t="s">
        <v>40</v>
      </c>
      <c r="AA773" t="s">
        <v>41</v>
      </c>
      <c r="AB773">
        <v>12</v>
      </c>
    </row>
    <row r="774" spans="1:28" x14ac:dyDescent="0.25">
      <c r="A774" t="s">
        <v>1618</v>
      </c>
      <c r="B774">
        <v>22</v>
      </c>
      <c r="C774" t="s">
        <v>43</v>
      </c>
      <c r="D774" t="s">
        <v>30</v>
      </c>
      <c r="E774" t="s">
        <v>76</v>
      </c>
      <c r="F774" t="s">
        <v>45</v>
      </c>
      <c r="G774" t="s">
        <v>44</v>
      </c>
      <c r="H774" t="s">
        <v>1619</v>
      </c>
      <c r="I774" t="s">
        <v>126</v>
      </c>
      <c r="J774">
        <v>150.11000000000001</v>
      </c>
      <c r="K774">
        <v>7</v>
      </c>
      <c r="L774" t="s">
        <v>35</v>
      </c>
      <c r="M774">
        <v>4</v>
      </c>
      <c r="N774">
        <v>4</v>
      </c>
      <c r="O774">
        <v>1.5</v>
      </c>
      <c r="P774" t="s">
        <v>59</v>
      </c>
      <c r="Q774" t="s">
        <v>85</v>
      </c>
      <c r="R774">
        <v>0</v>
      </c>
      <c r="S774">
        <v>3</v>
      </c>
      <c r="T774" t="s">
        <v>44</v>
      </c>
      <c r="U774" t="s">
        <v>60</v>
      </c>
      <c r="V774" t="s">
        <v>39</v>
      </c>
      <c r="W774" s="1">
        <v>45496</v>
      </c>
      <c r="X774" t="b">
        <v>1</v>
      </c>
      <c r="Y774" t="b">
        <v>0</v>
      </c>
      <c r="Z774" t="s">
        <v>52</v>
      </c>
      <c r="AA774" t="s">
        <v>53</v>
      </c>
      <c r="AB774">
        <v>8</v>
      </c>
    </row>
    <row r="775" spans="1:28" x14ac:dyDescent="0.25">
      <c r="A775" t="s">
        <v>1620</v>
      </c>
      <c r="B775">
        <v>36</v>
      </c>
      <c r="C775" t="s">
        <v>43</v>
      </c>
      <c r="D775" t="s">
        <v>44</v>
      </c>
      <c r="E775" t="s">
        <v>31</v>
      </c>
      <c r="F775" t="s">
        <v>45</v>
      </c>
      <c r="G775" t="s">
        <v>30</v>
      </c>
      <c r="H775" t="s">
        <v>1621</v>
      </c>
      <c r="I775" t="s">
        <v>107</v>
      </c>
      <c r="J775">
        <v>218.87</v>
      </c>
      <c r="K775">
        <v>5</v>
      </c>
      <c r="L775" t="s">
        <v>35</v>
      </c>
      <c r="M775">
        <v>4</v>
      </c>
      <c r="N775">
        <v>3</v>
      </c>
      <c r="O775">
        <v>0</v>
      </c>
      <c r="P775" t="s">
        <v>49</v>
      </c>
      <c r="Q775" t="s">
        <v>85</v>
      </c>
      <c r="R775">
        <v>0</v>
      </c>
      <c r="S775">
        <v>4</v>
      </c>
      <c r="T775" t="s">
        <v>49</v>
      </c>
      <c r="U775" t="s">
        <v>60</v>
      </c>
      <c r="V775" t="s">
        <v>86</v>
      </c>
      <c r="W775" s="1">
        <v>45553</v>
      </c>
      <c r="X775" t="b">
        <v>1</v>
      </c>
      <c r="Y775" t="b">
        <v>0</v>
      </c>
      <c r="Z775" t="s">
        <v>74</v>
      </c>
      <c r="AA775" t="s">
        <v>41</v>
      </c>
      <c r="AB775">
        <v>11</v>
      </c>
    </row>
    <row r="776" spans="1:28" x14ac:dyDescent="0.25">
      <c r="A776" t="s">
        <v>1622</v>
      </c>
      <c r="B776">
        <v>29</v>
      </c>
      <c r="C776" t="s">
        <v>29</v>
      </c>
      <c r="D776" t="s">
        <v>30</v>
      </c>
      <c r="E776" t="s">
        <v>31</v>
      </c>
      <c r="F776" t="s">
        <v>32</v>
      </c>
      <c r="G776" t="s">
        <v>44</v>
      </c>
      <c r="H776" t="s">
        <v>1623</v>
      </c>
      <c r="I776" t="s">
        <v>93</v>
      </c>
      <c r="J776">
        <v>437.06</v>
      </c>
      <c r="K776">
        <v>7</v>
      </c>
      <c r="L776" t="s">
        <v>48</v>
      </c>
      <c r="M776">
        <v>3</v>
      </c>
      <c r="N776">
        <v>5</v>
      </c>
      <c r="O776">
        <v>2</v>
      </c>
      <c r="P776" t="s">
        <v>59</v>
      </c>
      <c r="Q776" t="s">
        <v>85</v>
      </c>
      <c r="R776">
        <v>0</v>
      </c>
      <c r="S776">
        <v>6</v>
      </c>
      <c r="T776" t="s">
        <v>59</v>
      </c>
      <c r="U776" t="s">
        <v>60</v>
      </c>
      <c r="V776" t="s">
        <v>86</v>
      </c>
      <c r="W776" s="1">
        <v>45360</v>
      </c>
      <c r="X776" t="b">
        <v>0</v>
      </c>
      <c r="Y776" t="b">
        <v>0</v>
      </c>
      <c r="Z776" t="s">
        <v>62</v>
      </c>
      <c r="AA776" t="s">
        <v>67</v>
      </c>
      <c r="AB776">
        <v>11</v>
      </c>
    </row>
    <row r="777" spans="1:28" x14ac:dyDescent="0.25">
      <c r="A777" t="s">
        <v>1624</v>
      </c>
      <c r="B777">
        <v>33</v>
      </c>
      <c r="C777" t="s">
        <v>43</v>
      </c>
      <c r="D777" t="s">
        <v>44</v>
      </c>
      <c r="E777" t="s">
        <v>31</v>
      </c>
      <c r="F777" t="s">
        <v>32</v>
      </c>
      <c r="G777" t="s">
        <v>44</v>
      </c>
      <c r="H777" t="s">
        <v>1625</v>
      </c>
      <c r="I777" t="s">
        <v>188</v>
      </c>
      <c r="J777">
        <v>122.58</v>
      </c>
      <c r="K777">
        <v>2</v>
      </c>
      <c r="L777" t="s">
        <v>48</v>
      </c>
      <c r="M777">
        <v>5</v>
      </c>
      <c r="N777">
        <v>4</v>
      </c>
      <c r="O777">
        <v>1.5</v>
      </c>
      <c r="P777" t="s">
        <v>59</v>
      </c>
      <c r="Q777" t="s">
        <v>50</v>
      </c>
      <c r="R777">
        <v>2</v>
      </c>
      <c r="S777">
        <v>5</v>
      </c>
      <c r="T777" t="s">
        <v>36</v>
      </c>
      <c r="U777" t="s">
        <v>38</v>
      </c>
      <c r="V777" t="s">
        <v>66</v>
      </c>
      <c r="W777" s="1">
        <v>45320</v>
      </c>
      <c r="X777" t="b">
        <v>1</v>
      </c>
      <c r="Y777" t="b">
        <v>0</v>
      </c>
      <c r="Z777" t="s">
        <v>62</v>
      </c>
      <c r="AA777" t="s">
        <v>67</v>
      </c>
      <c r="AB777">
        <v>12</v>
      </c>
    </row>
    <row r="778" spans="1:28" x14ac:dyDescent="0.25">
      <c r="A778" t="s">
        <v>1626</v>
      </c>
      <c r="B778">
        <v>35</v>
      </c>
      <c r="C778" t="s">
        <v>43</v>
      </c>
      <c r="D778" t="s">
        <v>44</v>
      </c>
      <c r="E778" t="s">
        <v>31</v>
      </c>
      <c r="F778" t="s">
        <v>56</v>
      </c>
      <c r="G778" t="s">
        <v>30</v>
      </c>
      <c r="H778" t="s">
        <v>1627</v>
      </c>
      <c r="I778" t="s">
        <v>47</v>
      </c>
      <c r="J778">
        <v>195.07</v>
      </c>
      <c r="K778">
        <v>8</v>
      </c>
      <c r="L778" t="s">
        <v>78</v>
      </c>
      <c r="M778">
        <v>3</v>
      </c>
      <c r="N778">
        <v>1</v>
      </c>
      <c r="O778">
        <v>1</v>
      </c>
      <c r="P778" t="s">
        <v>44</v>
      </c>
      <c r="Q778" t="s">
        <v>37</v>
      </c>
      <c r="R778">
        <v>0</v>
      </c>
      <c r="S778">
        <v>6</v>
      </c>
      <c r="T778" t="s">
        <v>36</v>
      </c>
      <c r="U778" t="s">
        <v>60</v>
      </c>
      <c r="V778" t="s">
        <v>61</v>
      </c>
      <c r="W778" s="1">
        <v>45495</v>
      </c>
      <c r="X778" t="b">
        <v>0</v>
      </c>
      <c r="Y778" t="b">
        <v>0</v>
      </c>
      <c r="Z778" t="s">
        <v>62</v>
      </c>
      <c r="AA778" t="s">
        <v>41</v>
      </c>
      <c r="AB778">
        <v>10</v>
      </c>
    </row>
    <row r="779" spans="1:28" x14ac:dyDescent="0.25">
      <c r="A779" t="s">
        <v>1628</v>
      </c>
      <c r="B779">
        <v>39</v>
      </c>
      <c r="C779" t="s">
        <v>29</v>
      </c>
      <c r="D779" t="s">
        <v>30</v>
      </c>
      <c r="E779" t="s">
        <v>55</v>
      </c>
      <c r="F779" t="s">
        <v>45</v>
      </c>
      <c r="G779" t="s">
        <v>44</v>
      </c>
      <c r="H779" t="s">
        <v>1629</v>
      </c>
      <c r="I779" t="s">
        <v>82</v>
      </c>
      <c r="J779">
        <v>190.06</v>
      </c>
      <c r="K779">
        <v>9</v>
      </c>
      <c r="L779" t="s">
        <v>48</v>
      </c>
      <c r="M779">
        <v>5</v>
      </c>
      <c r="N779">
        <v>1</v>
      </c>
      <c r="O779">
        <v>1</v>
      </c>
      <c r="P779" t="s">
        <v>36</v>
      </c>
      <c r="Q779" t="s">
        <v>37</v>
      </c>
      <c r="R779">
        <v>1</v>
      </c>
      <c r="S779">
        <v>2</v>
      </c>
      <c r="T779" t="s">
        <v>59</v>
      </c>
      <c r="U779" t="s">
        <v>60</v>
      </c>
      <c r="V779" t="s">
        <v>66</v>
      </c>
      <c r="W779" s="1">
        <v>45325</v>
      </c>
      <c r="X779" t="b">
        <v>1</v>
      </c>
      <c r="Y779" t="b">
        <v>1</v>
      </c>
      <c r="Z779" t="s">
        <v>74</v>
      </c>
      <c r="AA779" t="s">
        <v>53</v>
      </c>
      <c r="AB779">
        <v>12</v>
      </c>
    </row>
    <row r="780" spans="1:28" x14ac:dyDescent="0.25">
      <c r="A780" t="s">
        <v>1630</v>
      </c>
      <c r="B780">
        <v>38</v>
      </c>
      <c r="C780" t="s">
        <v>29</v>
      </c>
      <c r="D780" t="s">
        <v>30</v>
      </c>
      <c r="E780" t="s">
        <v>55</v>
      </c>
      <c r="F780" t="s">
        <v>45</v>
      </c>
      <c r="G780" t="s">
        <v>30</v>
      </c>
      <c r="H780" t="s">
        <v>1631</v>
      </c>
      <c r="I780" t="s">
        <v>158</v>
      </c>
      <c r="J780">
        <v>485.76</v>
      </c>
      <c r="K780">
        <v>10</v>
      </c>
      <c r="L780" t="s">
        <v>48</v>
      </c>
      <c r="M780">
        <v>3</v>
      </c>
      <c r="N780">
        <v>4</v>
      </c>
      <c r="O780">
        <v>0</v>
      </c>
      <c r="P780" t="s">
        <v>49</v>
      </c>
      <c r="Q780" t="s">
        <v>37</v>
      </c>
      <c r="R780">
        <v>0</v>
      </c>
      <c r="S780">
        <v>4</v>
      </c>
      <c r="T780" t="s">
        <v>44</v>
      </c>
      <c r="U780" t="s">
        <v>79</v>
      </c>
      <c r="V780" t="s">
        <v>61</v>
      </c>
      <c r="W780" s="1">
        <v>45446</v>
      </c>
      <c r="X780" t="b">
        <v>1</v>
      </c>
      <c r="Y780" t="b">
        <v>1</v>
      </c>
      <c r="Z780" t="s">
        <v>52</v>
      </c>
      <c r="AA780" t="s">
        <v>41</v>
      </c>
      <c r="AB780">
        <v>4</v>
      </c>
    </row>
    <row r="781" spans="1:28" x14ac:dyDescent="0.25">
      <c r="A781" t="s">
        <v>1632</v>
      </c>
      <c r="B781">
        <v>27</v>
      </c>
      <c r="C781" t="s">
        <v>29</v>
      </c>
      <c r="D781" t="s">
        <v>44</v>
      </c>
      <c r="E781" t="s">
        <v>55</v>
      </c>
      <c r="F781" t="s">
        <v>32</v>
      </c>
      <c r="G781" t="s">
        <v>44</v>
      </c>
      <c r="H781" t="s">
        <v>1633</v>
      </c>
      <c r="I781" t="s">
        <v>82</v>
      </c>
      <c r="J781">
        <v>242.57</v>
      </c>
      <c r="K781">
        <v>7</v>
      </c>
      <c r="L781" t="s">
        <v>48</v>
      </c>
      <c r="M781">
        <v>1</v>
      </c>
      <c r="N781">
        <v>1</v>
      </c>
      <c r="O781">
        <v>1</v>
      </c>
      <c r="P781" t="s">
        <v>59</v>
      </c>
      <c r="Q781" t="s">
        <v>50</v>
      </c>
      <c r="R781">
        <v>0</v>
      </c>
      <c r="S781">
        <v>10</v>
      </c>
      <c r="T781" t="s">
        <v>59</v>
      </c>
      <c r="U781" t="s">
        <v>60</v>
      </c>
      <c r="V781" t="s">
        <v>51</v>
      </c>
      <c r="W781" s="1">
        <v>45570</v>
      </c>
      <c r="X781" t="b">
        <v>1</v>
      </c>
      <c r="Y781" t="b">
        <v>0</v>
      </c>
      <c r="Z781" t="s">
        <v>52</v>
      </c>
      <c r="AA781" t="s">
        <v>41</v>
      </c>
      <c r="AB781">
        <v>1</v>
      </c>
    </row>
    <row r="782" spans="1:28" x14ac:dyDescent="0.25">
      <c r="A782" t="s">
        <v>1634</v>
      </c>
      <c r="B782">
        <v>35</v>
      </c>
      <c r="C782" t="s">
        <v>43</v>
      </c>
      <c r="D782" t="s">
        <v>30</v>
      </c>
      <c r="E782" t="s">
        <v>69</v>
      </c>
      <c r="F782" t="s">
        <v>45</v>
      </c>
      <c r="G782" t="s">
        <v>44</v>
      </c>
      <c r="H782" t="s">
        <v>1635</v>
      </c>
      <c r="I782" t="s">
        <v>135</v>
      </c>
      <c r="J782">
        <v>303.13</v>
      </c>
      <c r="K782">
        <v>2</v>
      </c>
      <c r="L782" t="s">
        <v>78</v>
      </c>
      <c r="M782">
        <v>1</v>
      </c>
      <c r="N782">
        <v>1</v>
      </c>
      <c r="O782">
        <v>1</v>
      </c>
      <c r="P782" t="s">
        <v>44</v>
      </c>
      <c r="Q782" t="s">
        <v>50</v>
      </c>
      <c r="R782">
        <v>0</v>
      </c>
      <c r="S782">
        <v>7</v>
      </c>
      <c r="T782" t="s">
        <v>49</v>
      </c>
      <c r="U782" t="s">
        <v>79</v>
      </c>
      <c r="V782" t="s">
        <v>61</v>
      </c>
      <c r="W782" s="1">
        <v>45295</v>
      </c>
      <c r="X782" t="b">
        <v>0</v>
      </c>
      <c r="Y782" t="b">
        <v>1</v>
      </c>
      <c r="Z782" t="s">
        <v>40</v>
      </c>
      <c r="AA782" t="s">
        <v>53</v>
      </c>
      <c r="AB782">
        <v>10</v>
      </c>
    </row>
    <row r="783" spans="1:28" x14ac:dyDescent="0.25">
      <c r="A783" t="s">
        <v>1636</v>
      </c>
      <c r="B783">
        <v>43</v>
      </c>
      <c r="C783" t="s">
        <v>29</v>
      </c>
      <c r="D783" t="s">
        <v>30</v>
      </c>
      <c r="E783" t="s">
        <v>69</v>
      </c>
      <c r="F783" t="s">
        <v>56</v>
      </c>
      <c r="G783" t="s">
        <v>30</v>
      </c>
      <c r="H783" t="s">
        <v>1637</v>
      </c>
      <c r="I783" t="s">
        <v>126</v>
      </c>
      <c r="J783">
        <v>136.1</v>
      </c>
      <c r="K783">
        <v>5</v>
      </c>
      <c r="L783" t="s">
        <v>48</v>
      </c>
      <c r="M783">
        <v>3</v>
      </c>
      <c r="N783">
        <v>5</v>
      </c>
      <c r="O783">
        <v>2</v>
      </c>
      <c r="P783" t="s">
        <v>59</v>
      </c>
      <c r="Q783" t="s">
        <v>85</v>
      </c>
      <c r="R783">
        <v>0</v>
      </c>
      <c r="S783">
        <v>2</v>
      </c>
      <c r="T783" t="s">
        <v>44</v>
      </c>
      <c r="U783" t="s">
        <v>38</v>
      </c>
      <c r="V783" t="s">
        <v>61</v>
      </c>
      <c r="W783" s="1">
        <v>45349</v>
      </c>
      <c r="X783" t="b">
        <v>0</v>
      </c>
      <c r="Y783" t="b">
        <v>1</v>
      </c>
      <c r="Z783" t="s">
        <v>74</v>
      </c>
      <c r="AA783" t="s">
        <v>67</v>
      </c>
      <c r="AB783">
        <v>14</v>
      </c>
    </row>
    <row r="784" spans="1:28" x14ac:dyDescent="0.25">
      <c r="A784" t="s">
        <v>1638</v>
      </c>
      <c r="B784">
        <v>40</v>
      </c>
      <c r="C784" t="s">
        <v>88</v>
      </c>
      <c r="D784" t="s">
        <v>44</v>
      </c>
      <c r="E784" t="s">
        <v>55</v>
      </c>
      <c r="F784" t="s">
        <v>32</v>
      </c>
      <c r="G784" t="s">
        <v>30</v>
      </c>
      <c r="H784" t="s">
        <v>1639</v>
      </c>
      <c r="I784" t="s">
        <v>117</v>
      </c>
      <c r="J784">
        <v>249.02</v>
      </c>
      <c r="K784">
        <v>11</v>
      </c>
      <c r="L784" t="s">
        <v>35</v>
      </c>
      <c r="M784">
        <v>3</v>
      </c>
      <c r="N784">
        <v>2</v>
      </c>
      <c r="O784">
        <v>0.3</v>
      </c>
      <c r="P784" t="s">
        <v>49</v>
      </c>
      <c r="Q784" t="s">
        <v>50</v>
      </c>
      <c r="R784">
        <v>1</v>
      </c>
      <c r="S784">
        <v>1</v>
      </c>
      <c r="T784" t="s">
        <v>49</v>
      </c>
      <c r="U784" t="s">
        <v>60</v>
      </c>
      <c r="V784" t="s">
        <v>51</v>
      </c>
      <c r="W784" s="1">
        <v>45566</v>
      </c>
      <c r="X784" t="b">
        <v>1</v>
      </c>
      <c r="Y784" t="b">
        <v>1</v>
      </c>
      <c r="Z784" t="s">
        <v>74</v>
      </c>
      <c r="AA784" t="s">
        <v>67</v>
      </c>
      <c r="AB784">
        <v>14</v>
      </c>
    </row>
    <row r="785" spans="1:28" x14ac:dyDescent="0.25">
      <c r="A785" t="s">
        <v>1640</v>
      </c>
      <c r="B785">
        <v>19</v>
      </c>
      <c r="C785" t="s">
        <v>43</v>
      </c>
      <c r="D785" t="s">
        <v>30</v>
      </c>
      <c r="E785" t="s">
        <v>76</v>
      </c>
      <c r="F785" t="s">
        <v>45</v>
      </c>
      <c r="G785" t="s">
        <v>30</v>
      </c>
      <c r="H785" t="s">
        <v>1641</v>
      </c>
      <c r="I785" t="s">
        <v>58</v>
      </c>
      <c r="J785">
        <v>466.74</v>
      </c>
      <c r="K785">
        <v>7</v>
      </c>
      <c r="L785" t="s">
        <v>48</v>
      </c>
      <c r="M785">
        <v>3</v>
      </c>
      <c r="N785">
        <v>4</v>
      </c>
      <c r="O785">
        <v>0.2</v>
      </c>
      <c r="P785" t="s">
        <v>49</v>
      </c>
      <c r="Q785" t="s">
        <v>50</v>
      </c>
      <c r="R785">
        <v>2</v>
      </c>
      <c r="S785">
        <v>3</v>
      </c>
      <c r="T785" t="s">
        <v>44</v>
      </c>
      <c r="U785" t="s">
        <v>38</v>
      </c>
      <c r="V785" t="s">
        <v>61</v>
      </c>
      <c r="W785" s="1">
        <v>45637</v>
      </c>
      <c r="X785" t="b">
        <v>1</v>
      </c>
      <c r="Y785" t="b">
        <v>1</v>
      </c>
      <c r="Z785" t="s">
        <v>40</v>
      </c>
      <c r="AA785" t="s">
        <v>67</v>
      </c>
      <c r="AB785">
        <v>5</v>
      </c>
    </row>
    <row r="786" spans="1:28" x14ac:dyDescent="0.25">
      <c r="A786" t="s">
        <v>1642</v>
      </c>
      <c r="B786">
        <v>46</v>
      </c>
      <c r="C786" t="s">
        <v>274</v>
      </c>
      <c r="D786" t="s">
        <v>44</v>
      </c>
      <c r="E786" t="s">
        <v>31</v>
      </c>
      <c r="F786" t="s">
        <v>45</v>
      </c>
      <c r="G786" t="s">
        <v>44</v>
      </c>
      <c r="H786" t="s">
        <v>1643</v>
      </c>
      <c r="I786" t="s">
        <v>101</v>
      </c>
      <c r="J786">
        <v>229.3</v>
      </c>
      <c r="K786">
        <v>6</v>
      </c>
      <c r="L786" t="s">
        <v>48</v>
      </c>
      <c r="M786">
        <v>4</v>
      </c>
      <c r="N786">
        <v>5</v>
      </c>
      <c r="O786">
        <v>2</v>
      </c>
      <c r="P786" t="s">
        <v>36</v>
      </c>
      <c r="Q786" t="s">
        <v>37</v>
      </c>
      <c r="R786">
        <v>0</v>
      </c>
      <c r="S786">
        <v>6</v>
      </c>
      <c r="T786" t="s">
        <v>36</v>
      </c>
      <c r="U786" t="s">
        <v>60</v>
      </c>
      <c r="V786" t="s">
        <v>66</v>
      </c>
      <c r="W786" s="1">
        <v>45621</v>
      </c>
      <c r="X786" t="b">
        <v>0</v>
      </c>
      <c r="Y786" t="b">
        <v>0</v>
      </c>
      <c r="Z786" t="s">
        <v>74</v>
      </c>
      <c r="AA786" t="s">
        <v>67</v>
      </c>
      <c r="AB786">
        <v>6</v>
      </c>
    </row>
    <row r="787" spans="1:28" x14ac:dyDescent="0.25">
      <c r="A787" t="s">
        <v>1644</v>
      </c>
      <c r="B787">
        <v>30</v>
      </c>
      <c r="C787" t="s">
        <v>29</v>
      </c>
      <c r="D787" t="s">
        <v>44</v>
      </c>
      <c r="E787" t="s">
        <v>55</v>
      </c>
      <c r="F787" t="s">
        <v>45</v>
      </c>
      <c r="G787" t="s">
        <v>44</v>
      </c>
      <c r="H787" t="s">
        <v>1645</v>
      </c>
      <c r="I787" t="s">
        <v>114</v>
      </c>
      <c r="J787">
        <v>450.52</v>
      </c>
      <c r="K787">
        <v>8</v>
      </c>
      <c r="L787" t="s">
        <v>78</v>
      </c>
      <c r="M787">
        <v>2</v>
      </c>
      <c r="N787">
        <v>2</v>
      </c>
      <c r="O787">
        <v>0.2</v>
      </c>
      <c r="P787" t="s">
        <v>44</v>
      </c>
      <c r="Q787" t="s">
        <v>37</v>
      </c>
      <c r="R787">
        <v>0</v>
      </c>
      <c r="S787">
        <v>6</v>
      </c>
      <c r="T787" t="s">
        <v>59</v>
      </c>
      <c r="U787" t="s">
        <v>79</v>
      </c>
      <c r="V787" t="s">
        <v>51</v>
      </c>
      <c r="W787" s="1">
        <v>45304</v>
      </c>
      <c r="X787" t="b">
        <v>1</v>
      </c>
      <c r="Y787" t="b">
        <v>1</v>
      </c>
      <c r="Z787" t="s">
        <v>40</v>
      </c>
      <c r="AA787" t="s">
        <v>41</v>
      </c>
      <c r="AB787">
        <v>8</v>
      </c>
    </row>
    <row r="788" spans="1:28" x14ac:dyDescent="0.25">
      <c r="A788" t="s">
        <v>1646</v>
      </c>
      <c r="B788">
        <v>35</v>
      </c>
      <c r="C788" t="s">
        <v>43</v>
      </c>
      <c r="D788" t="s">
        <v>44</v>
      </c>
      <c r="E788" t="s">
        <v>76</v>
      </c>
      <c r="F788" t="s">
        <v>32</v>
      </c>
      <c r="G788" t="s">
        <v>30</v>
      </c>
      <c r="H788" t="s">
        <v>1647</v>
      </c>
      <c r="I788" t="s">
        <v>158</v>
      </c>
      <c r="J788">
        <v>246.44</v>
      </c>
      <c r="K788">
        <v>4</v>
      </c>
      <c r="L788" t="s">
        <v>35</v>
      </c>
      <c r="M788">
        <v>3</v>
      </c>
      <c r="N788">
        <v>1</v>
      </c>
      <c r="O788">
        <v>1</v>
      </c>
      <c r="P788" t="s">
        <v>49</v>
      </c>
      <c r="Q788" t="s">
        <v>37</v>
      </c>
      <c r="R788">
        <v>0</v>
      </c>
      <c r="S788">
        <v>3</v>
      </c>
      <c r="T788" t="s">
        <v>49</v>
      </c>
      <c r="U788" t="s">
        <v>60</v>
      </c>
      <c r="V788" t="s">
        <v>61</v>
      </c>
      <c r="W788" s="1">
        <v>45552</v>
      </c>
      <c r="X788" t="b">
        <v>0</v>
      </c>
      <c r="Y788" t="b">
        <v>1</v>
      </c>
      <c r="Z788" t="s">
        <v>52</v>
      </c>
      <c r="AA788" t="s">
        <v>41</v>
      </c>
      <c r="AB788">
        <v>5</v>
      </c>
    </row>
    <row r="789" spans="1:28" x14ac:dyDescent="0.25">
      <c r="A789" t="s">
        <v>1648</v>
      </c>
      <c r="B789">
        <v>34</v>
      </c>
      <c r="C789" t="s">
        <v>43</v>
      </c>
      <c r="D789" t="s">
        <v>44</v>
      </c>
      <c r="E789" t="s">
        <v>69</v>
      </c>
      <c r="F789" t="s">
        <v>45</v>
      </c>
      <c r="G789" t="s">
        <v>30</v>
      </c>
      <c r="H789" t="s">
        <v>1649</v>
      </c>
      <c r="I789" t="s">
        <v>65</v>
      </c>
      <c r="J789">
        <v>93.52</v>
      </c>
      <c r="K789">
        <v>2</v>
      </c>
      <c r="L789" t="s">
        <v>78</v>
      </c>
      <c r="M789">
        <v>1</v>
      </c>
      <c r="N789">
        <v>5</v>
      </c>
      <c r="O789">
        <v>1</v>
      </c>
      <c r="P789" t="s">
        <v>36</v>
      </c>
      <c r="Q789" t="s">
        <v>37</v>
      </c>
      <c r="R789">
        <v>1</v>
      </c>
      <c r="S789">
        <v>2</v>
      </c>
      <c r="T789" t="s">
        <v>44</v>
      </c>
      <c r="U789" t="s">
        <v>79</v>
      </c>
      <c r="V789" t="s">
        <v>51</v>
      </c>
      <c r="W789" s="1">
        <v>45516</v>
      </c>
      <c r="X789" t="b">
        <v>0</v>
      </c>
      <c r="Y789" t="b">
        <v>1</v>
      </c>
      <c r="Z789" t="s">
        <v>74</v>
      </c>
      <c r="AA789" t="s">
        <v>41</v>
      </c>
      <c r="AB789">
        <v>12</v>
      </c>
    </row>
    <row r="790" spans="1:28" x14ac:dyDescent="0.25">
      <c r="A790" t="s">
        <v>1650</v>
      </c>
      <c r="B790">
        <v>28</v>
      </c>
      <c r="C790" t="s">
        <v>29</v>
      </c>
      <c r="D790" t="s">
        <v>30</v>
      </c>
      <c r="E790" t="s">
        <v>31</v>
      </c>
      <c r="F790" t="s">
        <v>45</v>
      </c>
      <c r="G790" t="s">
        <v>44</v>
      </c>
      <c r="H790" t="s">
        <v>1651</v>
      </c>
      <c r="I790" t="s">
        <v>158</v>
      </c>
      <c r="J790">
        <v>137.75</v>
      </c>
      <c r="K790">
        <v>6</v>
      </c>
      <c r="L790" t="s">
        <v>78</v>
      </c>
      <c r="M790">
        <v>3</v>
      </c>
      <c r="N790">
        <v>3</v>
      </c>
      <c r="O790">
        <v>2</v>
      </c>
      <c r="P790" t="s">
        <v>44</v>
      </c>
      <c r="Q790" t="s">
        <v>85</v>
      </c>
      <c r="R790">
        <v>0</v>
      </c>
      <c r="S790">
        <v>1</v>
      </c>
      <c r="T790" t="s">
        <v>49</v>
      </c>
      <c r="U790" t="s">
        <v>60</v>
      </c>
      <c r="V790" t="s">
        <v>86</v>
      </c>
      <c r="W790" s="1">
        <v>45544</v>
      </c>
      <c r="X790" t="b">
        <v>0</v>
      </c>
      <c r="Y790" t="b">
        <v>1</v>
      </c>
      <c r="Z790" t="s">
        <v>40</v>
      </c>
      <c r="AA790" t="s">
        <v>41</v>
      </c>
      <c r="AB790">
        <v>4</v>
      </c>
    </row>
    <row r="791" spans="1:28" x14ac:dyDescent="0.25">
      <c r="A791" t="s">
        <v>1652</v>
      </c>
      <c r="B791">
        <v>44</v>
      </c>
      <c r="C791" t="s">
        <v>29</v>
      </c>
      <c r="D791" t="s">
        <v>30</v>
      </c>
      <c r="E791" t="s">
        <v>31</v>
      </c>
      <c r="F791" t="s">
        <v>56</v>
      </c>
      <c r="G791" t="s">
        <v>30</v>
      </c>
      <c r="H791" t="s">
        <v>1653</v>
      </c>
      <c r="I791" t="s">
        <v>65</v>
      </c>
      <c r="J791">
        <v>78.64</v>
      </c>
      <c r="K791">
        <v>5</v>
      </c>
      <c r="L791" t="s">
        <v>35</v>
      </c>
      <c r="M791">
        <v>3</v>
      </c>
      <c r="N791">
        <v>4</v>
      </c>
      <c r="O791">
        <v>2</v>
      </c>
      <c r="P791" t="s">
        <v>44</v>
      </c>
      <c r="Q791" t="s">
        <v>37</v>
      </c>
      <c r="R791">
        <v>0</v>
      </c>
      <c r="S791">
        <v>3</v>
      </c>
      <c r="T791" t="s">
        <v>44</v>
      </c>
      <c r="U791" t="s">
        <v>38</v>
      </c>
      <c r="V791" t="s">
        <v>51</v>
      </c>
      <c r="W791" s="1">
        <v>45438</v>
      </c>
      <c r="X791" t="b">
        <v>1</v>
      </c>
      <c r="Y791" t="b">
        <v>0</v>
      </c>
      <c r="Z791" t="s">
        <v>74</v>
      </c>
      <c r="AA791" t="s">
        <v>53</v>
      </c>
      <c r="AB791">
        <v>12</v>
      </c>
    </row>
    <row r="792" spans="1:28" x14ac:dyDescent="0.25">
      <c r="A792" t="s">
        <v>1654</v>
      </c>
      <c r="B792">
        <v>25</v>
      </c>
      <c r="C792" t="s">
        <v>43</v>
      </c>
      <c r="D792" t="s">
        <v>44</v>
      </c>
      <c r="E792" t="s">
        <v>76</v>
      </c>
      <c r="F792" t="s">
        <v>56</v>
      </c>
      <c r="G792" t="s">
        <v>30</v>
      </c>
      <c r="H792" t="s">
        <v>1655</v>
      </c>
      <c r="I792" t="s">
        <v>120</v>
      </c>
      <c r="J792">
        <v>214.82</v>
      </c>
      <c r="K792">
        <v>9</v>
      </c>
      <c r="L792" t="s">
        <v>35</v>
      </c>
      <c r="M792">
        <v>5</v>
      </c>
      <c r="N792">
        <v>4</v>
      </c>
      <c r="O792">
        <v>0.3</v>
      </c>
      <c r="P792" t="s">
        <v>36</v>
      </c>
      <c r="Q792" t="s">
        <v>85</v>
      </c>
      <c r="R792">
        <v>1</v>
      </c>
      <c r="S792">
        <v>9</v>
      </c>
      <c r="T792" t="s">
        <v>49</v>
      </c>
      <c r="U792" t="s">
        <v>38</v>
      </c>
      <c r="V792" t="s">
        <v>66</v>
      </c>
      <c r="W792" s="1">
        <v>45605</v>
      </c>
      <c r="X792" t="b">
        <v>1</v>
      </c>
      <c r="Y792" t="b">
        <v>0</v>
      </c>
      <c r="Z792" t="s">
        <v>74</v>
      </c>
      <c r="AA792" t="s">
        <v>41</v>
      </c>
      <c r="AB792">
        <v>11</v>
      </c>
    </row>
    <row r="793" spans="1:28" x14ac:dyDescent="0.25">
      <c r="A793" t="s">
        <v>1656</v>
      </c>
      <c r="B793">
        <v>45</v>
      </c>
      <c r="C793" t="s">
        <v>43</v>
      </c>
      <c r="D793" t="s">
        <v>30</v>
      </c>
      <c r="E793" t="s">
        <v>31</v>
      </c>
      <c r="F793" t="s">
        <v>32</v>
      </c>
      <c r="G793" t="s">
        <v>44</v>
      </c>
      <c r="H793" t="s">
        <v>1657</v>
      </c>
      <c r="I793" t="s">
        <v>93</v>
      </c>
      <c r="J793">
        <v>57.39</v>
      </c>
      <c r="K793">
        <v>3</v>
      </c>
      <c r="L793" t="s">
        <v>35</v>
      </c>
      <c r="M793">
        <v>2</v>
      </c>
      <c r="N793">
        <v>5</v>
      </c>
      <c r="O793">
        <v>0.25</v>
      </c>
      <c r="P793" t="s">
        <v>36</v>
      </c>
      <c r="Q793" t="s">
        <v>37</v>
      </c>
      <c r="R793">
        <v>0</v>
      </c>
      <c r="S793">
        <v>10</v>
      </c>
      <c r="T793" t="s">
        <v>49</v>
      </c>
      <c r="U793" t="s">
        <v>79</v>
      </c>
      <c r="V793" t="s">
        <v>39</v>
      </c>
      <c r="W793" s="1">
        <v>45492</v>
      </c>
      <c r="X793" t="b">
        <v>0</v>
      </c>
      <c r="Y793" t="b">
        <v>0</v>
      </c>
      <c r="Z793" t="s">
        <v>62</v>
      </c>
      <c r="AA793" t="s">
        <v>53</v>
      </c>
      <c r="AB793">
        <v>3</v>
      </c>
    </row>
    <row r="794" spans="1:28" x14ac:dyDescent="0.25">
      <c r="A794" t="s">
        <v>1658</v>
      </c>
      <c r="B794">
        <v>47</v>
      </c>
      <c r="C794" t="s">
        <v>29</v>
      </c>
      <c r="D794" t="s">
        <v>44</v>
      </c>
      <c r="E794" t="s">
        <v>55</v>
      </c>
      <c r="F794" t="s">
        <v>45</v>
      </c>
      <c r="G794" t="s">
        <v>30</v>
      </c>
      <c r="H794" t="s">
        <v>311</v>
      </c>
      <c r="I794" t="s">
        <v>188</v>
      </c>
      <c r="J794">
        <v>363.91</v>
      </c>
      <c r="K794">
        <v>10</v>
      </c>
      <c r="L794" t="s">
        <v>78</v>
      </c>
      <c r="M794">
        <v>1</v>
      </c>
      <c r="N794">
        <v>1</v>
      </c>
      <c r="O794">
        <v>0.3</v>
      </c>
      <c r="P794" t="s">
        <v>49</v>
      </c>
      <c r="Q794" t="s">
        <v>85</v>
      </c>
      <c r="R794">
        <v>0</v>
      </c>
      <c r="S794">
        <v>2</v>
      </c>
      <c r="T794" t="s">
        <v>59</v>
      </c>
      <c r="U794" t="s">
        <v>60</v>
      </c>
      <c r="V794" t="s">
        <v>86</v>
      </c>
      <c r="W794" s="1">
        <v>45298</v>
      </c>
      <c r="X794" t="b">
        <v>1</v>
      </c>
      <c r="Y794" t="b">
        <v>1</v>
      </c>
      <c r="Z794" t="s">
        <v>74</v>
      </c>
      <c r="AA794" t="s">
        <v>53</v>
      </c>
      <c r="AB794">
        <v>9</v>
      </c>
    </row>
    <row r="795" spans="1:28" x14ac:dyDescent="0.25">
      <c r="A795" t="s">
        <v>1659</v>
      </c>
      <c r="B795">
        <v>39</v>
      </c>
      <c r="C795" t="s">
        <v>43</v>
      </c>
      <c r="D795" t="s">
        <v>30</v>
      </c>
      <c r="E795" t="s">
        <v>55</v>
      </c>
      <c r="F795" t="s">
        <v>45</v>
      </c>
      <c r="G795" t="s">
        <v>30</v>
      </c>
      <c r="H795" t="s">
        <v>1660</v>
      </c>
      <c r="I795" t="s">
        <v>194</v>
      </c>
      <c r="J795">
        <v>304.79000000000002</v>
      </c>
      <c r="K795">
        <v>12</v>
      </c>
      <c r="L795" t="s">
        <v>48</v>
      </c>
      <c r="M795">
        <v>2</v>
      </c>
      <c r="N795">
        <v>4</v>
      </c>
      <c r="O795">
        <v>2</v>
      </c>
      <c r="P795" t="s">
        <v>59</v>
      </c>
      <c r="Q795" t="s">
        <v>37</v>
      </c>
      <c r="R795">
        <v>1</v>
      </c>
      <c r="S795">
        <v>9</v>
      </c>
      <c r="T795" t="s">
        <v>44</v>
      </c>
      <c r="U795" t="s">
        <v>79</v>
      </c>
      <c r="V795" t="s">
        <v>66</v>
      </c>
      <c r="W795" s="1">
        <v>45298</v>
      </c>
      <c r="X795" t="b">
        <v>1</v>
      </c>
      <c r="Y795" t="b">
        <v>1</v>
      </c>
      <c r="Z795" t="s">
        <v>52</v>
      </c>
      <c r="AA795" t="s">
        <v>53</v>
      </c>
      <c r="AB795">
        <v>10</v>
      </c>
    </row>
    <row r="796" spans="1:28" x14ac:dyDescent="0.25">
      <c r="A796" t="s">
        <v>1661</v>
      </c>
      <c r="B796">
        <v>32</v>
      </c>
      <c r="C796" t="s">
        <v>43</v>
      </c>
      <c r="D796" t="s">
        <v>44</v>
      </c>
      <c r="E796" t="s">
        <v>76</v>
      </c>
      <c r="F796" t="s">
        <v>45</v>
      </c>
      <c r="G796" t="s">
        <v>30</v>
      </c>
      <c r="H796" t="s">
        <v>1662</v>
      </c>
      <c r="I796" t="s">
        <v>246</v>
      </c>
      <c r="J796">
        <v>363.98</v>
      </c>
      <c r="K796">
        <v>4</v>
      </c>
      <c r="L796" t="s">
        <v>78</v>
      </c>
      <c r="M796">
        <v>4</v>
      </c>
      <c r="N796">
        <v>4</v>
      </c>
      <c r="O796">
        <v>1</v>
      </c>
      <c r="P796" t="s">
        <v>36</v>
      </c>
      <c r="Q796" t="s">
        <v>37</v>
      </c>
      <c r="R796">
        <v>2</v>
      </c>
      <c r="S796">
        <v>7</v>
      </c>
      <c r="T796" t="s">
        <v>36</v>
      </c>
      <c r="U796" t="s">
        <v>38</v>
      </c>
      <c r="V796" t="s">
        <v>51</v>
      </c>
      <c r="W796" s="1">
        <v>45439</v>
      </c>
      <c r="X796" t="b">
        <v>1</v>
      </c>
      <c r="Y796" t="b">
        <v>1</v>
      </c>
      <c r="Z796" t="s">
        <v>74</v>
      </c>
      <c r="AA796" t="s">
        <v>67</v>
      </c>
      <c r="AB796">
        <v>1</v>
      </c>
    </row>
    <row r="797" spans="1:28" x14ac:dyDescent="0.25">
      <c r="A797" t="s">
        <v>1663</v>
      </c>
      <c r="B797">
        <v>47</v>
      </c>
      <c r="C797" t="s">
        <v>43</v>
      </c>
      <c r="D797" t="s">
        <v>30</v>
      </c>
      <c r="E797" t="s">
        <v>69</v>
      </c>
      <c r="F797" t="s">
        <v>32</v>
      </c>
      <c r="G797" t="s">
        <v>44</v>
      </c>
      <c r="H797" t="s">
        <v>1664</v>
      </c>
      <c r="I797" t="s">
        <v>82</v>
      </c>
      <c r="J797">
        <v>249.6</v>
      </c>
      <c r="K797">
        <v>7</v>
      </c>
      <c r="L797" t="s">
        <v>35</v>
      </c>
      <c r="M797">
        <v>4</v>
      </c>
      <c r="N797">
        <v>1</v>
      </c>
      <c r="O797">
        <v>1</v>
      </c>
      <c r="P797" t="s">
        <v>59</v>
      </c>
      <c r="Q797" t="s">
        <v>37</v>
      </c>
      <c r="R797">
        <v>2</v>
      </c>
      <c r="S797">
        <v>7</v>
      </c>
      <c r="T797" t="s">
        <v>44</v>
      </c>
      <c r="U797" t="s">
        <v>60</v>
      </c>
      <c r="V797" t="s">
        <v>61</v>
      </c>
      <c r="W797" s="1">
        <v>45423</v>
      </c>
      <c r="X797" t="b">
        <v>1</v>
      </c>
      <c r="Y797" t="b">
        <v>0</v>
      </c>
      <c r="Z797" t="s">
        <v>52</v>
      </c>
      <c r="AA797" t="s">
        <v>53</v>
      </c>
      <c r="AB797">
        <v>11</v>
      </c>
    </row>
    <row r="798" spans="1:28" x14ac:dyDescent="0.25">
      <c r="A798" t="s">
        <v>1665</v>
      </c>
      <c r="B798">
        <v>19</v>
      </c>
      <c r="C798" t="s">
        <v>43</v>
      </c>
      <c r="D798" t="s">
        <v>44</v>
      </c>
      <c r="E798" t="s">
        <v>31</v>
      </c>
      <c r="F798" t="s">
        <v>32</v>
      </c>
      <c r="G798" t="s">
        <v>30</v>
      </c>
      <c r="H798" t="s">
        <v>1666</v>
      </c>
      <c r="I798" t="s">
        <v>117</v>
      </c>
      <c r="J798">
        <v>345.04</v>
      </c>
      <c r="K798">
        <v>12</v>
      </c>
      <c r="L798" t="s">
        <v>48</v>
      </c>
      <c r="M798">
        <v>1</v>
      </c>
      <c r="N798">
        <v>5</v>
      </c>
      <c r="O798">
        <v>1</v>
      </c>
      <c r="P798" t="s">
        <v>59</v>
      </c>
      <c r="Q798" t="s">
        <v>37</v>
      </c>
      <c r="R798">
        <v>0</v>
      </c>
      <c r="S798">
        <v>8</v>
      </c>
      <c r="T798" t="s">
        <v>49</v>
      </c>
      <c r="U798" t="s">
        <v>38</v>
      </c>
      <c r="V798" t="s">
        <v>39</v>
      </c>
      <c r="W798" s="1">
        <v>45581</v>
      </c>
      <c r="X798" t="b">
        <v>1</v>
      </c>
      <c r="Y798" t="b">
        <v>1</v>
      </c>
      <c r="Z798" t="s">
        <v>74</v>
      </c>
      <c r="AA798" t="s">
        <v>67</v>
      </c>
      <c r="AB798">
        <v>13</v>
      </c>
    </row>
    <row r="799" spans="1:28" x14ac:dyDescent="0.25">
      <c r="A799" t="s">
        <v>1667</v>
      </c>
      <c r="B799">
        <v>48</v>
      </c>
      <c r="C799" t="s">
        <v>29</v>
      </c>
      <c r="D799" t="s">
        <v>30</v>
      </c>
      <c r="E799" t="s">
        <v>55</v>
      </c>
      <c r="F799" t="s">
        <v>45</v>
      </c>
      <c r="G799" t="s">
        <v>44</v>
      </c>
      <c r="H799" t="s">
        <v>1668</v>
      </c>
      <c r="I799" t="s">
        <v>135</v>
      </c>
      <c r="J799">
        <v>59.15</v>
      </c>
      <c r="K799">
        <v>3</v>
      </c>
      <c r="L799" t="s">
        <v>48</v>
      </c>
      <c r="M799">
        <v>4</v>
      </c>
      <c r="N799">
        <v>2</v>
      </c>
      <c r="O799">
        <v>1</v>
      </c>
      <c r="P799" t="s">
        <v>36</v>
      </c>
      <c r="Q799" t="s">
        <v>50</v>
      </c>
      <c r="R799">
        <v>0</v>
      </c>
      <c r="S799">
        <v>1</v>
      </c>
      <c r="T799" t="s">
        <v>44</v>
      </c>
      <c r="U799" t="s">
        <v>79</v>
      </c>
      <c r="V799" t="s">
        <v>61</v>
      </c>
      <c r="W799" s="1">
        <v>45401</v>
      </c>
      <c r="X799" t="b">
        <v>0</v>
      </c>
      <c r="Y799" t="b">
        <v>0</v>
      </c>
      <c r="Z799" t="s">
        <v>40</v>
      </c>
      <c r="AA799" t="s">
        <v>53</v>
      </c>
      <c r="AB799">
        <v>8</v>
      </c>
    </row>
    <row r="800" spans="1:28" x14ac:dyDescent="0.25">
      <c r="A800" t="s">
        <v>1669</v>
      </c>
      <c r="B800">
        <v>27</v>
      </c>
      <c r="C800" t="s">
        <v>43</v>
      </c>
      <c r="D800" t="s">
        <v>44</v>
      </c>
      <c r="E800" t="s">
        <v>55</v>
      </c>
      <c r="F800" t="s">
        <v>56</v>
      </c>
      <c r="G800" t="s">
        <v>44</v>
      </c>
      <c r="H800" t="s">
        <v>1670</v>
      </c>
      <c r="I800" t="s">
        <v>65</v>
      </c>
      <c r="J800">
        <v>461.81</v>
      </c>
      <c r="K800">
        <v>12</v>
      </c>
      <c r="L800" t="s">
        <v>35</v>
      </c>
      <c r="M800">
        <v>4</v>
      </c>
      <c r="N800">
        <v>3</v>
      </c>
      <c r="O800">
        <v>0</v>
      </c>
      <c r="P800" t="s">
        <v>49</v>
      </c>
      <c r="Q800" t="s">
        <v>85</v>
      </c>
      <c r="R800">
        <v>0</v>
      </c>
      <c r="S800">
        <v>8</v>
      </c>
      <c r="T800" t="s">
        <v>59</v>
      </c>
      <c r="U800" t="s">
        <v>79</v>
      </c>
      <c r="V800" t="s">
        <v>66</v>
      </c>
      <c r="W800" s="1">
        <v>45450</v>
      </c>
      <c r="X800" t="b">
        <v>1</v>
      </c>
      <c r="Y800" t="b">
        <v>0</v>
      </c>
      <c r="Z800" t="s">
        <v>52</v>
      </c>
      <c r="AA800" t="s">
        <v>41</v>
      </c>
      <c r="AB800">
        <v>8</v>
      </c>
    </row>
    <row r="801" spans="1:28" x14ac:dyDescent="0.25">
      <c r="A801" t="s">
        <v>1671</v>
      </c>
      <c r="B801">
        <v>31</v>
      </c>
      <c r="C801" t="s">
        <v>29</v>
      </c>
      <c r="D801" t="s">
        <v>44</v>
      </c>
      <c r="E801" t="s">
        <v>76</v>
      </c>
      <c r="F801" t="s">
        <v>32</v>
      </c>
      <c r="G801" t="s">
        <v>44</v>
      </c>
      <c r="H801" t="s">
        <v>1672</v>
      </c>
      <c r="I801" t="s">
        <v>104</v>
      </c>
      <c r="J801">
        <v>280.88</v>
      </c>
      <c r="K801">
        <v>4</v>
      </c>
      <c r="L801" t="s">
        <v>35</v>
      </c>
      <c r="M801">
        <v>3</v>
      </c>
      <c r="N801">
        <v>4</v>
      </c>
      <c r="O801">
        <v>1</v>
      </c>
      <c r="P801" t="s">
        <v>44</v>
      </c>
      <c r="Q801" t="s">
        <v>50</v>
      </c>
      <c r="R801">
        <v>0</v>
      </c>
      <c r="S801">
        <v>2</v>
      </c>
      <c r="T801" t="s">
        <v>44</v>
      </c>
      <c r="U801" t="s">
        <v>60</v>
      </c>
      <c r="V801" t="s">
        <v>39</v>
      </c>
      <c r="W801" s="1">
        <v>45417</v>
      </c>
      <c r="X801" t="b">
        <v>1</v>
      </c>
      <c r="Y801" t="b">
        <v>1</v>
      </c>
      <c r="Z801" t="s">
        <v>74</v>
      </c>
      <c r="AA801" t="s">
        <v>41</v>
      </c>
      <c r="AB801">
        <v>2</v>
      </c>
    </row>
    <row r="802" spans="1:28" x14ac:dyDescent="0.25">
      <c r="A802" t="s">
        <v>1673</v>
      </c>
      <c r="B802">
        <v>44</v>
      </c>
      <c r="C802" t="s">
        <v>43</v>
      </c>
      <c r="D802" t="s">
        <v>30</v>
      </c>
      <c r="E802" t="s">
        <v>31</v>
      </c>
      <c r="F802" t="s">
        <v>56</v>
      </c>
      <c r="G802" t="s">
        <v>30</v>
      </c>
      <c r="H802" t="s">
        <v>1674</v>
      </c>
      <c r="I802" t="s">
        <v>98</v>
      </c>
      <c r="J802">
        <v>283.7</v>
      </c>
      <c r="K802">
        <v>8</v>
      </c>
      <c r="L802" t="s">
        <v>35</v>
      </c>
      <c r="M802">
        <v>2</v>
      </c>
      <c r="N802">
        <v>5</v>
      </c>
      <c r="O802">
        <v>1</v>
      </c>
      <c r="P802" t="s">
        <v>49</v>
      </c>
      <c r="Q802" t="s">
        <v>50</v>
      </c>
      <c r="R802">
        <v>1</v>
      </c>
      <c r="S802">
        <v>3</v>
      </c>
      <c r="T802" t="s">
        <v>59</v>
      </c>
      <c r="U802" t="s">
        <v>60</v>
      </c>
      <c r="V802" t="s">
        <v>86</v>
      </c>
      <c r="W802" s="1">
        <v>45351</v>
      </c>
      <c r="X802" t="b">
        <v>0</v>
      </c>
      <c r="Y802" t="b">
        <v>0</v>
      </c>
      <c r="Z802" t="s">
        <v>62</v>
      </c>
      <c r="AA802" t="s">
        <v>67</v>
      </c>
      <c r="AB802">
        <v>8</v>
      </c>
    </row>
    <row r="803" spans="1:28" x14ac:dyDescent="0.25">
      <c r="A803" t="s">
        <v>1675</v>
      </c>
      <c r="B803">
        <v>24</v>
      </c>
      <c r="C803" t="s">
        <v>29</v>
      </c>
      <c r="D803" t="s">
        <v>44</v>
      </c>
      <c r="E803" t="s">
        <v>69</v>
      </c>
      <c r="F803" t="s">
        <v>45</v>
      </c>
      <c r="G803" t="s">
        <v>30</v>
      </c>
      <c r="H803" t="s">
        <v>1676</v>
      </c>
      <c r="I803" t="s">
        <v>98</v>
      </c>
      <c r="J803">
        <v>411.95</v>
      </c>
      <c r="K803">
        <v>10</v>
      </c>
      <c r="L803" t="s">
        <v>48</v>
      </c>
      <c r="M803">
        <v>5</v>
      </c>
      <c r="N803">
        <v>3</v>
      </c>
      <c r="O803">
        <v>1</v>
      </c>
      <c r="P803" t="s">
        <v>36</v>
      </c>
      <c r="Q803" t="s">
        <v>50</v>
      </c>
      <c r="R803">
        <v>0</v>
      </c>
      <c r="S803">
        <v>4</v>
      </c>
      <c r="T803" t="s">
        <v>36</v>
      </c>
      <c r="U803" t="s">
        <v>60</v>
      </c>
      <c r="V803" t="s">
        <v>51</v>
      </c>
      <c r="W803" s="1">
        <v>45644</v>
      </c>
      <c r="X803" t="b">
        <v>1</v>
      </c>
      <c r="Y803" t="b">
        <v>1</v>
      </c>
      <c r="Z803" t="s">
        <v>62</v>
      </c>
      <c r="AA803" t="s">
        <v>53</v>
      </c>
      <c r="AB803">
        <v>5</v>
      </c>
    </row>
    <row r="804" spans="1:28" x14ac:dyDescent="0.25">
      <c r="A804" t="s">
        <v>1677</v>
      </c>
      <c r="B804">
        <v>32</v>
      </c>
      <c r="C804" t="s">
        <v>29</v>
      </c>
      <c r="D804" t="s">
        <v>30</v>
      </c>
      <c r="E804" t="s">
        <v>69</v>
      </c>
      <c r="F804" t="s">
        <v>56</v>
      </c>
      <c r="G804" t="s">
        <v>30</v>
      </c>
      <c r="H804" t="s">
        <v>1678</v>
      </c>
      <c r="I804" t="s">
        <v>34</v>
      </c>
      <c r="J804">
        <v>476.11</v>
      </c>
      <c r="K804">
        <v>5</v>
      </c>
      <c r="L804" t="s">
        <v>48</v>
      </c>
      <c r="M804">
        <v>1</v>
      </c>
      <c r="N804">
        <v>4</v>
      </c>
      <c r="O804">
        <v>1</v>
      </c>
      <c r="P804" t="s">
        <v>36</v>
      </c>
      <c r="Q804" t="s">
        <v>85</v>
      </c>
      <c r="R804">
        <v>2</v>
      </c>
      <c r="S804">
        <v>10</v>
      </c>
      <c r="T804" t="s">
        <v>44</v>
      </c>
      <c r="U804" t="s">
        <v>79</v>
      </c>
      <c r="V804" t="s">
        <v>61</v>
      </c>
      <c r="W804" s="1">
        <v>45594</v>
      </c>
      <c r="X804" t="b">
        <v>1</v>
      </c>
      <c r="Y804" t="b">
        <v>0</v>
      </c>
      <c r="Z804" t="s">
        <v>52</v>
      </c>
      <c r="AA804" t="s">
        <v>53</v>
      </c>
      <c r="AB804">
        <v>1</v>
      </c>
    </row>
    <row r="805" spans="1:28" x14ac:dyDescent="0.25">
      <c r="A805" t="s">
        <v>1679</v>
      </c>
      <c r="B805">
        <v>28</v>
      </c>
      <c r="C805" t="s">
        <v>29</v>
      </c>
      <c r="D805" t="s">
        <v>30</v>
      </c>
      <c r="E805" t="s">
        <v>31</v>
      </c>
      <c r="F805" t="s">
        <v>56</v>
      </c>
      <c r="G805" t="s">
        <v>44</v>
      </c>
      <c r="H805" t="s">
        <v>1680</v>
      </c>
      <c r="I805" t="s">
        <v>34</v>
      </c>
      <c r="J805">
        <v>399.24</v>
      </c>
      <c r="K805">
        <v>7</v>
      </c>
      <c r="L805" t="s">
        <v>48</v>
      </c>
      <c r="M805">
        <v>4</v>
      </c>
      <c r="N805">
        <v>2</v>
      </c>
      <c r="O805">
        <v>1</v>
      </c>
      <c r="P805" t="s">
        <v>49</v>
      </c>
      <c r="Q805" t="s">
        <v>85</v>
      </c>
      <c r="R805">
        <v>1</v>
      </c>
      <c r="S805">
        <v>2</v>
      </c>
      <c r="T805" t="s">
        <v>49</v>
      </c>
      <c r="U805" t="s">
        <v>60</v>
      </c>
      <c r="V805" t="s">
        <v>61</v>
      </c>
      <c r="W805" s="1">
        <v>45464</v>
      </c>
      <c r="X805" t="b">
        <v>0</v>
      </c>
      <c r="Y805" t="b">
        <v>0</v>
      </c>
      <c r="Z805" t="s">
        <v>40</v>
      </c>
      <c r="AA805" t="s">
        <v>53</v>
      </c>
      <c r="AB805">
        <v>10</v>
      </c>
    </row>
    <row r="806" spans="1:28" x14ac:dyDescent="0.25">
      <c r="A806" t="s">
        <v>1681</v>
      </c>
      <c r="B806">
        <v>26</v>
      </c>
      <c r="C806" t="s">
        <v>43</v>
      </c>
      <c r="D806" t="s">
        <v>30</v>
      </c>
      <c r="E806" t="s">
        <v>76</v>
      </c>
      <c r="F806" t="s">
        <v>56</v>
      </c>
      <c r="G806" t="s">
        <v>30</v>
      </c>
      <c r="H806" t="s">
        <v>1682</v>
      </c>
      <c r="I806" t="s">
        <v>246</v>
      </c>
      <c r="J806">
        <v>90.79</v>
      </c>
      <c r="K806">
        <v>12</v>
      </c>
      <c r="L806" t="s">
        <v>48</v>
      </c>
      <c r="M806">
        <v>4</v>
      </c>
      <c r="N806">
        <v>1</v>
      </c>
      <c r="O806">
        <v>2</v>
      </c>
      <c r="P806" t="s">
        <v>49</v>
      </c>
      <c r="Q806" t="s">
        <v>37</v>
      </c>
      <c r="R806">
        <v>0</v>
      </c>
      <c r="S806">
        <v>2</v>
      </c>
      <c r="T806" t="s">
        <v>49</v>
      </c>
      <c r="U806" t="s">
        <v>38</v>
      </c>
      <c r="V806" t="s">
        <v>66</v>
      </c>
      <c r="W806" s="1">
        <v>45551</v>
      </c>
      <c r="X806" t="b">
        <v>0</v>
      </c>
      <c r="Y806" t="b">
        <v>0</v>
      </c>
      <c r="Z806" t="s">
        <v>74</v>
      </c>
      <c r="AA806" t="s">
        <v>41</v>
      </c>
      <c r="AB806">
        <v>6</v>
      </c>
    </row>
    <row r="807" spans="1:28" x14ac:dyDescent="0.25">
      <c r="A807" t="s">
        <v>1683</v>
      </c>
      <c r="B807">
        <v>38</v>
      </c>
      <c r="C807" t="s">
        <v>29</v>
      </c>
      <c r="D807" t="s">
        <v>30</v>
      </c>
      <c r="E807" t="s">
        <v>31</v>
      </c>
      <c r="F807" t="s">
        <v>56</v>
      </c>
      <c r="G807" t="s">
        <v>30</v>
      </c>
      <c r="H807" t="s">
        <v>1684</v>
      </c>
      <c r="I807" t="s">
        <v>101</v>
      </c>
      <c r="J807">
        <v>229.56</v>
      </c>
      <c r="K807">
        <v>9</v>
      </c>
      <c r="L807" t="s">
        <v>78</v>
      </c>
      <c r="M807">
        <v>1</v>
      </c>
      <c r="N807">
        <v>2</v>
      </c>
      <c r="O807">
        <v>1</v>
      </c>
      <c r="P807" t="s">
        <v>36</v>
      </c>
      <c r="Q807" t="s">
        <v>37</v>
      </c>
      <c r="R807">
        <v>0</v>
      </c>
      <c r="S807">
        <v>9</v>
      </c>
      <c r="T807" t="s">
        <v>59</v>
      </c>
      <c r="U807" t="s">
        <v>38</v>
      </c>
      <c r="V807" t="s">
        <v>51</v>
      </c>
      <c r="W807" s="1">
        <v>45305</v>
      </c>
      <c r="X807" t="b">
        <v>1</v>
      </c>
      <c r="Y807" t="b">
        <v>1</v>
      </c>
      <c r="Z807" t="s">
        <v>40</v>
      </c>
      <c r="AA807" t="s">
        <v>41</v>
      </c>
      <c r="AB807">
        <v>11</v>
      </c>
    </row>
    <row r="808" spans="1:28" x14ac:dyDescent="0.25">
      <c r="A808" t="s">
        <v>1685</v>
      </c>
      <c r="B808">
        <v>28</v>
      </c>
      <c r="C808" t="s">
        <v>29</v>
      </c>
      <c r="D808" t="s">
        <v>30</v>
      </c>
      <c r="E808" t="s">
        <v>76</v>
      </c>
      <c r="F808" t="s">
        <v>45</v>
      </c>
      <c r="G808" t="s">
        <v>30</v>
      </c>
      <c r="H808" t="s">
        <v>1686</v>
      </c>
      <c r="I808" t="s">
        <v>90</v>
      </c>
      <c r="J808">
        <v>160.47</v>
      </c>
      <c r="K808">
        <v>7</v>
      </c>
      <c r="L808" t="s">
        <v>35</v>
      </c>
      <c r="M808">
        <v>1</v>
      </c>
      <c r="N808">
        <v>5</v>
      </c>
      <c r="O808">
        <v>0</v>
      </c>
      <c r="P808" t="s">
        <v>36</v>
      </c>
      <c r="Q808" t="s">
        <v>50</v>
      </c>
      <c r="R808">
        <v>0</v>
      </c>
      <c r="S808">
        <v>3</v>
      </c>
      <c r="T808" t="s">
        <v>36</v>
      </c>
      <c r="U808" t="s">
        <v>60</v>
      </c>
      <c r="V808" t="s">
        <v>61</v>
      </c>
      <c r="W808" s="1">
        <v>45368</v>
      </c>
      <c r="X808" t="b">
        <v>1</v>
      </c>
      <c r="Y808" t="b">
        <v>0</v>
      </c>
      <c r="Z808" t="s">
        <v>52</v>
      </c>
      <c r="AA808" t="s">
        <v>41</v>
      </c>
      <c r="AB808">
        <v>6</v>
      </c>
    </row>
    <row r="809" spans="1:28" x14ac:dyDescent="0.25">
      <c r="A809" t="s">
        <v>1687</v>
      </c>
      <c r="B809">
        <v>30</v>
      </c>
      <c r="C809" t="s">
        <v>352</v>
      </c>
      <c r="D809" t="s">
        <v>44</v>
      </c>
      <c r="E809" t="s">
        <v>31</v>
      </c>
      <c r="F809" t="s">
        <v>45</v>
      </c>
      <c r="G809" t="s">
        <v>44</v>
      </c>
      <c r="H809" t="s">
        <v>1688</v>
      </c>
      <c r="I809" t="s">
        <v>120</v>
      </c>
      <c r="J809">
        <v>104.74</v>
      </c>
      <c r="K809">
        <v>6</v>
      </c>
      <c r="L809" t="s">
        <v>78</v>
      </c>
      <c r="M809">
        <v>2</v>
      </c>
      <c r="N809">
        <v>4</v>
      </c>
      <c r="O809">
        <v>2</v>
      </c>
      <c r="P809" t="s">
        <v>36</v>
      </c>
      <c r="Q809" t="s">
        <v>85</v>
      </c>
      <c r="R809">
        <v>0</v>
      </c>
      <c r="S809">
        <v>4</v>
      </c>
      <c r="T809" t="s">
        <v>59</v>
      </c>
      <c r="U809" t="s">
        <v>60</v>
      </c>
      <c r="V809" t="s">
        <v>51</v>
      </c>
      <c r="W809" s="1">
        <v>45557</v>
      </c>
      <c r="X809" t="b">
        <v>0</v>
      </c>
      <c r="Y809" t="b">
        <v>0</v>
      </c>
      <c r="Z809" t="s">
        <v>62</v>
      </c>
      <c r="AA809" t="s">
        <v>41</v>
      </c>
      <c r="AB809">
        <v>1</v>
      </c>
    </row>
    <row r="810" spans="1:28" x14ac:dyDescent="0.25">
      <c r="A810" t="s">
        <v>1689</v>
      </c>
      <c r="B810">
        <v>37</v>
      </c>
      <c r="C810" t="s">
        <v>29</v>
      </c>
      <c r="D810" t="s">
        <v>44</v>
      </c>
      <c r="E810" t="s">
        <v>69</v>
      </c>
      <c r="F810" t="s">
        <v>56</v>
      </c>
      <c r="G810" t="s">
        <v>30</v>
      </c>
      <c r="H810" t="s">
        <v>1690</v>
      </c>
      <c r="I810" t="s">
        <v>47</v>
      </c>
      <c r="J810">
        <v>399.95</v>
      </c>
      <c r="K810">
        <v>10</v>
      </c>
      <c r="L810" t="s">
        <v>48</v>
      </c>
      <c r="M810">
        <v>2</v>
      </c>
      <c r="N810">
        <v>1</v>
      </c>
      <c r="O810">
        <v>0</v>
      </c>
      <c r="P810" t="s">
        <v>59</v>
      </c>
      <c r="Q810" t="s">
        <v>50</v>
      </c>
      <c r="R810">
        <v>1</v>
      </c>
      <c r="S810">
        <v>2</v>
      </c>
      <c r="T810" t="s">
        <v>44</v>
      </c>
      <c r="U810" t="s">
        <v>60</v>
      </c>
      <c r="V810" t="s">
        <v>86</v>
      </c>
      <c r="W810" s="1">
        <v>45358</v>
      </c>
      <c r="X810" t="b">
        <v>1</v>
      </c>
      <c r="Y810" t="b">
        <v>0</v>
      </c>
      <c r="Z810" t="s">
        <v>40</v>
      </c>
      <c r="AA810" t="s">
        <v>67</v>
      </c>
      <c r="AB810">
        <v>10</v>
      </c>
    </row>
    <row r="811" spans="1:28" x14ac:dyDescent="0.25">
      <c r="A811" t="s">
        <v>1691</v>
      </c>
      <c r="B811">
        <v>47</v>
      </c>
      <c r="C811" t="s">
        <v>29</v>
      </c>
      <c r="D811" t="s">
        <v>44</v>
      </c>
      <c r="E811" t="s">
        <v>76</v>
      </c>
      <c r="F811" t="s">
        <v>32</v>
      </c>
      <c r="G811" t="s">
        <v>30</v>
      </c>
      <c r="H811" t="s">
        <v>1692</v>
      </c>
      <c r="I811" t="s">
        <v>123</v>
      </c>
      <c r="J811">
        <v>337.33</v>
      </c>
      <c r="K811">
        <v>8</v>
      </c>
      <c r="L811" t="s">
        <v>48</v>
      </c>
      <c r="M811">
        <v>1</v>
      </c>
      <c r="N811">
        <v>4</v>
      </c>
      <c r="O811">
        <v>1</v>
      </c>
      <c r="P811" t="s">
        <v>36</v>
      </c>
      <c r="Q811" t="s">
        <v>37</v>
      </c>
      <c r="R811">
        <v>0</v>
      </c>
      <c r="S811">
        <v>5</v>
      </c>
      <c r="T811" t="s">
        <v>49</v>
      </c>
      <c r="U811" t="s">
        <v>79</v>
      </c>
      <c r="V811" t="s">
        <v>61</v>
      </c>
      <c r="W811" s="1">
        <v>45621</v>
      </c>
      <c r="X811" t="b">
        <v>0</v>
      </c>
      <c r="Y811" t="b">
        <v>0</v>
      </c>
      <c r="Z811" t="s">
        <v>74</v>
      </c>
      <c r="AA811" t="s">
        <v>67</v>
      </c>
      <c r="AB811">
        <v>10</v>
      </c>
    </row>
    <row r="812" spans="1:28" x14ac:dyDescent="0.25">
      <c r="A812" t="s">
        <v>1693</v>
      </c>
      <c r="B812">
        <v>41</v>
      </c>
      <c r="C812" t="s">
        <v>29</v>
      </c>
      <c r="D812" t="s">
        <v>44</v>
      </c>
      <c r="E812" t="s">
        <v>69</v>
      </c>
      <c r="F812" t="s">
        <v>56</v>
      </c>
      <c r="G812" t="s">
        <v>30</v>
      </c>
      <c r="H812" t="s">
        <v>1694</v>
      </c>
      <c r="I812" t="s">
        <v>246</v>
      </c>
      <c r="J812">
        <v>204.83</v>
      </c>
      <c r="K812">
        <v>6</v>
      </c>
      <c r="L812" t="s">
        <v>48</v>
      </c>
      <c r="M812">
        <v>5</v>
      </c>
      <c r="N812">
        <v>1</v>
      </c>
      <c r="O812">
        <v>0</v>
      </c>
      <c r="P812" t="s">
        <v>44</v>
      </c>
      <c r="Q812" t="s">
        <v>85</v>
      </c>
      <c r="R812">
        <v>1</v>
      </c>
      <c r="S812">
        <v>5</v>
      </c>
      <c r="T812" t="s">
        <v>49</v>
      </c>
      <c r="U812" t="s">
        <v>60</v>
      </c>
      <c r="V812" t="s">
        <v>61</v>
      </c>
      <c r="W812" s="1">
        <v>45404</v>
      </c>
      <c r="X812" t="b">
        <v>1</v>
      </c>
      <c r="Y812" t="b">
        <v>0</v>
      </c>
      <c r="Z812" t="s">
        <v>52</v>
      </c>
      <c r="AA812" t="s">
        <v>53</v>
      </c>
      <c r="AB812">
        <v>5</v>
      </c>
    </row>
    <row r="813" spans="1:28" x14ac:dyDescent="0.25">
      <c r="A813" t="s">
        <v>1695</v>
      </c>
      <c r="B813">
        <v>22</v>
      </c>
      <c r="C813" t="s">
        <v>29</v>
      </c>
      <c r="D813" t="s">
        <v>30</v>
      </c>
      <c r="E813" t="s">
        <v>69</v>
      </c>
      <c r="F813" t="s">
        <v>56</v>
      </c>
      <c r="G813" t="s">
        <v>44</v>
      </c>
      <c r="H813" t="s">
        <v>1696</v>
      </c>
      <c r="I813" t="s">
        <v>114</v>
      </c>
      <c r="J813">
        <v>193.94</v>
      </c>
      <c r="K813">
        <v>11</v>
      </c>
      <c r="L813" t="s">
        <v>35</v>
      </c>
      <c r="M813">
        <v>4</v>
      </c>
      <c r="N813">
        <v>1</v>
      </c>
      <c r="O813">
        <v>0</v>
      </c>
      <c r="P813" t="s">
        <v>36</v>
      </c>
      <c r="Q813" t="s">
        <v>50</v>
      </c>
      <c r="R813">
        <v>0</v>
      </c>
      <c r="S813">
        <v>3</v>
      </c>
      <c r="T813" t="s">
        <v>44</v>
      </c>
      <c r="U813" t="s">
        <v>79</v>
      </c>
      <c r="V813" t="s">
        <v>66</v>
      </c>
      <c r="W813" s="1">
        <v>45513</v>
      </c>
      <c r="X813" t="b">
        <v>0</v>
      </c>
      <c r="Y813" t="b">
        <v>0</v>
      </c>
      <c r="Z813" t="s">
        <v>52</v>
      </c>
      <c r="AA813" t="s">
        <v>53</v>
      </c>
      <c r="AB813">
        <v>9</v>
      </c>
    </row>
    <row r="814" spans="1:28" x14ac:dyDescent="0.25">
      <c r="A814" t="s">
        <v>1697</v>
      </c>
      <c r="B814">
        <v>46</v>
      </c>
      <c r="C814" t="s">
        <v>43</v>
      </c>
      <c r="D814" t="s">
        <v>44</v>
      </c>
      <c r="E814" t="s">
        <v>31</v>
      </c>
      <c r="F814" t="s">
        <v>56</v>
      </c>
      <c r="G814" t="s">
        <v>30</v>
      </c>
      <c r="H814" t="s">
        <v>1698</v>
      </c>
      <c r="I814" t="s">
        <v>93</v>
      </c>
      <c r="J814">
        <v>460.37</v>
      </c>
      <c r="K814">
        <v>10</v>
      </c>
      <c r="L814" t="s">
        <v>78</v>
      </c>
      <c r="M814">
        <v>5</v>
      </c>
      <c r="N814">
        <v>4</v>
      </c>
      <c r="O814">
        <v>2</v>
      </c>
      <c r="P814" t="s">
        <v>59</v>
      </c>
      <c r="Q814" t="s">
        <v>85</v>
      </c>
      <c r="R814">
        <v>2</v>
      </c>
      <c r="S814">
        <v>7</v>
      </c>
      <c r="T814" t="s">
        <v>44</v>
      </c>
      <c r="U814" t="s">
        <v>79</v>
      </c>
      <c r="V814" t="s">
        <v>39</v>
      </c>
      <c r="W814" s="1">
        <v>45486</v>
      </c>
      <c r="X814" t="b">
        <v>1</v>
      </c>
      <c r="Y814" t="b">
        <v>1</v>
      </c>
      <c r="Z814" t="s">
        <v>52</v>
      </c>
      <c r="AA814" t="s">
        <v>67</v>
      </c>
      <c r="AB814">
        <v>12</v>
      </c>
    </row>
    <row r="815" spans="1:28" x14ac:dyDescent="0.25">
      <c r="A815" t="s">
        <v>1699</v>
      </c>
      <c r="B815">
        <v>34</v>
      </c>
      <c r="C815" t="s">
        <v>190</v>
      </c>
      <c r="D815" t="s">
        <v>30</v>
      </c>
      <c r="E815" t="s">
        <v>55</v>
      </c>
      <c r="F815" t="s">
        <v>32</v>
      </c>
      <c r="G815" t="s">
        <v>30</v>
      </c>
      <c r="H815" t="s">
        <v>637</v>
      </c>
      <c r="I815" t="s">
        <v>135</v>
      </c>
      <c r="J815">
        <v>297.29000000000002</v>
      </c>
      <c r="K815">
        <v>9</v>
      </c>
      <c r="L815" t="s">
        <v>78</v>
      </c>
      <c r="M815">
        <v>5</v>
      </c>
      <c r="N815">
        <v>4</v>
      </c>
      <c r="O815">
        <v>2</v>
      </c>
      <c r="P815" t="s">
        <v>36</v>
      </c>
      <c r="Q815" t="s">
        <v>50</v>
      </c>
      <c r="R815">
        <v>0</v>
      </c>
      <c r="S815">
        <v>9</v>
      </c>
      <c r="T815" t="s">
        <v>59</v>
      </c>
      <c r="U815" t="s">
        <v>60</v>
      </c>
      <c r="V815" t="s">
        <v>86</v>
      </c>
      <c r="W815" s="1">
        <v>45292</v>
      </c>
      <c r="X815" t="b">
        <v>1</v>
      </c>
      <c r="Y815" t="b">
        <v>1</v>
      </c>
      <c r="Z815" t="s">
        <v>40</v>
      </c>
      <c r="AA815" t="s">
        <v>53</v>
      </c>
      <c r="AB815">
        <v>3</v>
      </c>
    </row>
    <row r="816" spans="1:28" x14ac:dyDescent="0.25">
      <c r="A816" t="s">
        <v>1700</v>
      </c>
      <c r="B816">
        <v>31</v>
      </c>
      <c r="C816" t="s">
        <v>43</v>
      </c>
      <c r="D816" t="s">
        <v>30</v>
      </c>
      <c r="E816" t="s">
        <v>55</v>
      </c>
      <c r="F816" t="s">
        <v>32</v>
      </c>
      <c r="G816" t="s">
        <v>30</v>
      </c>
      <c r="H816" t="s">
        <v>1701</v>
      </c>
      <c r="I816" t="s">
        <v>82</v>
      </c>
      <c r="J816">
        <v>389.47</v>
      </c>
      <c r="K816">
        <v>4</v>
      </c>
      <c r="L816" t="s">
        <v>48</v>
      </c>
      <c r="M816">
        <v>5</v>
      </c>
      <c r="N816">
        <v>3</v>
      </c>
      <c r="O816">
        <v>2</v>
      </c>
      <c r="P816" t="s">
        <v>59</v>
      </c>
      <c r="Q816" t="s">
        <v>50</v>
      </c>
      <c r="R816">
        <v>1</v>
      </c>
      <c r="S816">
        <v>9</v>
      </c>
      <c r="T816" t="s">
        <v>44</v>
      </c>
      <c r="U816" t="s">
        <v>79</v>
      </c>
      <c r="V816" t="s">
        <v>39</v>
      </c>
      <c r="W816" s="1">
        <v>45333</v>
      </c>
      <c r="X816" t="b">
        <v>1</v>
      </c>
      <c r="Y816" t="b">
        <v>1</v>
      </c>
      <c r="Z816" t="s">
        <v>52</v>
      </c>
      <c r="AA816" t="s">
        <v>53</v>
      </c>
      <c r="AB816">
        <v>6</v>
      </c>
    </row>
    <row r="817" spans="1:28" x14ac:dyDescent="0.25">
      <c r="A817" t="s">
        <v>1702</v>
      </c>
      <c r="B817">
        <v>38</v>
      </c>
      <c r="C817" t="s">
        <v>43</v>
      </c>
      <c r="D817" t="s">
        <v>44</v>
      </c>
      <c r="E817" t="s">
        <v>55</v>
      </c>
      <c r="F817" t="s">
        <v>56</v>
      </c>
      <c r="G817" t="s">
        <v>44</v>
      </c>
      <c r="H817" t="s">
        <v>1703</v>
      </c>
      <c r="I817" t="s">
        <v>65</v>
      </c>
      <c r="J817">
        <v>370.05</v>
      </c>
      <c r="K817">
        <v>11</v>
      </c>
      <c r="L817" t="s">
        <v>35</v>
      </c>
      <c r="M817">
        <v>5</v>
      </c>
      <c r="N817">
        <v>3</v>
      </c>
      <c r="O817">
        <v>0</v>
      </c>
      <c r="P817" t="s">
        <v>49</v>
      </c>
      <c r="Q817" t="s">
        <v>85</v>
      </c>
      <c r="R817">
        <v>1</v>
      </c>
      <c r="S817">
        <v>10</v>
      </c>
      <c r="T817" t="s">
        <v>44</v>
      </c>
      <c r="U817" t="s">
        <v>60</v>
      </c>
      <c r="V817" t="s">
        <v>86</v>
      </c>
      <c r="W817" s="1">
        <v>45595</v>
      </c>
      <c r="X817" t="b">
        <v>1</v>
      </c>
      <c r="Y817" t="b">
        <v>1</v>
      </c>
      <c r="Z817" t="s">
        <v>62</v>
      </c>
      <c r="AA817" t="s">
        <v>41</v>
      </c>
      <c r="AB817">
        <v>10</v>
      </c>
    </row>
    <row r="818" spans="1:28" x14ac:dyDescent="0.25">
      <c r="A818" t="s">
        <v>1704</v>
      </c>
      <c r="B818">
        <v>45</v>
      </c>
      <c r="C818" t="s">
        <v>43</v>
      </c>
      <c r="D818" t="s">
        <v>44</v>
      </c>
      <c r="E818" t="s">
        <v>55</v>
      </c>
      <c r="F818" t="s">
        <v>56</v>
      </c>
      <c r="G818" t="s">
        <v>30</v>
      </c>
      <c r="H818" t="s">
        <v>1705</v>
      </c>
      <c r="I818" t="s">
        <v>246</v>
      </c>
      <c r="J818">
        <v>462.24</v>
      </c>
      <c r="K818">
        <v>2</v>
      </c>
      <c r="L818" t="s">
        <v>35</v>
      </c>
      <c r="M818">
        <v>4</v>
      </c>
      <c r="N818">
        <v>5</v>
      </c>
      <c r="O818">
        <v>0</v>
      </c>
      <c r="P818" t="s">
        <v>59</v>
      </c>
      <c r="Q818" t="s">
        <v>50</v>
      </c>
      <c r="R818">
        <v>2</v>
      </c>
      <c r="S818">
        <v>1</v>
      </c>
      <c r="T818" t="s">
        <v>36</v>
      </c>
      <c r="U818" t="s">
        <v>60</v>
      </c>
      <c r="V818" t="s">
        <v>66</v>
      </c>
      <c r="W818" s="1">
        <v>45370</v>
      </c>
      <c r="X818" t="b">
        <v>1</v>
      </c>
      <c r="Y818" t="b">
        <v>1</v>
      </c>
      <c r="Z818" t="s">
        <v>52</v>
      </c>
      <c r="AA818" t="s">
        <v>67</v>
      </c>
      <c r="AB818">
        <v>13</v>
      </c>
    </row>
    <row r="819" spans="1:28" x14ac:dyDescent="0.25">
      <c r="A819" t="s">
        <v>1706</v>
      </c>
      <c r="B819">
        <v>30</v>
      </c>
      <c r="C819" t="s">
        <v>29</v>
      </c>
      <c r="D819" t="s">
        <v>44</v>
      </c>
      <c r="E819" t="s">
        <v>31</v>
      </c>
      <c r="F819" t="s">
        <v>45</v>
      </c>
      <c r="G819" t="s">
        <v>44</v>
      </c>
      <c r="H819" t="s">
        <v>1707</v>
      </c>
      <c r="I819" t="s">
        <v>47</v>
      </c>
      <c r="J819">
        <v>472.53</v>
      </c>
      <c r="K819">
        <v>11</v>
      </c>
      <c r="L819" t="s">
        <v>78</v>
      </c>
      <c r="M819">
        <v>4</v>
      </c>
      <c r="N819">
        <v>1</v>
      </c>
      <c r="O819">
        <v>1</v>
      </c>
      <c r="P819" t="s">
        <v>49</v>
      </c>
      <c r="Q819" t="s">
        <v>37</v>
      </c>
      <c r="R819">
        <v>2</v>
      </c>
      <c r="S819">
        <v>7</v>
      </c>
      <c r="T819" t="s">
        <v>49</v>
      </c>
      <c r="U819" t="s">
        <v>60</v>
      </c>
      <c r="V819" t="s">
        <v>61</v>
      </c>
      <c r="W819" s="1">
        <v>45412</v>
      </c>
      <c r="X819" t="b">
        <v>0</v>
      </c>
      <c r="Y819" t="b">
        <v>0</v>
      </c>
      <c r="Z819" t="s">
        <v>52</v>
      </c>
      <c r="AA819" t="s">
        <v>67</v>
      </c>
      <c r="AB819">
        <v>4</v>
      </c>
    </row>
    <row r="820" spans="1:28" x14ac:dyDescent="0.25">
      <c r="A820" t="s">
        <v>1708</v>
      </c>
      <c r="B820">
        <v>45</v>
      </c>
      <c r="C820" t="s">
        <v>29</v>
      </c>
      <c r="D820" t="s">
        <v>30</v>
      </c>
      <c r="E820" t="s">
        <v>31</v>
      </c>
      <c r="F820" t="s">
        <v>45</v>
      </c>
      <c r="G820" t="s">
        <v>30</v>
      </c>
      <c r="H820" t="s">
        <v>1709</v>
      </c>
      <c r="I820" t="s">
        <v>65</v>
      </c>
      <c r="J820">
        <v>407.29</v>
      </c>
      <c r="K820">
        <v>3</v>
      </c>
      <c r="L820" t="s">
        <v>48</v>
      </c>
      <c r="M820">
        <v>5</v>
      </c>
      <c r="N820">
        <v>5</v>
      </c>
      <c r="O820">
        <v>0</v>
      </c>
      <c r="P820" t="s">
        <v>59</v>
      </c>
      <c r="Q820" t="s">
        <v>50</v>
      </c>
      <c r="R820">
        <v>0</v>
      </c>
      <c r="S820">
        <v>5</v>
      </c>
      <c r="T820" t="s">
        <v>59</v>
      </c>
      <c r="U820" t="s">
        <v>38</v>
      </c>
      <c r="V820" t="s">
        <v>66</v>
      </c>
      <c r="W820" s="1">
        <v>45621</v>
      </c>
      <c r="X820" t="b">
        <v>0</v>
      </c>
      <c r="Y820" t="b">
        <v>0</v>
      </c>
      <c r="Z820" t="s">
        <v>74</v>
      </c>
      <c r="AA820" t="s">
        <v>67</v>
      </c>
      <c r="AB820">
        <v>3</v>
      </c>
    </row>
    <row r="821" spans="1:28" x14ac:dyDescent="0.25">
      <c r="A821" t="s">
        <v>1710</v>
      </c>
      <c r="B821">
        <v>18</v>
      </c>
      <c r="C821" t="s">
        <v>43</v>
      </c>
      <c r="D821" t="s">
        <v>44</v>
      </c>
      <c r="E821" t="s">
        <v>31</v>
      </c>
      <c r="F821" t="s">
        <v>32</v>
      </c>
      <c r="G821" t="s">
        <v>44</v>
      </c>
      <c r="H821" t="s">
        <v>1711</v>
      </c>
      <c r="I821" t="s">
        <v>93</v>
      </c>
      <c r="J821">
        <v>135.65</v>
      </c>
      <c r="K821">
        <v>8</v>
      </c>
      <c r="L821" t="s">
        <v>78</v>
      </c>
      <c r="M821">
        <v>4</v>
      </c>
      <c r="N821">
        <v>1</v>
      </c>
      <c r="O821">
        <v>1</v>
      </c>
      <c r="P821" t="s">
        <v>59</v>
      </c>
      <c r="Q821" t="s">
        <v>85</v>
      </c>
      <c r="R821">
        <v>0</v>
      </c>
      <c r="S821">
        <v>9</v>
      </c>
      <c r="T821" t="s">
        <v>36</v>
      </c>
      <c r="U821" t="s">
        <v>79</v>
      </c>
      <c r="V821" t="s">
        <v>66</v>
      </c>
      <c r="W821" s="1">
        <v>45338</v>
      </c>
      <c r="X821" t="b">
        <v>0</v>
      </c>
      <c r="Y821" t="b">
        <v>0</v>
      </c>
      <c r="Z821" t="s">
        <v>62</v>
      </c>
      <c r="AA821" t="s">
        <v>53</v>
      </c>
      <c r="AB821">
        <v>14</v>
      </c>
    </row>
    <row r="822" spans="1:28" x14ac:dyDescent="0.25">
      <c r="A822" t="s">
        <v>1712</v>
      </c>
      <c r="B822">
        <v>36</v>
      </c>
      <c r="C822" t="s">
        <v>43</v>
      </c>
      <c r="D822" t="s">
        <v>44</v>
      </c>
      <c r="E822" t="s">
        <v>55</v>
      </c>
      <c r="F822" t="s">
        <v>32</v>
      </c>
      <c r="G822" t="s">
        <v>30</v>
      </c>
      <c r="H822" t="s">
        <v>1713</v>
      </c>
      <c r="I822" t="s">
        <v>101</v>
      </c>
      <c r="J822">
        <v>352.35</v>
      </c>
      <c r="K822">
        <v>4</v>
      </c>
      <c r="L822" t="s">
        <v>78</v>
      </c>
      <c r="M822">
        <v>2</v>
      </c>
      <c r="N822">
        <v>2</v>
      </c>
      <c r="O822">
        <v>0</v>
      </c>
      <c r="P822" t="s">
        <v>59</v>
      </c>
      <c r="Q822" t="s">
        <v>85</v>
      </c>
      <c r="R822">
        <v>1</v>
      </c>
      <c r="S822">
        <v>1</v>
      </c>
      <c r="T822" t="s">
        <v>59</v>
      </c>
      <c r="U822" t="s">
        <v>60</v>
      </c>
      <c r="V822" t="s">
        <v>39</v>
      </c>
      <c r="W822" s="1">
        <v>45463</v>
      </c>
      <c r="X822" t="b">
        <v>0</v>
      </c>
      <c r="Y822" t="b">
        <v>0</v>
      </c>
      <c r="Z822" t="s">
        <v>74</v>
      </c>
      <c r="AA822" t="s">
        <v>67</v>
      </c>
      <c r="AB822">
        <v>14</v>
      </c>
    </row>
    <row r="823" spans="1:28" x14ac:dyDescent="0.25">
      <c r="A823" t="s">
        <v>1714</v>
      </c>
      <c r="B823">
        <v>25</v>
      </c>
      <c r="C823" t="s">
        <v>29</v>
      </c>
      <c r="D823" t="s">
        <v>44</v>
      </c>
      <c r="E823" t="s">
        <v>55</v>
      </c>
      <c r="F823" t="s">
        <v>45</v>
      </c>
      <c r="G823" t="s">
        <v>44</v>
      </c>
      <c r="H823" t="s">
        <v>520</v>
      </c>
      <c r="I823" t="s">
        <v>82</v>
      </c>
      <c r="J823">
        <v>441.73</v>
      </c>
      <c r="K823">
        <v>12</v>
      </c>
      <c r="L823" t="s">
        <v>78</v>
      </c>
      <c r="M823">
        <v>1</v>
      </c>
      <c r="N823">
        <v>4</v>
      </c>
      <c r="O823">
        <v>2</v>
      </c>
      <c r="P823" t="s">
        <v>59</v>
      </c>
      <c r="Q823" t="s">
        <v>37</v>
      </c>
      <c r="R823">
        <v>0</v>
      </c>
      <c r="S823">
        <v>8</v>
      </c>
      <c r="T823" t="s">
        <v>49</v>
      </c>
      <c r="U823" t="s">
        <v>60</v>
      </c>
      <c r="V823" t="s">
        <v>39</v>
      </c>
      <c r="W823" s="1">
        <v>45326</v>
      </c>
      <c r="X823" t="b">
        <v>1</v>
      </c>
      <c r="Y823" t="b">
        <v>0</v>
      </c>
      <c r="Z823" t="s">
        <v>74</v>
      </c>
      <c r="AA823" t="s">
        <v>53</v>
      </c>
      <c r="AB823">
        <v>8</v>
      </c>
    </row>
    <row r="824" spans="1:28" x14ac:dyDescent="0.25">
      <c r="A824" t="s">
        <v>1715</v>
      </c>
      <c r="B824">
        <v>21</v>
      </c>
      <c r="C824" t="s">
        <v>29</v>
      </c>
      <c r="D824" t="s">
        <v>44</v>
      </c>
      <c r="E824" t="s">
        <v>76</v>
      </c>
      <c r="F824" t="s">
        <v>45</v>
      </c>
      <c r="G824" t="s">
        <v>30</v>
      </c>
      <c r="H824" t="s">
        <v>1716</v>
      </c>
      <c r="I824" t="s">
        <v>98</v>
      </c>
      <c r="J824">
        <v>105.95</v>
      </c>
      <c r="K824">
        <v>12</v>
      </c>
      <c r="L824" t="s">
        <v>35</v>
      </c>
      <c r="M824">
        <v>1</v>
      </c>
      <c r="N824">
        <v>4</v>
      </c>
      <c r="O824">
        <v>2</v>
      </c>
      <c r="P824" t="s">
        <v>59</v>
      </c>
      <c r="Q824" t="s">
        <v>85</v>
      </c>
      <c r="R824">
        <v>1</v>
      </c>
      <c r="S824">
        <v>7</v>
      </c>
      <c r="T824" t="s">
        <v>49</v>
      </c>
      <c r="U824" t="s">
        <v>79</v>
      </c>
      <c r="V824" t="s">
        <v>86</v>
      </c>
      <c r="W824" s="1">
        <v>45508</v>
      </c>
      <c r="X824" t="b">
        <v>0</v>
      </c>
      <c r="Y824" t="b">
        <v>0</v>
      </c>
      <c r="Z824" t="s">
        <v>62</v>
      </c>
      <c r="AA824" t="s">
        <v>53</v>
      </c>
      <c r="AB824">
        <v>11</v>
      </c>
    </row>
    <row r="825" spans="1:28" x14ac:dyDescent="0.25">
      <c r="A825" t="s">
        <v>1717</v>
      </c>
      <c r="B825">
        <v>26</v>
      </c>
      <c r="C825" t="s">
        <v>43</v>
      </c>
      <c r="D825" t="s">
        <v>44</v>
      </c>
      <c r="E825" t="s">
        <v>55</v>
      </c>
      <c r="F825" t="s">
        <v>56</v>
      </c>
      <c r="G825" t="s">
        <v>44</v>
      </c>
      <c r="H825" t="s">
        <v>1718</v>
      </c>
      <c r="I825" t="s">
        <v>158</v>
      </c>
      <c r="J825">
        <v>351.54</v>
      </c>
      <c r="K825">
        <v>11</v>
      </c>
      <c r="L825" t="s">
        <v>35</v>
      </c>
      <c r="M825">
        <v>1</v>
      </c>
      <c r="N825">
        <v>3</v>
      </c>
      <c r="O825">
        <v>2</v>
      </c>
      <c r="P825" t="s">
        <v>36</v>
      </c>
      <c r="Q825" t="s">
        <v>37</v>
      </c>
      <c r="R825">
        <v>0</v>
      </c>
      <c r="S825">
        <v>8</v>
      </c>
      <c r="T825" t="s">
        <v>36</v>
      </c>
      <c r="U825" t="s">
        <v>38</v>
      </c>
      <c r="V825" t="s">
        <v>51</v>
      </c>
      <c r="W825" s="1">
        <v>45372</v>
      </c>
      <c r="X825" t="b">
        <v>1</v>
      </c>
      <c r="Y825" t="b">
        <v>0</v>
      </c>
      <c r="Z825" t="s">
        <v>74</v>
      </c>
      <c r="AA825" t="s">
        <v>67</v>
      </c>
      <c r="AB825">
        <v>12</v>
      </c>
    </row>
    <row r="826" spans="1:28" x14ac:dyDescent="0.25">
      <c r="A826" t="s">
        <v>1719</v>
      </c>
      <c r="B826">
        <v>40</v>
      </c>
      <c r="C826" t="s">
        <v>43</v>
      </c>
      <c r="D826" t="s">
        <v>44</v>
      </c>
      <c r="E826" t="s">
        <v>76</v>
      </c>
      <c r="F826" t="s">
        <v>32</v>
      </c>
      <c r="G826" t="s">
        <v>44</v>
      </c>
      <c r="H826" t="s">
        <v>1720</v>
      </c>
      <c r="I826" t="s">
        <v>65</v>
      </c>
      <c r="J826">
        <v>321.26</v>
      </c>
      <c r="K826">
        <v>12</v>
      </c>
      <c r="L826" t="s">
        <v>78</v>
      </c>
      <c r="M826">
        <v>4</v>
      </c>
      <c r="N826">
        <v>1</v>
      </c>
      <c r="O826">
        <v>0</v>
      </c>
      <c r="P826" t="s">
        <v>36</v>
      </c>
      <c r="Q826" t="s">
        <v>85</v>
      </c>
      <c r="R826">
        <v>0</v>
      </c>
      <c r="S826">
        <v>6</v>
      </c>
      <c r="T826" t="s">
        <v>36</v>
      </c>
      <c r="U826" t="s">
        <v>79</v>
      </c>
      <c r="V826" t="s">
        <v>61</v>
      </c>
      <c r="W826" s="1">
        <v>45456</v>
      </c>
      <c r="X826" t="b">
        <v>0</v>
      </c>
      <c r="Y826" t="b">
        <v>0</v>
      </c>
      <c r="Z826" t="s">
        <v>40</v>
      </c>
      <c r="AA826" t="s">
        <v>53</v>
      </c>
      <c r="AB826">
        <v>14</v>
      </c>
    </row>
    <row r="827" spans="1:28" x14ac:dyDescent="0.25">
      <c r="A827" t="s">
        <v>1721</v>
      </c>
      <c r="B827">
        <v>47</v>
      </c>
      <c r="C827" t="s">
        <v>29</v>
      </c>
      <c r="D827" t="s">
        <v>44</v>
      </c>
      <c r="E827" t="s">
        <v>76</v>
      </c>
      <c r="F827" t="s">
        <v>45</v>
      </c>
      <c r="G827" t="s">
        <v>30</v>
      </c>
      <c r="H827" t="s">
        <v>1722</v>
      </c>
      <c r="I827" t="s">
        <v>101</v>
      </c>
      <c r="J827">
        <v>421.5</v>
      </c>
      <c r="K827">
        <v>11</v>
      </c>
      <c r="L827" t="s">
        <v>78</v>
      </c>
      <c r="M827">
        <v>5</v>
      </c>
      <c r="N827">
        <v>1</v>
      </c>
      <c r="O827">
        <v>2</v>
      </c>
      <c r="P827" t="s">
        <v>59</v>
      </c>
      <c r="Q827" t="s">
        <v>37</v>
      </c>
      <c r="R827">
        <v>0</v>
      </c>
      <c r="S827">
        <v>8</v>
      </c>
      <c r="T827" t="s">
        <v>36</v>
      </c>
      <c r="U827" t="s">
        <v>79</v>
      </c>
      <c r="V827" t="s">
        <v>51</v>
      </c>
      <c r="W827" s="1">
        <v>45386</v>
      </c>
      <c r="X827" t="b">
        <v>1</v>
      </c>
      <c r="Y827" t="b">
        <v>1</v>
      </c>
      <c r="Z827" t="s">
        <v>40</v>
      </c>
      <c r="AA827" t="s">
        <v>67</v>
      </c>
      <c r="AB827">
        <v>3</v>
      </c>
    </row>
    <row r="828" spans="1:28" x14ac:dyDescent="0.25">
      <c r="A828" t="s">
        <v>1723</v>
      </c>
      <c r="B828">
        <v>27</v>
      </c>
      <c r="C828" t="s">
        <v>88</v>
      </c>
      <c r="D828" t="s">
        <v>44</v>
      </c>
      <c r="E828" t="s">
        <v>69</v>
      </c>
      <c r="F828" t="s">
        <v>45</v>
      </c>
      <c r="G828" t="s">
        <v>30</v>
      </c>
      <c r="H828" t="s">
        <v>1724</v>
      </c>
      <c r="I828" t="s">
        <v>47</v>
      </c>
      <c r="J828">
        <v>253.29</v>
      </c>
      <c r="K828">
        <v>6</v>
      </c>
      <c r="L828" t="s">
        <v>35</v>
      </c>
      <c r="M828">
        <v>3</v>
      </c>
      <c r="N828">
        <v>2</v>
      </c>
      <c r="O828">
        <v>2</v>
      </c>
      <c r="P828" t="s">
        <v>36</v>
      </c>
      <c r="Q828" t="s">
        <v>37</v>
      </c>
      <c r="R828">
        <v>1</v>
      </c>
      <c r="S828">
        <v>4</v>
      </c>
      <c r="T828" t="s">
        <v>36</v>
      </c>
      <c r="U828" t="s">
        <v>79</v>
      </c>
      <c r="V828" t="s">
        <v>51</v>
      </c>
      <c r="W828" s="1">
        <v>45414</v>
      </c>
      <c r="X828" t="b">
        <v>1</v>
      </c>
      <c r="Y828" t="b">
        <v>0</v>
      </c>
      <c r="Z828" t="s">
        <v>74</v>
      </c>
      <c r="AA828" t="s">
        <v>53</v>
      </c>
      <c r="AB828">
        <v>8</v>
      </c>
    </row>
    <row r="829" spans="1:28" x14ac:dyDescent="0.25">
      <c r="A829" t="s">
        <v>1725</v>
      </c>
      <c r="B829">
        <v>29</v>
      </c>
      <c r="C829" t="s">
        <v>29</v>
      </c>
      <c r="D829" t="s">
        <v>30</v>
      </c>
      <c r="E829" t="s">
        <v>76</v>
      </c>
      <c r="F829" t="s">
        <v>45</v>
      </c>
      <c r="G829" t="s">
        <v>44</v>
      </c>
      <c r="H829" t="s">
        <v>1726</v>
      </c>
      <c r="I829" t="s">
        <v>246</v>
      </c>
      <c r="J829">
        <v>217.62</v>
      </c>
      <c r="K829">
        <v>3</v>
      </c>
      <c r="L829" t="s">
        <v>78</v>
      </c>
      <c r="M829">
        <v>5</v>
      </c>
      <c r="N829">
        <v>2</v>
      </c>
      <c r="O829">
        <v>1</v>
      </c>
      <c r="P829" t="s">
        <v>44</v>
      </c>
      <c r="Q829" t="s">
        <v>85</v>
      </c>
      <c r="R829">
        <v>2</v>
      </c>
      <c r="S829">
        <v>3</v>
      </c>
      <c r="T829" t="s">
        <v>59</v>
      </c>
      <c r="U829" t="s">
        <v>60</v>
      </c>
      <c r="V829" t="s">
        <v>51</v>
      </c>
      <c r="W829" s="1">
        <v>45336</v>
      </c>
      <c r="X829" t="b">
        <v>0</v>
      </c>
      <c r="Y829" t="b">
        <v>1</v>
      </c>
      <c r="Z829" t="s">
        <v>62</v>
      </c>
      <c r="AA829" t="s">
        <v>41</v>
      </c>
      <c r="AB829">
        <v>5</v>
      </c>
    </row>
    <row r="830" spans="1:28" x14ac:dyDescent="0.25">
      <c r="A830" t="s">
        <v>1727</v>
      </c>
      <c r="B830">
        <v>21</v>
      </c>
      <c r="C830" t="s">
        <v>43</v>
      </c>
      <c r="D830" t="s">
        <v>30</v>
      </c>
      <c r="E830" t="s">
        <v>55</v>
      </c>
      <c r="F830" t="s">
        <v>32</v>
      </c>
      <c r="G830" t="s">
        <v>44</v>
      </c>
      <c r="H830" t="s">
        <v>1728</v>
      </c>
      <c r="I830" t="s">
        <v>82</v>
      </c>
      <c r="J830">
        <v>226.04</v>
      </c>
      <c r="K830">
        <v>11</v>
      </c>
      <c r="L830" t="s">
        <v>78</v>
      </c>
      <c r="M830">
        <v>4</v>
      </c>
      <c r="N830">
        <v>1</v>
      </c>
      <c r="O830">
        <v>1</v>
      </c>
      <c r="P830" t="s">
        <v>36</v>
      </c>
      <c r="Q830" t="s">
        <v>85</v>
      </c>
      <c r="R830">
        <v>0</v>
      </c>
      <c r="S830">
        <v>9</v>
      </c>
      <c r="T830" t="s">
        <v>49</v>
      </c>
      <c r="U830" t="s">
        <v>79</v>
      </c>
      <c r="V830" t="s">
        <v>51</v>
      </c>
      <c r="W830" s="1">
        <v>45426</v>
      </c>
      <c r="X830" t="b">
        <v>1</v>
      </c>
      <c r="Y830" t="b">
        <v>0</v>
      </c>
      <c r="Z830" t="s">
        <v>52</v>
      </c>
      <c r="AA830" t="s">
        <v>67</v>
      </c>
      <c r="AB830">
        <v>12</v>
      </c>
    </row>
    <row r="831" spans="1:28" x14ac:dyDescent="0.25">
      <c r="A831" t="s">
        <v>1729</v>
      </c>
      <c r="B831">
        <v>41</v>
      </c>
      <c r="C831" t="s">
        <v>148</v>
      </c>
      <c r="D831" t="s">
        <v>44</v>
      </c>
      <c r="E831" t="s">
        <v>55</v>
      </c>
      <c r="F831" t="s">
        <v>32</v>
      </c>
      <c r="G831" t="s">
        <v>44</v>
      </c>
      <c r="H831" t="s">
        <v>1730</v>
      </c>
      <c r="I831" t="s">
        <v>114</v>
      </c>
      <c r="J831">
        <v>52.79</v>
      </c>
      <c r="K831">
        <v>4</v>
      </c>
      <c r="L831" t="s">
        <v>78</v>
      </c>
      <c r="M831">
        <v>2</v>
      </c>
      <c r="N831">
        <v>2</v>
      </c>
      <c r="O831">
        <v>0</v>
      </c>
      <c r="P831" t="s">
        <v>59</v>
      </c>
      <c r="Q831" t="s">
        <v>50</v>
      </c>
      <c r="R831">
        <v>1</v>
      </c>
      <c r="S831">
        <v>7</v>
      </c>
      <c r="T831" t="s">
        <v>36</v>
      </c>
      <c r="U831" t="s">
        <v>38</v>
      </c>
      <c r="V831" t="s">
        <v>61</v>
      </c>
      <c r="W831" s="1">
        <v>45328</v>
      </c>
      <c r="X831" t="b">
        <v>1</v>
      </c>
      <c r="Y831" t="b">
        <v>1</v>
      </c>
      <c r="Z831" t="s">
        <v>62</v>
      </c>
      <c r="AA831" t="s">
        <v>67</v>
      </c>
      <c r="AB831">
        <v>4</v>
      </c>
    </row>
    <row r="832" spans="1:28" x14ac:dyDescent="0.25">
      <c r="A832" t="s">
        <v>1731</v>
      </c>
      <c r="B832">
        <v>43</v>
      </c>
      <c r="C832" t="s">
        <v>43</v>
      </c>
      <c r="D832" t="s">
        <v>30</v>
      </c>
      <c r="E832" t="s">
        <v>69</v>
      </c>
      <c r="F832" t="s">
        <v>45</v>
      </c>
      <c r="G832" t="s">
        <v>44</v>
      </c>
      <c r="H832" t="s">
        <v>1732</v>
      </c>
      <c r="I832" t="s">
        <v>246</v>
      </c>
      <c r="J832">
        <v>385.08</v>
      </c>
      <c r="K832">
        <v>7</v>
      </c>
      <c r="L832" t="s">
        <v>48</v>
      </c>
      <c r="M832">
        <v>2</v>
      </c>
      <c r="N832">
        <v>4</v>
      </c>
      <c r="O832">
        <v>1</v>
      </c>
      <c r="P832" t="s">
        <v>44</v>
      </c>
      <c r="Q832" t="s">
        <v>37</v>
      </c>
      <c r="R832">
        <v>1</v>
      </c>
      <c r="S832">
        <v>1</v>
      </c>
      <c r="T832" t="s">
        <v>59</v>
      </c>
      <c r="U832" t="s">
        <v>38</v>
      </c>
      <c r="V832" t="s">
        <v>61</v>
      </c>
      <c r="W832" s="1">
        <v>45608</v>
      </c>
      <c r="X832" t="b">
        <v>0</v>
      </c>
      <c r="Y832" t="b">
        <v>1</v>
      </c>
      <c r="Z832" t="s">
        <v>62</v>
      </c>
      <c r="AA832" t="s">
        <v>41</v>
      </c>
      <c r="AB832">
        <v>1</v>
      </c>
    </row>
    <row r="833" spans="1:28" x14ac:dyDescent="0.25">
      <c r="A833" t="s">
        <v>1733</v>
      </c>
      <c r="B833">
        <v>33</v>
      </c>
      <c r="C833" t="s">
        <v>43</v>
      </c>
      <c r="D833" t="s">
        <v>44</v>
      </c>
      <c r="E833" t="s">
        <v>69</v>
      </c>
      <c r="F833" t="s">
        <v>56</v>
      </c>
      <c r="G833" t="s">
        <v>30</v>
      </c>
      <c r="H833" t="s">
        <v>918</v>
      </c>
      <c r="I833" t="s">
        <v>107</v>
      </c>
      <c r="J833">
        <v>181.1</v>
      </c>
      <c r="K833">
        <v>2</v>
      </c>
      <c r="L833" t="s">
        <v>78</v>
      </c>
      <c r="M833">
        <v>2</v>
      </c>
      <c r="N833">
        <v>5</v>
      </c>
      <c r="O833">
        <v>2</v>
      </c>
      <c r="P833" t="s">
        <v>59</v>
      </c>
      <c r="Q833" t="s">
        <v>50</v>
      </c>
      <c r="R833">
        <v>2</v>
      </c>
      <c r="S833">
        <v>7</v>
      </c>
      <c r="T833" t="s">
        <v>59</v>
      </c>
      <c r="U833" t="s">
        <v>38</v>
      </c>
      <c r="V833" t="s">
        <v>39</v>
      </c>
      <c r="W833" s="1">
        <v>45652</v>
      </c>
      <c r="X833" t="b">
        <v>0</v>
      </c>
      <c r="Y833" t="b">
        <v>0</v>
      </c>
      <c r="Z833" t="s">
        <v>62</v>
      </c>
      <c r="AA833" t="s">
        <v>41</v>
      </c>
      <c r="AB833">
        <v>5</v>
      </c>
    </row>
    <row r="834" spans="1:28" x14ac:dyDescent="0.25">
      <c r="A834" t="s">
        <v>1734</v>
      </c>
      <c r="B834">
        <v>23</v>
      </c>
      <c r="C834" t="s">
        <v>29</v>
      </c>
      <c r="D834" t="s">
        <v>30</v>
      </c>
      <c r="E834" t="s">
        <v>55</v>
      </c>
      <c r="F834" t="s">
        <v>56</v>
      </c>
      <c r="G834" t="s">
        <v>30</v>
      </c>
      <c r="H834" t="s">
        <v>1735</v>
      </c>
      <c r="I834" t="s">
        <v>58</v>
      </c>
      <c r="J834">
        <v>246.41</v>
      </c>
      <c r="K834">
        <v>7</v>
      </c>
      <c r="L834" t="s">
        <v>48</v>
      </c>
      <c r="M834">
        <v>2</v>
      </c>
      <c r="N834">
        <v>4</v>
      </c>
      <c r="O834">
        <v>0</v>
      </c>
      <c r="P834" t="s">
        <v>36</v>
      </c>
      <c r="Q834" t="s">
        <v>37</v>
      </c>
      <c r="R834">
        <v>2</v>
      </c>
      <c r="S834">
        <v>8</v>
      </c>
      <c r="T834" t="s">
        <v>59</v>
      </c>
      <c r="U834" t="s">
        <v>60</v>
      </c>
      <c r="V834" t="s">
        <v>86</v>
      </c>
      <c r="W834" s="1">
        <v>45566</v>
      </c>
      <c r="X834" t="b">
        <v>1</v>
      </c>
      <c r="Y834" t="b">
        <v>0</v>
      </c>
      <c r="Z834" t="s">
        <v>40</v>
      </c>
      <c r="AA834" t="s">
        <v>53</v>
      </c>
      <c r="AB834">
        <v>11</v>
      </c>
    </row>
    <row r="835" spans="1:28" x14ac:dyDescent="0.25">
      <c r="A835" t="s">
        <v>1736</v>
      </c>
      <c r="B835">
        <v>37</v>
      </c>
      <c r="C835" t="s">
        <v>29</v>
      </c>
      <c r="D835" t="s">
        <v>30</v>
      </c>
      <c r="E835" t="s">
        <v>76</v>
      </c>
      <c r="F835" t="s">
        <v>32</v>
      </c>
      <c r="G835" t="s">
        <v>44</v>
      </c>
      <c r="H835" t="s">
        <v>1737</v>
      </c>
      <c r="I835" t="s">
        <v>123</v>
      </c>
      <c r="J835">
        <v>140.87</v>
      </c>
      <c r="K835">
        <v>8</v>
      </c>
      <c r="L835" t="s">
        <v>48</v>
      </c>
      <c r="M835">
        <v>3</v>
      </c>
      <c r="N835">
        <v>3</v>
      </c>
      <c r="O835">
        <v>2</v>
      </c>
      <c r="P835" t="s">
        <v>59</v>
      </c>
      <c r="Q835" t="s">
        <v>50</v>
      </c>
      <c r="R835">
        <v>2</v>
      </c>
      <c r="S835">
        <v>7</v>
      </c>
      <c r="T835" t="s">
        <v>49</v>
      </c>
      <c r="U835" t="s">
        <v>38</v>
      </c>
      <c r="V835" t="s">
        <v>66</v>
      </c>
      <c r="W835" s="1">
        <v>45354</v>
      </c>
      <c r="X835" t="b">
        <v>1</v>
      </c>
      <c r="Y835" t="b">
        <v>0</v>
      </c>
      <c r="Z835" t="s">
        <v>62</v>
      </c>
      <c r="AA835" t="s">
        <v>41</v>
      </c>
      <c r="AB835">
        <v>9</v>
      </c>
    </row>
    <row r="836" spans="1:28" x14ac:dyDescent="0.25">
      <c r="A836" t="s">
        <v>1738</v>
      </c>
      <c r="B836">
        <v>34</v>
      </c>
      <c r="C836" t="s">
        <v>29</v>
      </c>
      <c r="D836" t="s">
        <v>44</v>
      </c>
      <c r="E836" t="s">
        <v>55</v>
      </c>
      <c r="F836" t="s">
        <v>56</v>
      </c>
      <c r="G836" t="s">
        <v>44</v>
      </c>
      <c r="H836" t="s">
        <v>1739</v>
      </c>
      <c r="I836" t="s">
        <v>120</v>
      </c>
      <c r="J836">
        <v>151.25</v>
      </c>
      <c r="K836">
        <v>2</v>
      </c>
      <c r="L836" t="s">
        <v>48</v>
      </c>
      <c r="M836">
        <v>2</v>
      </c>
      <c r="N836">
        <v>5</v>
      </c>
      <c r="O836">
        <v>0</v>
      </c>
      <c r="P836" t="s">
        <v>49</v>
      </c>
      <c r="Q836" t="s">
        <v>37</v>
      </c>
      <c r="R836">
        <v>1</v>
      </c>
      <c r="S836">
        <v>8</v>
      </c>
      <c r="T836" t="s">
        <v>49</v>
      </c>
      <c r="U836" t="s">
        <v>38</v>
      </c>
      <c r="V836" t="s">
        <v>61</v>
      </c>
      <c r="W836" s="1">
        <v>45402</v>
      </c>
      <c r="X836" t="b">
        <v>1</v>
      </c>
      <c r="Y836" t="b">
        <v>0</v>
      </c>
      <c r="Z836" t="s">
        <v>74</v>
      </c>
      <c r="AA836" t="s">
        <v>41</v>
      </c>
      <c r="AB836">
        <v>10</v>
      </c>
    </row>
    <row r="837" spans="1:28" x14ac:dyDescent="0.25">
      <c r="A837" t="s">
        <v>1740</v>
      </c>
      <c r="B837">
        <v>27</v>
      </c>
      <c r="C837" t="s">
        <v>43</v>
      </c>
      <c r="D837" t="s">
        <v>44</v>
      </c>
      <c r="E837" t="s">
        <v>76</v>
      </c>
      <c r="F837" t="s">
        <v>56</v>
      </c>
      <c r="G837" t="s">
        <v>30</v>
      </c>
      <c r="H837" t="s">
        <v>1741</v>
      </c>
      <c r="I837" t="s">
        <v>107</v>
      </c>
      <c r="J837">
        <v>171.52</v>
      </c>
      <c r="K837">
        <v>3</v>
      </c>
      <c r="L837" t="s">
        <v>35</v>
      </c>
      <c r="M837">
        <v>5</v>
      </c>
      <c r="N837">
        <v>5</v>
      </c>
      <c r="O837">
        <v>2</v>
      </c>
      <c r="P837" t="s">
        <v>49</v>
      </c>
      <c r="Q837" t="s">
        <v>85</v>
      </c>
      <c r="R837">
        <v>1</v>
      </c>
      <c r="S837">
        <v>9</v>
      </c>
      <c r="T837" t="s">
        <v>49</v>
      </c>
      <c r="U837" t="s">
        <v>60</v>
      </c>
      <c r="V837" t="s">
        <v>86</v>
      </c>
      <c r="W837" s="1">
        <v>45525</v>
      </c>
      <c r="X837" t="b">
        <v>1</v>
      </c>
      <c r="Y837" t="b">
        <v>1</v>
      </c>
      <c r="Z837" t="s">
        <v>74</v>
      </c>
      <c r="AA837" t="s">
        <v>53</v>
      </c>
      <c r="AB837">
        <v>12</v>
      </c>
    </row>
    <row r="838" spans="1:28" x14ac:dyDescent="0.25">
      <c r="A838" t="s">
        <v>1742</v>
      </c>
      <c r="B838">
        <v>40</v>
      </c>
      <c r="C838" t="s">
        <v>43</v>
      </c>
      <c r="D838" t="s">
        <v>30</v>
      </c>
      <c r="E838" t="s">
        <v>69</v>
      </c>
      <c r="F838" t="s">
        <v>56</v>
      </c>
      <c r="G838" t="s">
        <v>44</v>
      </c>
      <c r="H838" t="s">
        <v>1743</v>
      </c>
      <c r="I838" t="s">
        <v>90</v>
      </c>
      <c r="J838">
        <v>399.56</v>
      </c>
      <c r="K838">
        <v>10</v>
      </c>
      <c r="L838" t="s">
        <v>78</v>
      </c>
      <c r="M838">
        <v>4</v>
      </c>
      <c r="N838">
        <v>2</v>
      </c>
      <c r="O838">
        <v>1</v>
      </c>
      <c r="P838" t="s">
        <v>59</v>
      </c>
      <c r="Q838" t="s">
        <v>50</v>
      </c>
      <c r="R838">
        <v>0</v>
      </c>
      <c r="S838">
        <v>4</v>
      </c>
      <c r="T838" t="s">
        <v>49</v>
      </c>
      <c r="U838" t="s">
        <v>79</v>
      </c>
      <c r="V838" t="s">
        <v>86</v>
      </c>
      <c r="W838" s="1">
        <v>45586</v>
      </c>
      <c r="X838" t="b">
        <v>1</v>
      </c>
      <c r="Y838" t="b">
        <v>1</v>
      </c>
      <c r="Z838" t="s">
        <v>40</v>
      </c>
      <c r="AA838" t="s">
        <v>41</v>
      </c>
      <c r="AB838">
        <v>1</v>
      </c>
    </row>
    <row r="839" spans="1:28" x14ac:dyDescent="0.25">
      <c r="A839" t="s">
        <v>1744</v>
      </c>
      <c r="B839">
        <v>40</v>
      </c>
      <c r="C839" t="s">
        <v>29</v>
      </c>
      <c r="D839" t="s">
        <v>30</v>
      </c>
      <c r="E839" t="s">
        <v>69</v>
      </c>
      <c r="F839" t="s">
        <v>56</v>
      </c>
      <c r="G839" t="s">
        <v>30</v>
      </c>
      <c r="H839" t="s">
        <v>1745</v>
      </c>
      <c r="I839" t="s">
        <v>90</v>
      </c>
      <c r="J839">
        <v>173.46</v>
      </c>
      <c r="K839">
        <v>4</v>
      </c>
      <c r="L839" t="s">
        <v>35</v>
      </c>
      <c r="M839">
        <v>5</v>
      </c>
      <c r="N839">
        <v>3</v>
      </c>
      <c r="O839">
        <v>1</v>
      </c>
      <c r="P839" t="s">
        <v>36</v>
      </c>
      <c r="Q839" t="s">
        <v>50</v>
      </c>
      <c r="R839">
        <v>0</v>
      </c>
      <c r="S839">
        <v>9</v>
      </c>
      <c r="T839" t="s">
        <v>49</v>
      </c>
      <c r="U839" t="s">
        <v>60</v>
      </c>
      <c r="V839" t="s">
        <v>51</v>
      </c>
      <c r="W839" s="1">
        <v>45393</v>
      </c>
      <c r="X839" t="b">
        <v>0</v>
      </c>
      <c r="Y839" t="b">
        <v>1</v>
      </c>
      <c r="Z839" t="s">
        <v>52</v>
      </c>
      <c r="AA839" t="s">
        <v>41</v>
      </c>
      <c r="AB839">
        <v>2</v>
      </c>
    </row>
    <row r="840" spans="1:28" x14ac:dyDescent="0.25">
      <c r="A840" t="s">
        <v>1746</v>
      </c>
      <c r="B840">
        <v>43</v>
      </c>
      <c r="C840" t="s">
        <v>43</v>
      </c>
      <c r="D840" t="s">
        <v>44</v>
      </c>
      <c r="E840" t="s">
        <v>69</v>
      </c>
      <c r="F840" t="s">
        <v>32</v>
      </c>
      <c r="G840" t="s">
        <v>44</v>
      </c>
      <c r="H840" t="s">
        <v>1747</v>
      </c>
      <c r="I840" t="s">
        <v>126</v>
      </c>
      <c r="J840">
        <v>332.14</v>
      </c>
      <c r="K840">
        <v>10</v>
      </c>
      <c r="L840" t="s">
        <v>78</v>
      </c>
      <c r="M840">
        <v>4</v>
      </c>
      <c r="N840">
        <v>4</v>
      </c>
      <c r="O840">
        <v>0</v>
      </c>
      <c r="P840" t="s">
        <v>59</v>
      </c>
      <c r="Q840" t="s">
        <v>37</v>
      </c>
      <c r="R840">
        <v>1</v>
      </c>
      <c r="S840">
        <v>2</v>
      </c>
      <c r="T840" t="s">
        <v>36</v>
      </c>
      <c r="U840" t="s">
        <v>79</v>
      </c>
      <c r="V840" t="s">
        <v>51</v>
      </c>
      <c r="W840" s="1">
        <v>45331</v>
      </c>
      <c r="X840" t="b">
        <v>1</v>
      </c>
      <c r="Y840" t="b">
        <v>1</v>
      </c>
      <c r="Z840" t="s">
        <v>74</v>
      </c>
      <c r="AA840" t="s">
        <v>41</v>
      </c>
      <c r="AB840">
        <v>13</v>
      </c>
    </row>
    <row r="841" spans="1:28" x14ac:dyDescent="0.25">
      <c r="A841" t="s">
        <v>1748</v>
      </c>
      <c r="B841">
        <v>37</v>
      </c>
      <c r="C841" t="s">
        <v>190</v>
      </c>
      <c r="D841" t="s">
        <v>30</v>
      </c>
      <c r="E841" t="s">
        <v>55</v>
      </c>
      <c r="F841" t="s">
        <v>32</v>
      </c>
      <c r="G841" t="s">
        <v>30</v>
      </c>
      <c r="H841" t="s">
        <v>1749</v>
      </c>
      <c r="I841" t="s">
        <v>47</v>
      </c>
      <c r="J841">
        <v>247.05</v>
      </c>
      <c r="K841">
        <v>8</v>
      </c>
      <c r="L841" t="s">
        <v>48</v>
      </c>
      <c r="M841">
        <v>3</v>
      </c>
      <c r="N841">
        <v>2</v>
      </c>
      <c r="O841">
        <v>1</v>
      </c>
      <c r="P841" t="s">
        <v>59</v>
      </c>
      <c r="Q841" t="s">
        <v>37</v>
      </c>
      <c r="R841">
        <v>1</v>
      </c>
      <c r="S841">
        <v>8</v>
      </c>
      <c r="T841" t="s">
        <v>44</v>
      </c>
      <c r="U841" t="s">
        <v>79</v>
      </c>
      <c r="V841" t="s">
        <v>86</v>
      </c>
      <c r="W841" s="1">
        <v>45437</v>
      </c>
      <c r="X841" t="b">
        <v>0</v>
      </c>
      <c r="Y841" t="b">
        <v>0</v>
      </c>
      <c r="Z841" t="s">
        <v>52</v>
      </c>
      <c r="AA841" t="s">
        <v>53</v>
      </c>
      <c r="AB841">
        <v>2</v>
      </c>
    </row>
    <row r="842" spans="1:28" x14ac:dyDescent="0.25">
      <c r="A842" t="s">
        <v>1750</v>
      </c>
      <c r="B842">
        <v>49</v>
      </c>
      <c r="C842" t="s">
        <v>43</v>
      </c>
      <c r="D842" t="s">
        <v>44</v>
      </c>
      <c r="E842" t="s">
        <v>55</v>
      </c>
      <c r="F842" t="s">
        <v>32</v>
      </c>
      <c r="G842" t="s">
        <v>44</v>
      </c>
      <c r="H842" t="s">
        <v>1751</v>
      </c>
      <c r="I842" t="s">
        <v>58</v>
      </c>
      <c r="J842">
        <v>365.88</v>
      </c>
      <c r="K842">
        <v>10</v>
      </c>
      <c r="L842" t="s">
        <v>35</v>
      </c>
      <c r="M842">
        <v>4</v>
      </c>
      <c r="N842">
        <v>5</v>
      </c>
      <c r="O842">
        <v>1</v>
      </c>
      <c r="P842" t="s">
        <v>36</v>
      </c>
      <c r="Q842" t="s">
        <v>37</v>
      </c>
      <c r="R842">
        <v>1</v>
      </c>
      <c r="S842">
        <v>1</v>
      </c>
      <c r="T842" t="s">
        <v>49</v>
      </c>
      <c r="U842" t="s">
        <v>38</v>
      </c>
      <c r="V842" t="s">
        <v>51</v>
      </c>
      <c r="W842" s="1">
        <v>45398</v>
      </c>
      <c r="X842" t="b">
        <v>0</v>
      </c>
      <c r="Y842" t="b">
        <v>0</v>
      </c>
      <c r="Z842" t="s">
        <v>52</v>
      </c>
      <c r="AA842" t="s">
        <v>67</v>
      </c>
      <c r="AB842">
        <v>9</v>
      </c>
    </row>
    <row r="843" spans="1:28" x14ac:dyDescent="0.25">
      <c r="A843" t="s">
        <v>1752</v>
      </c>
      <c r="B843">
        <v>27</v>
      </c>
      <c r="C843" t="s">
        <v>29</v>
      </c>
      <c r="D843" t="s">
        <v>30</v>
      </c>
      <c r="E843" t="s">
        <v>31</v>
      </c>
      <c r="F843" t="s">
        <v>32</v>
      </c>
      <c r="G843" t="s">
        <v>30</v>
      </c>
      <c r="H843" t="s">
        <v>1753</v>
      </c>
      <c r="I843" t="s">
        <v>126</v>
      </c>
      <c r="J843">
        <v>354.92</v>
      </c>
      <c r="K843">
        <v>8</v>
      </c>
      <c r="L843" t="s">
        <v>35</v>
      </c>
      <c r="M843">
        <v>5</v>
      </c>
      <c r="N843">
        <v>4</v>
      </c>
      <c r="O843">
        <v>0</v>
      </c>
      <c r="P843" t="s">
        <v>36</v>
      </c>
      <c r="Q843" t="s">
        <v>37</v>
      </c>
      <c r="R843">
        <v>0</v>
      </c>
      <c r="S843">
        <v>1</v>
      </c>
      <c r="T843" t="s">
        <v>36</v>
      </c>
      <c r="U843" t="s">
        <v>38</v>
      </c>
      <c r="V843" t="s">
        <v>61</v>
      </c>
      <c r="W843" s="1">
        <v>45339</v>
      </c>
      <c r="X843" t="b">
        <v>1</v>
      </c>
      <c r="Y843" t="b">
        <v>1</v>
      </c>
      <c r="Z843" t="s">
        <v>52</v>
      </c>
      <c r="AA843" t="s">
        <v>67</v>
      </c>
      <c r="AB843">
        <v>13</v>
      </c>
    </row>
    <row r="844" spans="1:28" x14ac:dyDescent="0.25">
      <c r="A844" t="s">
        <v>1754</v>
      </c>
      <c r="B844">
        <v>19</v>
      </c>
      <c r="C844" t="s">
        <v>29</v>
      </c>
      <c r="D844" t="s">
        <v>44</v>
      </c>
      <c r="E844" t="s">
        <v>55</v>
      </c>
      <c r="F844" t="s">
        <v>45</v>
      </c>
      <c r="G844" t="s">
        <v>44</v>
      </c>
      <c r="H844" t="s">
        <v>1755</v>
      </c>
      <c r="I844" t="s">
        <v>246</v>
      </c>
      <c r="J844">
        <v>195.46</v>
      </c>
      <c r="K844">
        <v>10</v>
      </c>
      <c r="L844" t="s">
        <v>35</v>
      </c>
      <c r="M844">
        <v>5</v>
      </c>
      <c r="N844">
        <v>3</v>
      </c>
      <c r="O844">
        <v>2</v>
      </c>
      <c r="P844" t="s">
        <v>36</v>
      </c>
      <c r="Q844" t="s">
        <v>50</v>
      </c>
      <c r="R844">
        <v>0</v>
      </c>
      <c r="S844">
        <v>10</v>
      </c>
      <c r="T844" t="s">
        <v>59</v>
      </c>
      <c r="U844" t="s">
        <v>38</v>
      </c>
      <c r="V844" t="s">
        <v>66</v>
      </c>
      <c r="W844" s="1">
        <v>45480</v>
      </c>
      <c r="X844" t="b">
        <v>1</v>
      </c>
      <c r="Y844" t="b">
        <v>0</v>
      </c>
      <c r="Z844" t="s">
        <v>62</v>
      </c>
      <c r="AA844" t="s">
        <v>53</v>
      </c>
      <c r="AB844">
        <v>9</v>
      </c>
    </row>
    <row r="845" spans="1:28" x14ac:dyDescent="0.25">
      <c r="A845" t="s">
        <v>1756</v>
      </c>
      <c r="B845">
        <v>40</v>
      </c>
      <c r="C845" t="s">
        <v>29</v>
      </c>
      <c r="D845" t="s">
        <v>44</v>
      </c>
      <c r="E845" t="s">
        <v>31</v>
      </c>
      <c r="F845" t="s">
        <v>56</v>
      </c>
      <c r="G845" t="s">
        <v>30</v>
      </c>
      <c r="H845" t="s">
        <v>1757</v>
      </c>
      <c r="I845" t="s">
        <v>82</v>
      </c>
      <c r="J845">
        <v>474.03</v>
      </c>
      <c r="K845">
        <v>7</v>
      </c>
      <c r="L845" t="s">
        <v>48</v>
      </c>
      <c r="M845">
        <v>3</v>
      </c>
      <c r="N845">
        <v>1</v>
      </c>
      <c r="O845">
        <v>1</v>
      </c>
      <c r="P845" t="s">
        <v>49</v>
      </c>
      <c r="Q845" t="s">
        <v>37</v>
      </c>
      <c r="R845">
        <v>0</v>
      </c>
      <c r="S845">
        <v>6</v>
      </c>
      <c r="T845" t="s">
        <v>44</v>
      </c>
      <c r="U845" t="s">
        <v>79</v>
      </c>
      <c r="V845" t="s">
        <v>66</v>
      </c>
      <c r="W845" s="1">
        <v>45507</v>
      </c>
      <c r="X845" t="b">
        <v>1</v>
      </c>
      <c r="Y845" t="b">
        <v>1</v>
      </c>
      <c r="Z845" t="s">
        <v>40</v>
      </c>
      <c r="AA845" t="s">
        <v>53</v>
      </c>
      <c r="AB845">
        <v>13</v>
      </c>
    </row>
    <row r="846" spans="1:28" x14ac:dyDescent="0.25">
      <c r="A846" t="s">
        <v>1758</v>
      </c>
      <c r="B846">
        <v>27</v>
      </c>
      <c r="C846" t="s">
        <v>43</v>
      </c>
      <c r="D846" t="s">
        <v>30</v>
      </c>
      <c r="E846" t="s">
        <v>31</v>
      </c>
      <c r="F846" t="s">
        <v>32</v>
      </c>
      <c r="G846" t="s">
        <v>44</v>
      </c>
      <c r="H846" t="s">
        <v>1759</v>
      </c>
      <c r="I846" t="s">
        <v>101</v>
      </c>
      <c r="J846">
        <v>106.96</v>
      </c>
      <c r="K846">
        <v>6</v>
      </c>
      <c r="L846" t="s">
        <v>48</v>
      </c>
      <c r="M846">
        <v>3</v>
      </c>
      <c r="N846">
        <v>1</v>
      </c>
      <c r="O846">
        <v>2</v>
      </c>
      <c r="P846" t="s">
        <v>59</v>
      </c>
      <c r="Q846" t="s">
        <v>50</v>
      </c>
      <c r="R846">
        <v>0</v>
      </c>
      <c r="S846">
        <v>7</v>
      </c>
      <c r="T846" t="s">
        <v>49</v>
      </c>
      <c r="U846" t="s">
        <v>38</v>
      </c>
      <c r="V846" t="s">
        <v>61</v>
      </c>
      <c r="W846" s="1">
        <v>45360</v>
      </c>
      <c r="X846" t="b">
        <v>1</v>
      </c>
      <c r="Y846" t="b">
        <v>1</v>
      </c>
      <c r="Z846" t="s">
        <v>62</v>
      </c>
      <c r="AA846" t="s">
        <v>53</v>
      </c>
      <c r="AB846">
        <v>3</v>
      </c>
    </row>
    <row r="847" spans="1:28" x14ac:dyDescent="0.25">
      <c r="A847" t="s">
        <v>1760</v>
      </c>
      <c r="B847">
        <v>29</v>
      </c>
      <c r="C847" t="s">
        <v>29</v>
      </c>
      <c r="D847" t="s">
        <v>30</v>
      </c>
      <c r="E847" t="s">
        <v>31</v>
      </c>
      <c r="F847" t="s">
        <v>56</v>
      </c>
      <c r="G847" t="s">
        <v>44</v>
      </c>
      <c r="H847" t="s">
        <v>1761</v>
      </c>
      <c r="I847" t="s">
        <v>117</v>
      </c>
      <c r="J847">
        <v>371.84</v>
      </c>
      <c r="K847">
        <v>9</v>
      </c>
      <c r="L847" t="s">
        <v>48</v>
      </c>
      <c r="M847">
        <v>5</v>
      </c>
      <c r="N847">
        <v>4</v>
      </c>
      <c r="O847">
        <v>0</v>
      </c>
      <c r="P847" t="s">
        <v>36</v>
      </c>
      <c r="Q847" t="s">
        <v>50</v>
      </c>
      <c r="R847">
        <v>2</v>
      </c>
      <c r="S847">
        <v>6</v>
      </c>
      <c r="T847" t="s">
        <v>36</v>
      </c>
      <c r="U847" t="s">
        <v>38</v>
      </c>
      <c r="V847" t="s">
        <v>66</v>
      </c>
      <c r="W847" s="1">
        <v>45501</v>
      </c>
      <c r="X847" t="b">
        <v>0</v>
      </c>
      <c r="Y847" t="b">
        <v>1</v>
      </c>
      <c r="Z847" t="s">
        <v>62</v>
      </c>
      <c r="AA847" t="s">
        <v>53</v>
      </c>
      <c r="AB847">
        <v>2</v>
      </c>
    </row>
    <row r="848" spans="1:28" x14ac:dyDescent="0.25">
      <c r="A848" t="s">
        <v>1762</v>
      </c>
      <c r="B848">
        <v>45</v>
      </c>
      <c r="C848" t="s">
        <v>212</v>
      </c>
      <c r="D848" t="s">
        <v>44</v>
      </c>
      <c r="E848" t="s">
        <v>55</v>
      </c>
      <c r="F848" t="s">
        <v>32</v>
      </c>
      <c r="G848" t="s">
        <v>44</v>
      </c>
      <c r="H848" t="s">
        <v>1763</v>
      </c>
      <c r="I848" t="s">
        <v>142</v>
      </c>
      <c r="J848">
        <v>461.16</v>
      </c>
      <c r="K848">
        <v>8</v>
      </c>
      <c r="L848" t="s">
        <v>35</v>
      </c>
      <c r="M848">
        <v>1</v>
      </c>
      <c r="N848">
        <v>4</v>
      </c>
      <c r="O848">
        <v>1</v>
      </c>
      <c r="P848" t="s">
        <v>44</v>
      </c>
      <c r="Q848" t="s">
        <v>50</v>
      </c>
      <c r="R848">
        <v>0</v>
      </c>
      <c r="S848">
        <v>3</v>
      </c>
      <c r="T848" t="s">
        <v>49</v>
      </c>
      <c r="U848" t="s">
        <v>60</v>
      </c>
      <c r="V848" t="s">
        <v>66</v>
      </c>
      <c r="W848" s="1">
        <v>45351</v>
      </c>
      <c r="X848" t="b">
        <v>1</v>
      </c>
      <c r="Y848" t="b">
        <v>1</v>
      </c>
      <c r="Z848" t="s">
        <v>74</v>
      </c>
      <c r="AA848" t="s">
        <v>67</v>
      </c>
      <c r="AB848">
        <v>14</v>
      </c>
    </row>
    <row r="849" spans="1:28" x14ac:dyDescent="0.25">
      <c r="A849" t="s">
        <v>1764</v>
      </c>
      <c r="B849">
        <v>24</v>
      </c>
      <c r="C849" t="s">
        <v>29</v>
      </c>
      <c r="D849" t="s">
        <v>44</v>
      </c>
      <c r="E849" t="s">
        <v>55</v>
      </c>
      <c r="F849" t="s">
        <v>45</v>
      </c>
      <c r="G849" t="s">
        <v>30</v>
      </c>
      <c r="H849" t="s">
        <v>1765</v>
      </c>
      <c r="I849" t="s">
        <v>82</v>
      </c>
      <c r="J849">
        <v>497.75</v>
      </c>
      <c r="K849">
        <v>11</v>
      </c>
      <c r="L849" t="s">
        <v>48</v>
      </c>
      <c r="M849">
        <v>4</v>
      </c>
      <c r="N849">
        <v>1</v>
      </c>
      <c r="O849">
        <v>2</v>
      </c>
      <c r="P849" t="s">
        <v>36</v>
      </c>
      <c r="Q849" t="s">
        <v>85</v>
      </c>
      <c r="R849">
        <v>2</v>
      </c>
      <c r="S849">
        <v>1</v>
      </c>
      <c r="T849" t="s">
        <v>49</v>
      </c>
      <c r="U849" t="s">
        <v>60</v>
      </c>
      <c r="V849" t="s">
        <v>86</v>
      </c>
      <c r="W849" s="1">
        <v>45476</v>
      </c>
      <c r="X849" t="b">
        <v>1</v>
      </c>
      <c r="Y849" t="b">
        <v>0</v>
      </c>
      <c r="Z849" t="s">
        <v>52</v>
      </c>
      <c r="AA849" t="s">
        <v>67</v>
      </c>
      <c r="AB849">
        <v>13</v>
      </c>
    </row>
    <row r="850" spans="1:28" x14ac:dyDescent="0.25">
      <c r="A850" t="s">
        <v>1766</v>
      </c>
      <c r="B850">
        <v>45</v>
      </c>
      <c r="C850" t="s">
        <v>29</v>
      </c>
      <c r="D850" t="s">
        <v>30</v>
      </c>
      <c r="E850" t="s">
        <v>31</v>
      </c>
      <c r="F850" t="s">
        <v>56</v>
      </c>
      <c r="G850" t="s">
        <v>30</v>
      </c>
      <c r="H850" t="s">
        <v>1684</v>
      </c>
      <c r="I850" t="s">
        <v>104</v>
      </c>
      <c r="J850">
        <v>492.83</v>
      </c>
      <c r="K850">
        <v>5</v>
      </c>
      <c r="L850" t="s">
        <v>78</v>
      </c>
      <c r="M850">
        <v>2</v>
      </c>
      <c r="N850">
        <v>1</v>
      </c>
      <c r="O850">
        <v>0</v>
      </c>
      <c r="P850" t="s">
        <v>44</v>
      </c>
      <c r="Q850" t="s">
        <v>85</v>
      </c>
      <c r="R850">
        <v>0</v>
      </c>
      <c r="S850">
        <v>4</v>
      </c>
      <c r="T850" t="s">
        <v>44</v>
      </c>
      <c r="U850" t="s">
        <v>38</v>
      </c>
      <c r="V850" t="s">
        <v>61</v>
      </c>
      <c r="W850" s="1">
        <v>45353</v>
      </c>
      <c r="X850" t="b">
        <v>1</v>
      </c>
      <c r="Y850" t="b">
        <v>0</v>
      </c>
      <c r="Z850" t="s">
        <v>40</v>
      </c>
      <c r="AA850" t="s">
        <v>41</v>
      </c>
      <c r="AB850">
        <v>2</v>
      </c>
    </row>
    <row r="851" spans="1:28" x14ac:dyDescent="0.25">
      <c r="A851" t="s">
        <v>1767</v>
      </c>
      <c r="B851">
        <v>39</v>
      </c>
      <c r="C851" t="s">
        <v>29</v>
      </c>
      <c r="D851" t="s">
        <v>30</v>
      </c>
      <c r="E851" t="s">
        <v>76</v>
      </c>
      <c r="F851" t="s">
        <v>45</v>
      </c>
      <c r="G851" t="s">
        <v>30</v>
      </c>
      <c r="H851" t="s">
        <v>1768</v>
      </c>
      <c r="I851" t="s">
        <v>158</v>
      </c>
      <c r="J851">
        <v>295.54000000000002</v>
      </c>
      <c r="K851">
        <v>8</v>
      </c>
      <c r="L851" t="s">
        <v>78</v>
      </c>
      <c r="M851">
        <v>3</v>
      </c>
      <c r="N851">
        <v>3</v>
      </c>
      <c r="O851">
        <v>1</v>
      </c>
      <c r="P851" t="s">
        <v>36</v>
      </c>
      <c r="Q851" t="s">
        <v>85</v>
      </c>
      <c r="R851">
        <v>2</v>
      </c>
      <c r="S851">
        <v>4</v>
      </c>
      <c r="T851" t="s">
        <v>59</v>
      </c>
      <c r="U851" t="s">
        <v>38</v>
      </c>
      <c r="V851" t="s">
        <v>86</v>
      </c>
      <c r="W851" s="1">
        <v>45500</v>
      </c>
      <c r="X851" t="b">
        <v>0</v>
      </c>
      <c r="Y851" t="b">
        <v>0</v>
      </c>
      <c r="Z851" t="s">
        <v>74</v>
      </c>
      <c r="AA851" t="s">
        <v>67</v>
      </c>
      <c r="AB851">
        <v>14</v>
      </c>
    </row>
    <row r="852" spans="1:28" x14ac:dyDescent="0.25">
      <c r="A852" t="s">
        <v>1769</v>
      </c>
      <c r="B852">
        <v>40</v>
      </c>
      <c r="C852" t="s">
        <v>43</v>
      </c>
      <c r="D852" t="s">
        <v>44</v>
      </c>
      <c r="E852" t="s">
        <v>69</v>
      </c>
      <c r="F852" t="s">
        <v>45</v>
      </c>
      <c r="G852" t="s">
        <v>44</v>
      </c>
      <c r="H852" t="s">
        <v>1770</v>
      </c>
      <c r="I852" t="s">
        <v>71</v>
      </c>
      <c r="J852">
        <v>494.81</v>
      </c>
      <c r="K852">
        <v>9</v>
      </c>
      <c r="L852" t="s">
        <v>35</v>
      </c>
      <c r="M852">
        <v>2</v>
      </c>
      <c r="N852">
        <v>4</v>
      </c>
      <c r="O852">
        <v>1</v>
      </c>
      <c r="P852" t="s">
        <v>49</v>
      </c>
      <c r="Q852" t="s">
        <v>85</v>
      </c>
      <c r="R852">
        <v>1</v>
      </c>
      <c r="S852">
        <v>7</v>
      </c>
      <c r="T852" t="s">
        <v>49</v>
      </c>
      <c r="U852" t="s">
        <v>38</v>
      </c>
      <c r="V852" t="s">
        <v>51</v>
      </c>
      <c r="W852" s="1">
        <v>45438</v>
      </c>
      <c r="X852" t="b">
        <v>1</v>
      </c>
      <c r="Y852" t="b">
        <v>1</v>
      </c>
      <c r="Z852" t="s">
        <v>40</v>
      </c>
      <c r="AA852" t="s">
        <v>53</v>
      </c>
      <c r="AB852">
        <v>6</v>
      </c>
    </row>
    <row r="853" spans="1:28" x14ac:dyDescent="0.25">
      <c r="A853" t="s">
        <v>1771</v>
      </c>
      <c r="B853">
        <v>21</v>
      </c>
      <c r="C853" t="s">
        <v>29</v>
      </c>
      <c r="D853" t="s">
        <v>44</v>
      </c>
      <c r="E853" t="s">
        <v>55</v>
      </c>
      <c r="F853" t="s">
        <v>56</v>
      </c>
      <c r="G853" t="s">
        <v>30</v>
      </c>
      <c r="H853" t="s">
        <v>1772</v>
      </c>
      <c r="I853" t="s">
        <v>93</v>
      </c>
      <c r="J853">
        <v>160.25</v>
      </c>
      <c r="K853">
        <v>7</v>
      </c>
      <c r="L853" t="s">
        <v>78</v>
      </c>
      <c r="M853">
        <v>2</v>
      </c>
      <c r="N853">
        <v>3</v>
      </c>
      <c r="O853">
        <v>2</v>
      </c>
      <c r="P853" t="s">
        <v>36</v>
      </c>
      <c r="Q853" t="s">
        <v>85</v>
      </c>
      <c r="R853">
        <v>2</v>
      </c>
      <c r="S853">
        <v>5</v>
      </c>
      <c r="T853" t="s">
        <v>44</v>
      </c>
      <c r="U853" t="s">
        <v>79</v>
      </c>
      <c r="V853" t="s">
        <v>51</v>
      </c>
      <c r="W853" s="1">
        <v>45355</v>
      </c>
      <c r="X853" t="b">
        <v>1</v>
      </c>
      <c r="Y853" t="b">
        <v>1</v>
      </c>
      <c r="Z853" t="s">
        <v>40</v>
      </c>
      <c r="AA853" t="s">
        <v>41</v>
      </c>
      <c r="AB853">
        <v>12</v>
      </c>
    </row>
    <row r="854" spans="1:28" x14ac:dyDescent="0.25">
      <c r="A854" t="s">
        <v>1773</v>
      </c>
      <c r="B854">
        <v>42</v>
      </c>
      <c r="C854" t="s">
        <v>29</v>
      </c>
      <c r="D854" t="s">
        <v>30</v>
      </c>
      <c r="E854" t="s">
        <v>31</v>
      </c>
      <c r="F854" t="s">
        <v>56</v>
      </c>
      <c r="G854" t="s">
        <v>44</v>
      </c>
      <c r="H854" t="s">
        <v>1774</v>
      </c>
      <c r="I854" t="s">
        <v>34</v>
      </c>
      <c r="J854">
        <v>198.36</v>
      </c>
      <c r="K854">
        <v>4</v>
      </c>
      <c r="L854" t="s">
        <v>78</v>
      </c>
      <c r="M854">
        <v>1</v>
      </c>
      <c r="N854">
        <v>1</v>
      </c>
      <c r="O854">
        <v>2</v>
      </c>
      <c r="P854" t="s">
        <v>36</v>
      </c>
      <c r="Q854" t="s">
        <v>37</v>
      </c>
      <c r="R854">
        <v>1</v>
      </c>
      <c r="S854">
        <v>9</v>
      </c>
      <c r="T854" t="s">
        <v>36</v>
      </c>
      <c r="U854" t="s">
        <v>79</v>
      </c>
      <c r="V854" t="s">
        <v>86</v>
      </c>
      <c r="W854" s="1">
        <v>45639</v>
      </c>
      <c r="X854" t="b">
        <v>0</v>
      </c>
      <c r="Y854" t="b">
        <v>1</v>
      </c>
      <c r="Z854" t="s">
        <v>52</v>
      </c>
      <c r="AA854" t="s">
        <v>53</v>
      </c>
      <c r="AB854">
        <v>4</v>
      </c>
    </row>
    <row r="855" spans="1:28" x14ac:dyDescent="0.25">
      <c r="A855" t="s">
        <v>1775</v>
      </c>
      <c r="B855">
        <v>44</v>
      </c>
      <c r="C855" t="s">
        <v>29</v>
      </c>
      <c r="D855" t="s">
        <v>30</v>
      </c>
      <c r="E855" t="s">
        <v>76</v>
      </c>
      <c r="F855" t="s">
        <v>32</v>
      </c>
      <c r="G855" t="s">
        <v>44</v>
      </c>
      <c r="H855" t="s">
        <v>1776</v>
      </c>
      <c r="I855" t="s">
        <v>71</v>
      </c>
      <c r="J855">
        <v>82.39</v>
      </c>
      <c r="K855">
        <v>12</v>
      </c>
      <c r="L855" t="s">
        <v>48</v>
      </c>
      <c r="M855">
        <v>5</v>
      </c>
      <c r="N855">
        <v>1</v>
      </c>
      <c r="O855">
        <v>1</v>
      </c>
      <c r="P855" t="s">
        <v>36</v>
      </c>
      <c r="Q855" t="s">
        <v>37</v>
      </c>
      <c r="R855">
        <v>0</v>
      </c>
      <c r="S855">
        <v>8</v>
      </c>
      <c r="T855" t="s">
        <v>36</v>
      </c>
      <c r="U855" t="s">
        <v>60</v>
      </c>
      <c r="V855" t="s">
        <v>66</v>
      </c>
      <c r="W855" s="1">
        <v>45346</v>
      </c>
      <c r="X855" t="b">
        <v>0</v>
      </c>
      <c r="Y855" t="b">
        <v>0</v>
      </c>
      <c r="Z855" t="s">
        <v>74</v>
      </c>
      <c r="AA855" t="s">
        <v>67</v>
      </c>
      <c r="AB855">
        <v>1</v>
      </c>
    </row>
    <row r="856" spans="1:28" x14ac:dyDescent="0.25">
      <c r="A856" t="s">
        <v>1777</v>
      </c>
      <c r="B856">
        <v>46</v>
      </c>
      <c r="C856" t="s">
        <v>29</v>
      </c>
      <c r="D856" t="s">
        <v>30</v>
      </c>
      <c r="E856" t="s">
        <v>31</v>
      </c>
      <c r="F856" t="s">
        <v>56</v>
      </c>
      <c r="G856" t="s">
        <v>44</v>
      </c>
      <c r="H856" t="s">
        <v>1778</v>
      </c>
      <c r="I856" t="s">
        <v>107</v>
      </c>
      <c r="J856">
        <v>290.56</v>
      </c>
      <c r="K856">
        <v>3</v>
      </c>
      <c r="L856" t="s">
        <v>48</v>
      </c>
      <c r="M856">
        <v>5</v>
      </c>
      <c r="N856">
        <v>1</v>
      </c>
      <c r="O856">
        <v>2</v>
      </c>
      <c r="P856" t="s">
        <v>36</v>
      </c>
      <c r="Q856" t="s">
        <v>37</v>
      </c>
      <c r="R856">
        <v>1</v>
      </c>
      <c r="S856">
        <v>1</v>
      </c>
      <c r="T856" t="s">
        <v>36</v>
      </c>
      <c r="U856" t="s">
        <v>79</v>
      </c>
      <c r="V856" t="s">
        <v>51</v>
      </c>
      <c r="W856" s="1">
        <v>45363</v>
      </c>
      <c r="X856" t="b">
        <v>1</v>
      </c>
      <c r="Y856" t="b">
        <v>0</v>
      </c>
      <c r="Z856" t="s">
        <v>52</v>
      </c>
      <c r="AA856" t="s">
        <v>41</v>
      </c>
      <c r="AB856">
        <v>4</v>
      </c>
    </row>
    <row r="857" spans="1:28" x14ac:dyDescent="0.25">
      <c r="A857" t="s">
        <v>1779</v>
      </c>
      <c r="B857">
        <v>29</v>
      </c>
      <c r="C857" t="s">
        <v>43</v>
      </c>
      <c r="D857" t="s">
        <v>44</v>
      </c>
      <c r="E857" t="s">
        <v>76</v>
      </c>
      <c r="F857" t="s">
        <v>56</v>
      </c>
      <c r="G857" t="s">
        <v>44</v>
      </c>
      <c r="H857" t="s">
        <v>1780</v>
      </c>
      <c r="I857" t="s">
        <v>101</v>
      </c>
      <c r="J857">
        <v>206.79</v>
      </c>
      <c r="K857">
        <v>5</v>
      </c>
      <c r="L857" t="s">
        <v>48</v>
      </c>
      <c r="M857">
        <v>1</v>
      </c>
      <c r="N857">
        <v>3</v>
      </c>
      <c r="O857">
        <v>2</v>
      </c>
      <c r="P857" t="s">
        <v>44</v>
      </c>
      <c r="Q857" t="s">
        <v>85</v>
      </c>
      <c r="R857">
        <v>1</v>
      </c>
      <c r="S857">
        <v>2</v>
      </c>
      <c r="T857" t="s">
        <v>59</v>
      </c>
      <c r="U857" t="s">
        <v>38</v>
      </c>
      <c r="V857" t="s">
        <v>39</v>
      </c>
      <c r="W857" s="1">
        <v>45525</v>
      </c>
      <c r="X857" t="b">
        <v>0</v>
      </c>
      <c r="Y857" t="b">
        <v>0</v>
      </c>
      <c r="Z857" t="s">
        <v>74</v>
      </c>
      <c r="AA857" t="s">
        <v>53</v>
      </c>
      <c r="AB857">
        <v>4</v>
      </c>
    </row>
    <row r="858" spans="1:28" x14ac:dyDescent="0.25">
      <c r="A858" t="s">
        <v>1781</v>
      </c>
      <c r="B858">
        <v>19</v>
      </c>
      <c r="C858" t="s">
        <v>29</v>
      </c>
      <c r="D858" t="s">
        <v>30</v>
      </c>
      <c r="E858" t="s">
        <v>31</v>
      </c>
      <c r="F858" t="s">
        <v>45</v>
      </c>
      <c r="G858" t="s">
        <v>44</v>
      </c>
      <c r="H858" t="s">
        <v>1782</v>
      </c>
      <c r="I858" t="s">
        <v>123</v>
      </c>
      <c r="J858">
        <v>401.43</v>
      </c>
      <c r="K858">
        <v>8</v>
      </c>
      <c r="L858" t="s">
        <v>35</v>
      </c>
      <c r="M858">
        <v>4</v>
      </c>
      <c r="N858">
        <v>2</v>
      </c>
      <c r="O858">
        <v>0</v>
      </c>
      <c r="P858" t="s">
        <v>36</v>
      </c>
      <c r="Q858" t="s">
        <v>50</v>
      </c>
      <c r="R858">
        <v>0</v>
      </c>
      <c r="S858">
        <v>6</v>
      </c>
      <c r="T858" t="s">
        <v>44</v>
      </c>
      <c r="U858" t="s">
        <v>38</v>
      </c>
      <c r="V858" t="s">
        <v>66</v>
      </c>
      <c r="W858" s="1">
        <v>45435</v>
      </c>
      <c r="X858" t="b">
        <v>1</v>
      </c>
      <c r="Y858" t="b">
        <v>1</v>
      </c>
      <c r="Z858" t="s">
        <v>40</v>
      </c>
      <c r="AA858" t="s">
        <v>41</v>
      </c>
      <c r="AB858">
        <v>5</v>
      </c>
    </row>
    <row r="859" spans="1:28" x14ac:dyDescent="0.25">
      <c r="A859" t="s">
        <v>1783</v>
      </c>
      <c r="B859">
        <v>21</v>
      </c>
      <c r="C859" t="s">
        <v>43</v>
      </c>
      <c r="D859" t="s">
        <v>44</v>
      </c>
      <c r="E859" t="s">
        <v>69</v>
      </c>
      <c r="F859" t="s">
        <v>56</v>
      </c>
      <c r="G859" t="s">
        <v>44</v>
      </c>
      <c r="H859" t="s">
        <v>1784</v>
      </c>
      <c r="I859" t="s">
        <v>90</v>
      </c>
      <c r="J859">
        <v>188.17</v>
      </c>
      <c r="K859">
        <v>9</v>
      </c>
      <c r="L859" t="s">
        <v>78</v>
      </c>
      <c r="M859">
        <v>5</v>
      </c>
      <c r="N859">
        <v>5</v>
      </c>
      <c r="O859">
        <v>0</v>
      </c>
      <c r="P859" t="s">
        <v>49</v>
      </c>
      <c r="Q859" t="s">
        <v>50</v>
      </c>
      <c r="R859">
        <v>1</v>
      </c>
      <c r="S859">
        <v>5</v>
      </c>
      <c r="T859" t="s">
        <v>59</v>
      </c>
      <c r="U859" t="s">
        <v>79</v>
      </c>
      <c r="V859" t="s">
        <v>61</v>
      </c>
      <c r="W859" s="1">
        <v>45438</v>
      </c>
      <c r="X859" t="b">
        <v>1</v>
      </c>
      <c r="Y859" t="b">
        <v>0</v>
      </c>
      <c r="Z859" t="s">
        <v>40</v>
      </c>
      <c r="AA859" t="s">
        <v>53</v>
      </c>
      <c r="AB859">
        <v>9</v>
      </c>
    </row>
    <row r="860" spans="1:28" x14ac:dyDescent="0.25">
      <c r="A860" t="s">
        <v>1785</v>
      </c>
      <c r="B860">
        <v>38</v>
      </c>
      <c r="C860" t="s">
        <v>29</v>
      </c>
      <c r="D860" t="s">
        <v>44</v>
      </c>
      <c r="E860" t="s">
        <v>55</v>
      </c>
      <c r="F860" t="s">
        <v>45</v>
      </c>
      <c r="G860" t="s">
        <v>44</v>
      </c>
      <c r="H860" t="s">
        <v>1786</v>
      </c>
      <c r="I860" t="s">
        <v>34</v>
      </c>
      <c r="J860">
        <v>83.21</v>
      </c>
      <c r="K860">
        <v>10</v>
      </c>
      <c r="L860" t="s">
        <v>78</v>
      </c>
      <c r="M860">
        <v>4</v>
      </c>
      <c r="N860">
        <v>3</v>
      </c>
      <c r="O860">
        <v>2</v>
      </c>
      <c r="P860" t="s">
        <v>59</v>
      </c>
      <c r="Q860" t="s">
        <v>37</v>
      </c>
      <c r="R860">
        <v>0</v>
      </c>
      <c r="S860">
        <v>4</v>
      </c>
      <c r="T860" t="s">
        <v>44</v>
      </c>
      <c r="U860" t="s">
        <v>79</v>
      </c>
      <c r="V860" t="s">
        <v>66</v>
      </c>
      <c r="W860" s="1">
        <v>45371</v>
      </c>
      <c r="X860" t="b">
        <v>0</v>
      </c>
      <c r="Y860" t="b">
        <v>0</v>
      </c>
      <c r="Z860" t="s">
        <v>62</v>
      </c>
      <c r="AA860" t="s">
        <v>53</v>
      </c>
      <c r="AB860">
        <v>7</v>
      </c>
    </row>
    <row r="861" spans="1:28" x14ac:dyDescent="0.25">
      <c r="A861" t="s">
        <v>1787</v>
      </c>
      <c r="B861">
        <v>41</v>
      </c>
      <c r="C861" t="s">
        <v>88</v>
      </c>
      <c r="D861" t="s">
        <v>30</v>
      </c>
      <c r="E861" t="s">
        <v>76</v>
      </c>
      <c r="F861" t="s">
        <v>56</v>
      </c>
      <c r="G861" t="s">
        <v>30</v>
      </c>
      <c r="H861" t="s">
        <v>1788</v>
      </c>
      <c r="I861" t="s">
        <v>34</v>
      </c>
      <c r="J861">
        <v>54.74</v>
      </c>
      <c r="K861">
        <v>4</v>
      </c>
      <c r="L861" t="s">
        <v>48</v>
      </c>
      <c r="M861">
        <v>1</v>
      </c>
      <c r="N861">
        <v>2</v>
      </c>
      <c r="O861">
        <v>0</v>
      </c>
      <c r="P861" t="s">
        <v>36</v>
      </c>
      <c r="Q861" t="s">
        <v>37</v>
      </c>
      <c r="R861">
        <v>0</v>
      </c>
      <c r="S861">
        <v>4</v>
      </c>
      <c r="T861" t="s">
        <v>59</v>
      </c>
      <c r="U861" t="s">
        <v>60</v>
      </c>
      <c r="V861" t="s">
        <v>51</v>
      </c>
      <c r="W861" s="1">
        <v>45568</v>
      </c>
      <c r="X861" t="b">
        <v>1</v>
      </c>
      <c r="Y861" t="b">
        <v>1</v>
      </c>
      <c r="Z861" t="s">
        <v>62</v>
      </c>
      <c r="AA861" t="s">
        <v>41</v>
      </c>
      <c r="AB861">
        <v>14</v>
      </c>
    </row>
    <row r="862" spans="1:28" x14ac:dyDescent="0.25">
      <c r="A862" t="s">
        <v>1789</v>
      </c>
      <c r="B862">
        <v>49</v>
      </c>
      <c r="C862" t="s">
        <v>29</v>
      </c>
      <c r="D862" t="s">
        <v>44</v>
      </c>
      <c r="E862" t="s">
        <v>76</v>
      </c>
      <c r="F862" t="s">
        <v>56</v>
      </c>
      <c r="G862" t="s">
        <v>44</v>
      </c>
      <c r="H862" t="s">
        <v>1790</v>
      </c>
      <c r="I862" t="s">
        <v>58</v>
      </c>
      <c r="J862">
        <v>371.12</v>
      </c>
      <c r="K862">
        <v>8</v>
      </c>
      <c r="L862" t="s">
        <v>78</v>
      </c>
      <c r="M862">
        <v>5</v>
      </c>
      <c r="N862">
        <v>1</v>
      </c>
      <c r="O862">
        <v>2</v>
      </c>
      <c r="P862" t="s">
        <v>44</v>
      </c>
      <c r="Q862" t="s">
        <v>37</v>
      </c>
      <c r="R862">
        <v>1</v>
      </c>
      <c r="S862">
        <v>7</v>
      </c>
      <c r="T862" t="s">
        <v>59</v>
      </c>
      <c r="U862" t="s">
        <v>60</v>
      </c>
      <c r="V862" t="s">
        <v>51</v>
      </c>
      <c r="W862" s="1">
        <v>45527</v>
      </c>
      <c r="X862" t="b">
        <v>0</v>
      </c>
      <c r="Y862" t="b">
        <v>1</v>
      </c>
      <c r="Z862" t="s">
        <v>52</v>
      </c>
      <c r="AA862" t="s">
        <v>41</v>
      </c>
      <c r="AB862">
        <v>8</v>
      </c>
    </row>
    <row r="863" spans="1:28" x14ac:dyDescent="0.25">
      <c r="A863" t="s">
        <v>1791</v>
      </c>
      <c r="B863">
        <v>32</v>
      </c>
      <c r="C863" t="s">
        <v>148</v>
      </c>
      <c r="D863" t="s">
        <v>30</v>
      </c>
      <c r="E863" t="s">
        <v>55</v>
      </c>
      <c r="F863" t="s">
        <v>45</v>
      </c>
      <c r="G863" t="s">
        <v>30</v>
      </c>
      <c r="H863" t="s">
        <v>1792</v>
      </c>
      <c r="I863" t="s">
        <v>114</v>
      </c>
      <c r="J863">
        <v>293.64</v>
      </c>
      <c r="K863">
        <v>3</v>
      </c>
      <c r="L863" t="s">
        <v>48</v>
      </c>
      <c r="M863">
        <v>2</v>
      </c>
      <c r="N863">
        <v>1</v>
      </c>
      <c r="O863">
        <v>2</v>
      </c>
      <c r="P863" t="s">
        <v>59</v>
      </c>
      <c r="Q863" t="s">
        <v>50</v>
      </c>
      <c r="R863">
        <v>2</v>
      </c>
      <c r="S863">
        <v>8</v>
      </c>
      <c r="T863" t="s">
        <v>36</v>
      </c>
      <c r="U863" t="s">
        <v>38</v>
      </c>
      <c r="V863" t="s">
        <v>39</v>
      </c>
      <c r="W863" s="1">
        <v>45552</v>
      </c>
      <c r="X863" t="b">
        <v>1</v>
      </c>
      <c r="Y863" t="b">
        <v>0</v>
      </c>
      <c r="Z863" t="s">
        <v>62</v>
      </c>
      <c r="AA863" t="s">
        <v>67</v>
      </c>
      <c r="AB863">
        <v>5</v>
      </c>
    </row>
    <row r="864" spans="1:28" x14ac:dyDescent="0.25">
      <c r="A864" t="s">
        <v>1793</v>
      </c>
      <c r="B864">
        <v>24</v>
      </c>
      <c r="C864" t="s">
        <v>43</v>
      </c>
      <c r="D864" t="s">
        <v>44</v>
      </c>
      <c r="E864" t="s">
        <v>31</v>
      </c>
      <c r="F864" t="s">
        <v>45</v>
      </c>
      <c r="G864" t="s">
        <v>44</v>
      </c>
      <c r="H864" t="s">
        <v>1794</v>
      </c>
      <c r="I864" t="s">
        <v>82</v>
      </c>
      <c r="J864">
        <v>185.83</v>
      </c>
      <c r="K864">
        <v>11</v>
      </c>
      <c r="L864" t="s">
        <v>48</v>
      </c>
      <c r="M864">
        <v>4</v>
      </c>
      <c r="N864">
        <v>2</v>
      </c>
      <c r="O864">
        <v>2</v>
      </c>
      <c r="P864" t="s">
        <v>59</v>
      </c>
      <c r="Q864" t="s">
        <v>50</v>
      </c>
      <c r="R864">
        <v>2</v>
      </c>
      <c r="S864">
        <v>9</v>
      </c>
      <c r="T864" t="s">
        <v>49</v>
      </c>
      <c r="U864" t="s">
        <v>79</v>
      </c>
      <c r="V864" t="s">
        <v>66</v>
      </c>
      <c r="W864" s="1">
        <v>45582</v>
      </c>
      <c r="X864" t="b">
        <v>0</v>
      </c>
      <c r="Y864" t="b">
        <v>1</v>
      </c>
      <c r="Z864" t="s">
        <v>62</v>
      </c>
      <c r="AA864" t="s">
        <v>53</v>
      </c>
      <c r="AB864">
        <v>1</v>
      </c>
    </row>
    <row r="865" spans="1:28" x14ac:dyDescent="0.25">
      <c r="A865" t="s">
        <v>1795</v>
      </c>
      <c r="B865">
        <v>27</v>
      </c>
      <c r="C865" t="s">
        <v>43</v>
      </c>
      <c r="D865" t="s">
        <v>44</v>
      </c>
      <c r="E865" t="s">
        <v>76</v>
      </c>
      <c r="F865" t="s">
        <v>56</v>
      </c>
      <c r="G865" t="s">
        <v>30</v>
      </c>
      <c r="H865" t="s">
        <v>1796</v>
      </c>
      <c r="I865" t="s">
        <v>58</v>
      </c>
      <c r="J865">
        <v>117.13</v>
      </c>
      <c r="K865">
        <v>7</v>
      </c>
      <c r="L865" t="s">
        <v>35</v>
      </c>
      <c r="M865">
        <v>1</v>
      </c>
      <c r="N865">
        <v>1</v>
      </c>
      <c r="O865">
        <v>2</v>
      </c>
      <c r="P865" t="s">
        <v>44</v>
      </c>
      <c r="Q865" t="s">
        <v>37</v>
      </c>
      <c r="R865">
        <v>1</v>
      </c>
      <c r="S865">
        <v>10</v>
      </c>
      <c r="T865" t="s">
        <v>44</v>
      </c>
      <c r="U865" t="s">
        <v>60</v>
      </c>
      <c r="V865" t="s">
        <v>39</v>
      </c>
      <c r="W865" s="1">
        <v>45512</v>
      </c>
      <c r="X865" t="b">
        <v>1</v>
      </c>
      <c r="Y865" t="b">
        <v>1</v>
      </c>
      <c r="Z865" t="s">
        <v>74</v>
      </c>
      <c r="AA865" t="s">
        <v>67</v>
      </c>
      <c r="AB865">
        <v>6</v>
      </c>
    </row>
    <row r="866" spans="1:28" x14ac:dyDescent="0.25">
      <c r="A866" t="s">
        <v>1797</v>
      </c>
      <c r="B866">
        <v>44</v>
      </c>
      <c r="C866" t="s">
        <v>29</v>
      </c>
      <c r="D866" t="s">
        <v>30</v>
      </c>
      <c r="E866" t="s">
        <v>31</v>
      </c>
      <c r="F866" t="s">
        <v>56</v>
      </c>
      <c r="G866" t="s">
        <v>44</v>
      </c>
      <c r="H866" t="s">
        <v>1798</v>
      </c>
      <c r="I866" t="s">
        <v>58</v>
      </c>
      <c r="J866">
        <v>52.24</v>
      </c>
      <c r="K866">
        <v>11</v>
      </c>
      <c r="L866" t="s">
        <v>48</v>
      </c>
      <c r="M866">
        <v>3</v>
      </c>
      <c r="N866">
        <v>1</v>
      </c>
      <c r="O866">
        <v>0</v>
      </c>
      <c r="P866" t="s">
        <v>59</v>
      </c>
      <c r="Q866" t="s">
        <v>50</v>
      </c>
      <c r="R866">
        <v>2</v>
      </c>
      <c r="S866">
        <v>4</v>
      </c>
      <c r="T866" t="s">
        <v>44</v>
      </c>
      <c r="U866" t="s">
        <v>60</v>
      </c>
      <c r="V866" t="s">
        <v>39</v>
      </c>
      <c r="W866" s="1">
        <v>45638</v>
      </c>
      <c r="X866" t="b">
        <v>1</v>
      </c>
      <c r="Y866" t="b">
        <v>1</v>
      </c>
      <c r="Z866" t="s">
        <v>62</v>
      </c>
      <c r="AA866" t="s">
        <v>53</v>
      </c>
      <c r="AB866">
        <v>8</v>
      </c>
    </row>
    <row r="867" spans="1:28" x14ac:dyDescent="0.25">
      <c r="A867" t="s">
        <v>1799</v>
      </c>
      <c r="B867">
        <v>28</v>
      </c>
      <c r="C867" t="s">
        <v>29</v>
      </c>
      <c r="D867" t="s">
        <v>44</v>
      </c>
      <c r="E867" t="s">
        <v>31</v>
      </c>
      <c r="F867" t="s">
        <v>32</v>
      </c>
      <c r="G867" t="s">
        <v>44</v>
      </c>
      <c r="H867" t="s">
        <v>1800</v>
      </c>
      <c r="I867" t="s">
        <v>123</v>
      </c>
      <c r="J867">
        <v>446.69</v>
      </c>
      <c r="K867">
        <v>7</v>
      </c>
      <c r="L867" t="s">
        <v>48</v>
      </c>
      <c r="M867">
        <v>4</v>
      </c>
      <c r="N867">
        <v>5</v>
      </c>
      <c r="O867">
        <v>2</v>
      </c>
      <c r="P867" t="s">
        <v>49</v>
      </c>
      <c r="Q867" t="s">
        <v>37</v>
      </c>
      <c r="R867">
        <v>1</v>
      </c>
      <c r="S867">
        <v>5</v>
      </c>
      <c r="T867" t="s">
        <v>44</v>
      </c>
      <c r="U867" t="s">
        <v>60</v>
      </c>
      <c r="V867" t="s">
        <v>86</v>
      </c>
      <c r="W867" s="1">
        <v>45455</v>
      </c>
      <c r="X867" t="b">
        <v>0</v>
      </c>
      <c r="Y867" t="b">
        <v>1</v>
      </c>
      <c r="Z867" t="s">
        <v>74</v>
      </c>
      <c r="AA867" t="s">
        <v>41</v>
      </c>
      <c r="AB867">
        <v>13</v>
      </c>
    </row>
    <row r="868" spans="1:28" x14ac:dyDescent="0.25">
      <c r="A868" t="s">
        <v>1801</v>
      </c>
      <c r="B868">
        <v>23</v>
      </c>
      <c r="C868" t="s">
        <v>43</v>
      </c>
      <c r="D868" t="s">
        <v>30</v>
      </c>
      <c r="E868" t="s">
        <v>31</v>
      </c>
      <c r="F868" t="s">
        <v>45</v>
      </c>
      <c r="G868" t="s">
        <v>30</v>
      </c>
      <c r="H868" t="s">
        <v>1802</v>
      </c>
      <c r="I868" t="s">
        <v>114</v>
      </c>
      <c r="J868">
        <v>216.84</v>
      </c>
      <c r="K868">
        <v>5</v>
      </c>
      <c r="L868" t="s">
        <v>48</v>
      </c>
      <c r="M868">
        <v>4</v>
      </c>
      <c r="N868">
        <v>3</v>
      </c>
      <c r="O868">
        <v>1</v>
      </c>
      <c r="P868" t="s">
        <v>59</v>
      </c>
      <c r="Q868" t="s">
        <v>37</v>
      </c>
      <c r="R868">
        <v>1</v>
      </c>
      <c r="S868">
        <v>1</v>
      </c>
      <c r="T868" t="s">
        <v>59</v>
      </c>
      <c r="U868" t="s">
        <v>38</v>
      </c>
      <c r="V868" t="s">
        <v>51</v>
      </c>
      <c r="W868" s="1">
        <v>45379</v>
      </c>
      <c r="X868" t="b">
        <v>0</v>
      </c>
      <c r="Y868" t="b">
        <v>0</v>
      </c>
      <c r="Z868" t="s">
        <v>74</v>
      </c>
      <c r="AA868" t="s">
        <v>67</v>
      </c>
      <c r="AB868">
        <v>5</v>
      </c>
    </row>
    <row r="869" spans="1:28" x14ac:dyDescent="0.25">
      <c r="A869" t="s">
        <v>1803</v>
      </c>
      <c r="B869">
        <v>42</v>
      </c>
      <c r="C869" t="s">
        <v>29</v>
      </c>
      <c r="D869" t="s">
        <v>44</v>
      </c>
      <c r="E869" t="s">
        <v>76</v>
      </c>
      <c r="F869" t="s">
        <v>45</v>
      </c>
      <c r="G869" t="s">
        <v>44</v>
      </c>
      <c r="H869" t="s">
        <v>1804</v>
      </c>
      <c r="I869" t="s">
        <v>117</v>
      </c>
      <c r="J869">
        <v>75.27</v>
      </c>
      <c r="K869">
        <v>7</v>
      </c>
      <c r="L869" t="s">
        <v>35</v>
      </c>
      <c r="M869">
        <v>3</v>
      </c>
      <c r="N869">
        <v>4</v>
      </c>
      <c r="O869">
        <v>1</v>
      </c>
      <c r="P869" t="s">
        <v>36</v>
      </c>
      <c r="Q869" t="s">
        <v>50</v>
      </c>
      <c r="R869">
        <v>2</v>
      </c>
      <c r="S869">
        <v>3</v>
      </c>
      <c r="T869" t="s">
        <v>36</v>
      </c>
      <c r="U869" t="s">
        <v>79</v>
      </c>
      <c r="V869" t="s">
        <v>51</v>
      </c>
      <c r="W869" s="1">
        <v>45653</v>
      </c>
      <c r="X869" t="b">
        <v>1</v>
      </c>
      <c r="Y869" t="b">
        <v>1</v>
      </c>
      <c r="Z869" t="s">
        <v>62</v>
      </c>
      <c r="AA869" t="s">
        <v>67</v>
      </c>
      <c r="AB869">
        <v>1</v>
      </c>
    </row>
    <row r="870" spans="1:28" x14ac:dyDescent="0.25">
      <c r="A870" t="s">
        <v>1805</v>
      </c>
      <c r="B870">
        <v>20</v>
      </c>
      <c r="C870" t="s">
        <v>43</v>
      </c>
      <c r="D870" t="s">
        <v>30</v>
      </c>
      <c r="E870" t="s">
        <v>69</v>
      </c>
      <c r="F870" t="s">
        <v>56</v>
      </c>
      <c r="G870" t="s">
        <v>44</v>
      </c>
      <c r="H870" t="s">
        <v>1806</v>
      </c>
      <c r="I870" t="s">
        <v>58</v>
      </c>
      <c r="J870">
        <v>308.87</v>
      </c>
      <c r="K870">
        <v>2</v>
      </c>
      <c r="L870" t="s">
        <v>48</v>
      </c>
      <c r="M870">
        <v>3</v>
      </c>
      <c r="N870">
        <v>4</v>
      </c>
      <c r="O870">
        <v>1</v>
      </c>
      <c r="P870" t="s">
        <v>36</v>
      </c>
      <c r="Q870" t="s">
        <v>50</v>
      </c>
      <c r="R870">
        <v>2</v>
      </c>
      <c r="S870">
        <v>2</v>
      </c>
      <c r="T870" t="s">
        <v>36</v>
      </c>
      <c r="U870" t="s">
        <v>38</v>
      </c>
      <c r="V870" t="s">
        <v>86</v>
      </c>
      <c r="W870" s="1">
        <v>45346</v>
      </c>
      <c r="X870" t="b">
        <v>1</v>
      </c>
      <c r="Y870" t="b">
        <v>1</v>
      </c>
      <c r="Z870" t="s">
        <v>62</v>
      </c>
      <c r="AA870" t="s">
        <v>67</v>
      </c>
      <c r="AB870">
        <v>11</v>
      </c>
    </row>
    <row r="871" spans="1:28" x14ac:dyDescent="0.25">
      <c r="A871" t="s">
        <v>1807</v>
      </c>
      <c r="B871">
        <v>49</v>
      </c>
      <c r="C871" t="s">
        <v>43</v>
      </c>
      <c r="D871" t="s">
        <v>44</v>
      </c>
      <c r="E871" t="s">
        <v>76</v>
      </c>
      <c r="F871" t="s">
        <v>56</v>
      </c>
      <c r="G871" t="s">
        <v>30</v>
      </c>
      <c r="H871" t="s">
        <v>1808</v>
      </c>
      <c r="I871" t="s">
        <v>194</v>
      </c>
      <c r="J871">
        <v>169.77</v>
      </c>
      <c r="K871">
        <v>5</v>
      </c>
      <c r="L871" t="s">
        <v>48</v>
      </c>
      <c r="M871">
        <v>1</v>
      </c>
      <c r="N871">
        <v>4</v>
      </c>
      <c r="O871">
        <v>0</v>
      </c>
      <c r="P871" t="s">
        <v>49</v>
      </c>
      <c r="Q871" t="s">
        <v>85</v>
      </c>
      <c r="R871">
        <v>2</v>
      </c>
      <c r="S871">
        <v>9</v>
      </c>
      <c r="T871" t="s">
        <v>36</v>
      </c>
      <c r="U871" t="s">
        <v>79</v>
      </c>
      <c r="V871" t="s">
        <v>66</v>
      </c>
      <c r="W871" s="1">
        <v>45458</v>
      </c>
      <c r="X871" t="b">
        <v>1</v>
      </c>
      <c r="Y871" t="b">
        <v>1</v>
      </c>
      <c r="Z871" t="s">
        <v>52</v>
      </c>
      <c r="AA871" t="s">
        <v>53</v>
      </c>
      <c r="AB871">
        <v>7</v>
      </c>
    </row>
    <row r="872" spans="1:28" x14ac:dyDescent="0.25">
      <c r="A872" t="s">
        <v>1809</v>
      </c>
      <c r="B872">
        <v>19</v>
      </c>
      <c r="C872" t="s">
        <v>43</v>
      </c>
      <c r="D872" t="s">
        <v>44</v>
      </c>
      <c r="E872" t="s">
        <v>76</v>
      </c>
      <c r="F872" t="s">
        <v>45</v>
      </c>
      <c r="G872" t="s">
        <v>44</v>
      </c>
      <c r="H872" t="s">
        <v>1810</v>
      </c>
      <c r="I872" t="s">
        <v>126</v>
      </c>
      <c r="J872">
        <v>289.08</v>
      </c>
      <c r="K872">
        <v>12</v>
      </c>
      <c r="L872" t="s">
        <v>78</v>
      </c>
      <c r="M872">
        <v>2</v>
      </c>
      <c r="N872">
        <v>1</v>
      </c>
      <c r="O872">
        <v>0</v>
      </c>
      <c r="P872" t="s">
        <v>36</v>
      </c>
      <c r="Q872" t="s">
        <v>85</v>
      </c>
      <c r="R872">
        <v>1</v>
      </c>
      <c r="S872">
        <v>10</v>
      </c>
      <c r="T872" t="s">
        <v>49</v>
      </c>
      <c r="U872" t="s">
        <v>79</v>
      </c>
      <c r="V872" t="s">
        <v>66</v>
      </c>
      <c r="W872" s="1">
        <v>45518</v>
      </c>
      <c r="X872" t="b">
        <v>1</v>
      </c>
      <c r="Y872" t="b">
        <v>1</v>
      </c>
      <c r="Z872" t="s">
        <v>52</v>
      </c>
      <c r="AA872" t="s">
        <v>53</v>
      </c>
      <c r="AB872">
        <v>7</v>
      </c>
    </row>
    <row r="873" spans="1:28" x14ac:dyDescent="0.25">
      <c r="A873" t="s">
        <v>1811</v>
      </c>
      <c r="B873">
        <v>38</v>
      </c>
      <c r="C873" t="s">
        <v>29</v>
      </c>
      <c r="D873" t="s">
        <v>30</v>
      </c>
      <c r="E873" t="s">
        <v>55</v>
      </c>
      <c r="F873" t="s">
        <v>45</v>
      </c>
      <c r="G873" t="s">
        <v>44</v>
      </c>
      <c r="H873" t="s">
        <v>1812</v>
      </c>
      <c r="I873" t="s">
        <v>194</v>
      </c>
      <c r="J873">
        <v>74.09</v>
      </c>
      <c r="K873">
        <v>10</v>
      </c>
      <c r="L873" t="s">
        <v>35</v>
      </c>
      <c r="M873">
        <v>1</v>
      </c>
      <c r="N873">
        <v>4</v>
      </c>
      <c r="O873">
        <v>2</v>
      </c>
      <c r="P873" t="s">
        <v>36</v>
      </c>
      <c r="Q873" t="s">
        <v>37</v>
      </c>
      <c r="R873">
        <v>2</v>
      </c>
      <c r="S873">
        <v>9</v>
      </c>
      <c r="T873" t="s">
        <v>59</v>
      </c>
      <c r="U873" t="s">
        <v>38</v>
      </c>
      <c r="V873" t="s">
        <v>66</v>
      </c>
      <c r="W873" s="1">
        <v>45427</v>
      </c>
      <c r="X873" t="b">
        <v>1</v>
      </c>
      <c r="Y873" t="b">
        <v>1</v>
      </c>
      <c r="Z873" t="s">
        <v>62</v>
      </c>
      <c r="AA873" t="s">
        <v>53</v>
      </c>
      <c r="AB873">
        <v>8</v>
      </c>
    </row>
    <row r="874" spans="1:28" x14ac:dyDescent="0.25">
      <c r="A874" t="s">
        <v>1813</v>
      </c>
      <c r="B874">
        <v>43</v>
      </c>
      <c r="C874" t="s">
        <v>43</v>
      </c>
      <c r="D874" t="s">
        <v>44</v>
      </c>
      <c r="E874" t="s">
        <v>31</v>
      </c>
      <c r="F874" t="s">
        <v>45</v>
      </c>
      <c r="G874" t="s">
        <v>30</v>
      </c>
      <c r="H874" t="s">
        <v>1814</v>
      </c>
      <c r="I874" t="s">
        <v>194</v>
      </c>
      <c r="J874">
        <v>201.53</v>
      </c>
      <c r="K874">
        <v>5</v>
      </c>
      <c r="L874" t="s">
        <v>78</v>
      </c>
      <c r="M874">
        <v>2</v>
      </c>
      <c r="N874">
        <v>3</v>
      </c>
      <c r="O874">
        <v>1</v>
      </c>
      <c r="P874" t="s">
        <v>36</v>
      </c>
      <c r="Q874" t="s">
        <v>50</v>
      </c>
      <c r="R874">
        <v>1</v>
      </c>
      <c r="S874">
        <v>6</v>
      </c>
      <c r="T874" t="s">
        <v>44</v>
      </c>
      <c r="U874" t="s">
        <v>38</v>
      </c>
      <c r="V874" t="s">
        <v>66</v>
      </c>
      <c r="W874" s="1">
        <v>45444</v>
      </c>
      <c r="X874" t="b">
        <v>0</v>
      </c>
      <c r="Y874" t="b">
        <v>1</v>
      </c>
      <c r="Z874" t="s">
        <v>52</v>
      </c>
      <c r="AA874" t="s">
        <v>41</v>
      </c>
      <c r="AB874">
        <v>11</v>
      </c>
    </row>
    <row r="875" spans="1:28" x14ac:dyDescent="0.25">
      <c r="A875" t="s">
        <v>1815</v>
      </c>
      <c r="B875">
        <v>38</v>
      </c>
      <c r="C875" t="s">
        <v>43</v>
      </c>
      <c r="D875" t="s">
        <v>30</v>
      </c>
      <c r="E875" t="s">
        <v>76</v>
      </c>
      <c r="F875" t="s">
        <v>32</v>
      </c>
      <c r="G875" t="s">
        <v>44</v>
      </c>
      <c r="H875" t="s">
        <v>1816</v>
      </c>
      <c r="I875" t="s">
        <v>135</v>
      </c>
      <c r="J875">
        <v>244.6</v>
      </c>
      <c r="K875">
        <v>12</v>
      </c>
      <c r="L875" t="s">
        <v>78</v>
      </c>
      <c r="M875">
        <v>4</v>
      </c>
      <c r="N875">
        <v>4</v>
      </c>
      <c r="O875">
        <v>2</v>
      </c>
      <c r="P875" t="s">
        <v>49</v>
      </c>
      <c r="Q875" t="s">
        <v>37</v>
      </c>
      <c r="R875">
        <v>0</v>
      </c>
      <c r="S875">
        <v>6</v>
      </c>
      <c r="T875" t="s">
        <v>36</v>
      </c>
      <c r="U875" t="s">
        <v>38</v>
      </c>
      <c r="V875" t="s">
        <v>66</v>
      </c>
      <c r="W875" s="1">
        <v>45529</v>
      </c>
      <c r="X875" t="b">
        <v>0</v>
      </c>
      <c r="Y875" t="b">
        <v>0</v>
      </c>
      <c r="Z875" t="s">
        <v>52</v>
      </c>
      <c r="AA875" t="s">
        <v>53</v>
      </c>
      <c r="AB875">
        <v>3</v>
      </c>
    </row>
    <row r="876" spans="1:28" x14ac:dyDescent="0.25">
      <c r="A876" t="s">
        <v>1817</v>
      </c>
      <c r="B876">
        <v>21</v>
      </c>
      <c r="C876" t="s">
        <v>43</v>
      </c>
      <c r="D876" t="s">
        <v>30</v>
      </c>
      <c r="E876" t="s">
        <v>69</v>
      </c>
      <c r="F876" t="s">
        <v>32</v>
      </c>
      <c r="G876" t="s">
        <v>44</v>
      </c>
      <c r="H876" t="s">
        <v>1818</v>
      </c>
      <c r="I876" t="s">
        <v>120</v>
      </c>
      <c r="J876">
        <v>320.5</v>
      </c>
      <c r="K876">
        <v>10</v>
      </c>
      <c r="L876" t="s">
        <v>48</v>
      </c>
      <c r="M876">
        <v>3</v>
      </c>
      <c r="N876">
        <v>4</v>
      </c>
      <c r="O876">
        <v>2</v>
      </c>
      <c r="P876" t="s">
        <v>59</v>
      </c>
      <c r="Q876" t="s">
        <v>37</v>
      </c>
      <c r="R876">
        <v>0</v>
      </c>
      <c r="S876">
        <v>9</v>
      </c>
      <c r="T876" t="s">
        <v>59</v>
      </c>
      <c r="U876" t="s">
        <v>38</v>
      </c>
      <c r="V876" t="s">
        <v>86</v>
      </c>
      <c r="W876" s="1">
        <v>45352</v>
      </c>
      <c r="X876" t="b">
        <v>1</v>
      </c>
      <c r="Y876" t="b">
        <v>0</v>
      </c>
      <c r="Z876" t="s">
        <v>40</v>
      </c>
      <c r="AA876" t="s">
        <v>67</v>
      </c>
      <c r="AB876">
        <v>9</v>
      </c>
    </row>
    <row r="877" spans="1:28" x14ac:dyDescent="0.25">
      <c r="A877" t="s">
        <v>1819</v>
      </c>
      <c r="B877">
        <v>27</v>
      </c>
      <c r="C877" t="s">
        <v>43</v>
      </c>
      <c r="D877" t="s">
        <v>30</v>
      </c>
      <c r="E877" t="s">
        <v>69</v>
      </c>
      <c r="F877" t="s">
        <v>56</v>
      </c>
      <c r="G877" t="s">
        <v>30</v>
      </c>
      <c r="H877" t="s">
        <v>1820</v>
      </c>
      <c r="I877" t="s">
        <v>246</v>
      </c>
      <c r="J877">
        <v>91.63</v>
      </c>
      <c r="K877">
        <v>3</v>
      </c>
      <c r="L877" t="s">
        <v>48</v>
      </c>
      <c r="M877">
        <v>5</v>
      </c>
      <c r="N877">
        <v>2</v>
      </c>
      <c r="O877">
        <v>2</v>
      </c>
      <c r="P877" t="s">
        <v>36</v>
      </c>
      <c r="Q877" t="s">
        <v>50</v>
      </c>
      <c r="R877">
        <v>0</v>
      </c>
      <c r="S877">
        <v>10</v>
      </c>
      <c r="T877" t="s">
        <v>36</v>
      </c>
      <c r="U877" t="s">
        <v>38</v>
      </c>
      <c r="V877" t="s">
        <v>61</v>
      </c>
      <c r="W877" s="1">
        <v>45473</v>
      </c>
      <c r="X877" t="b">
        <v>1</v>
      </c>
      <c r="Y877" t="b">
        <v>1</v>
      </c>
      <c r="Z877" t="s">
        <v>52</v>
      </c>
      <c r="AA877" t="s">
        <v>53</v>
      </c>
      <c r="AB877">
        <v>2</v>
      </c>
    </row>
    <row r="878" spans="1:28" x14ac:dyDescent="0.25">
      <c r="A878" t="s">
        <v>1821</v>
      </c>
      <c r="B878">
        <v>35</v>
      </c>
      <c r="C878" t="s">
        <v>43</v>
      </c>
      <c r="D878" t="s">
        <v>30</v>
      </c>
      <c r="E878" t="s">
        <v>31</v>
      </c>
      <c r="F878" t="s">
        <v>56</v>
      </c>
      <c r="G878" t="s">
        <v>44</v>
      </c>
      <c r="H878" t="s">
        <v>1822</v>
      </c>
      <c r="I878" t="s">
        <v>90</v>
      </c>
      <c r="J878">
        <v>251.93</v>
      </c>
      <c r="K878">
        <v>8</v>
      </c>
      <c r="L878" t="s">
        <v>48</v>
      </c>
      <c r="M878">
        <v>3</v>
      </c>
      <c r="N878">
        <v>2</v>
      </c>
      <c r="O878">
        <v>1</v>
      </c>
      <c r="P878" t="s">
        <v>44</v>
      </c>
      <c r="Q878" t="s">
        <v>85</v>
      </c>
      <c r="R878">
        <v>2</v>
      </c>
      <c r="S878">
        <v>3</v>
      </c>
      <c r="T878" t="s">
        <v>36</v>
      </c>
      <c r="U878" t="s">
        <v>38</v>
      </c>
      <c r="V878" t="s">
        <v>61</v>
      </c>
      <c r="W878" s="1">
        <v>45293</v>
      </c>
      <c r="X878" t="b">
        <v>0</v>
      </c>
      <c r="Y878" t="b">
        <v>0</v>
      </c>
      <c r="Z878" t="s">
        <v>40</v>
      </c>
      <c r="AA878" t="s">
        <v>53</v>
      </c>
      <c r="AB878">
        <v>7</v>
      </c>
    </row>
    <row r="879" spans="1:28" x14ac:dyDescent="0.25">
      <c r="A879" t="s">
        <v>1823</v>
      </c>
      <c r="B879">
        <v>30</v>
      </c>
      <c r="C879" t="s">
        <v>43</v>
      </c>
      <c r="D879" t="s">
        <v>30</v>
      </c>
      <c r="E879" t="s">
        <v>31</v>
      </c>
      <c r="F879" t="s">
        <v>32</v>
      </c>
      <c r="G879" t="s">
        <v>30</v>
      </c>
      <c r="H879" t="s">
        <v>1824</v>
      </c>
      <c r="I879" t="s">
        <v>98</v>
      </c>
      <c r="J879">
        <v>477.35</v>
      </c>
      <c r="K879">
        <v>4</v>
      </c>
      <c r="L879" t="s">
        <v>78</v>
      </c>
      <c r="M879">
        <v>2</v>
      </c>
      <c r="N879">
        <v>5</v>
      </c>
      <c r="O879">
        <v>0</v>
      </c>
      <c r="P879" t="s">
        <v>44</v>
      </c>
      <c r="Q879" t="s">
        <v>85</v>
      </c>
      <c r="R879">
        <v>1</v>
      </c>
      <c r="S879">
        <v>2</v>
      </c>
      <c r="T879" t="s">
        <v>59</v>
      </c>
      <c r="U879" t="s">
        <v>79</v>
      </c>
      <c r="V879" t="s">
        <v>51</v>
      </c>
      <c r="W879" s="1">
        <v>45654</v>
      </c>
      <c r="X879" t="b">
        <v>0</v>
      </c>
      <c r="Y879" t="b">
        <v>0</v>
      </c>
      <c r="Z879" t="s">
        <v>40</v>
      </c>
      <c r="AA879" t="s">
        <v>41</v>
      </c>
      <c r="AB879">
        <v>14</v>
      </c>
    </row>
    <row r="880" spans="1:28" x14ac:dyDescent="0.25">
      <c r="A880" t="s">
        <v>1825</v>
      </c>
      <c r="B880">
        <v>31</v>
      </c>
      <c r="C880" t="s">
        <v>43</v>
      </c>
      <c r="D880" t="s">
        <v>44</v>
      </c>
      <c r="E880" t="s">
        <v>69</v>
      </c>
      <c r="F880" t="s">
        <v>56</v>
      </c>
      <c r="G880" t="s">
        <v>30</v>
      </c>
      <c r="H880" t="s">
        <v>1826</v>
      </c>
      <c r="I880" t="s">
        <v>123</v>
      </c>
      <c r="J880">
        <v>86.63</v>
      </c>
      <c r="K880">
        <v>10</v>
      </c>
      <c r="L880" t="s">
        <v>35</v>
      </c>
      <c r="M880">
        <v>3</v>
      </c>
      <c r="N880">
        <v>1</v>
      </c>
      <c r="O880">
        <v>2</v>
      </c>
      <c r="P880" t="s">
        <v>49</v>
      </c>
      <c r="Q880" t="s">
        <v>37</v>
      </c>
      <c r="R880">
        <v>2</v>
      </c>
      <c r="S880">
        <v>2</v>
      </c>
      <c r="T880" t="s">
        <v>59</v>
      </c>
      <c r="U880" t="s">
        <v>38</v>
      </c>
      <c r="V880" t="s">
        <v>86</v>
      </c>
      <c r="W880" s="1">
        <v>45537</v>
      </c>
      <c r="X880" t="b">
        <v>1</v>
      </c>
      <c r="Y880" t="b">
        <v>0</v>
      </c>
      <c r="Z880" t="s">
        <v>52</v>
      </c>
      <c r="AA880" t="s">
        <v>67</v>
      </c>
      <c r="AB880">
        <v>3</v>
      </c>
    </row>
    <row r="881" spans="1:28" x14ac:dyDescent="0.25">
      <c r="A881" t="s">
        <v>1827</v>
      </c>
      <c r="B881">
        <v>50</v>
      </c>
      <c r="C881" t="s">
        <v>88</v>
      </c>
      <c r="D881" t="s">
        <v>44</v>
      </c>
      <c r="E881" t="s">
        <v>76</v>
      </c>
      <c r="F881" t="s">
        <v>45</v>
      </c>
      <c r="G881" t="s">
        <v>44</v>
      </c>
      <c r="H881" t="s">
        <v>1828</v>
      </c>
      <c r="I881" t="s">
        <v>104</v>
      </c>
      <c r="J881">
        <v>474.42</v>
      </c>
      <c r="K881">
        <v>4</v>
      </c>
      <c r="L881" t="s">
        <v>48</v>
      </c>
      <c r="M881">
        <v>2</v>
      </c>
      <c r="N881">
        <v>3</v>
      </c>
      <c r="O881">
        <v>0</v>
      </c>
      <c r="P881" t="s">
        <v>49</v>
      </c>
      <c r="Q881" t="s">
        <v>50</v>
      </c>
      <c r="R881">
        <v>1</v>
      </c>
      <c r="S881">
        <v>9</v>
      </c>
      <c r="T881" t="s">
        <v>36</v>
      </c>
      <c r="U881" t="s">
        <v>79</v>
      </c>
      <c r="V881" t="s">
        <v>61</v>
      </c>
      <c r="W881" s="1">
        <v>45556</v>
      </c>
      <c r="X881" t="b">
        <v>1</v>
      </c>
      <c r="Y881" t="b">
        <v>0</v>
      </c>
      <c r="Z881" t="s">
        <v>40</v>
      </c>
      <c r="AA881" t="s">
        <v>41</v>
      </c>
      <c r="AB881">
        <v>5</v>
      </c>
    </row>
    <row r="882" spans="1:28" x14ac:dyDescent="0.25">
      <c r="A882" t="s">
        <v>1829</v>
      </c>
      <c r="B882">
        <v>34</v>
      </c>
      <c r="C882" t="s">
        <v>29</v>
      </c>
      <c r="D882" t="s">
        <v>44</v>
      </c>
      <c r="E882" t="s">
        <v>69</v>
      </c>
      <c r="F882" t="s">
        <v>45</v>
      </c>
      <c r="G882" t="s">
        <v>44</v>
      </c>
      <c r="H882" t="s">
        <v>710</v>
      </c>
      <c r="I882" t="s">
        <v>34</v>
      </c>
      <c r="J882">
        <v>429.24</v>
      </c>
      <c r="K882">
        <v>7</v>
      </c>
      <c r="L882" t="s">
        <v>35</v>
      </c>
      <c r="M882">
        <v>3</v>
      </c>
      <c r="N882">
        <v>5</v>
      </c>
      <c r="O882">
        <v>1</v>
      </c>
      <c r="P882" t="s">
        <v>44</v>
      </c>
      <c r="Q882" t="s">
        <v>50</v>
      </c>
      <c r="R882">
        <v>0</v>
      </c>
      <c r="S882">
        <v>1</v>
      </c>
      <c r="T882" t="s">
        <v>59</v>
      </c>
      <c r="U882" t="s">
        <v>38</v>
      </c>
      <c r="V882" t="s">
        <v>61</v>
      </c>
      <c r="W882" s="1">
        <v>45378</v>
      </c>
      <c r="X882" t="b">
        <v>0</v>
      </c>
      <c r="Y882" t="b">
        <v>0</v>
      </c>
      <c r="Z882" t="s">
        <v>40</v>
      </c>
      <c r="AA882" t="s">
        <v>41</v>
      </c>
      <c r="AB882">
        <v>10</v>
      </c>
    </row>
    <row r="883" spans="1:28" x14ac:dyDescent="0.25">
      <c r="A883" t="s">
        <v>1830</v>
      </c>
      <c r="B883">
        <v>24</v>
      </c>
      <c r="C883" t="s">
        <v>29</v>
      </c>
      <c r="D883" t="s">
        <v>44</v>
      </c>
      <c r="E883" t="s">
        <v>31</v>
      </c>
      <c r="F883" t="s">
        <v>45</v>
      </c>
      <c r="G883" t="s">
        <v>44</v>
      </c>
      <c r="H883" t="s">
        <v>1831</v>
      </c>
      <c r="I883" t="s">
        <v>65</v>
      </c>
      <c r="J883">
        <v>470.38</v>
      </c>
      <c r="K883">
        <v>8</v>
      </c>
      <c r="L883" t="s">
        <v>35</v>
      </c>
      <c r="M883">
        <v>2</v>
      </c>
      <c r="N883">
        <v>4</v>
      </c>
      <c r="O883">
        <v>0</v>
      </c>
      <c r="P883" t="s">
        <v>49</v>
      </c>
      <c r="Q883" t="s">
        <v>50</v>
      </c>
      <c r="R883">
        <v>2</v>
      </c>
      <c r="S883">
        <v>3</v>
      </c>
      <c r="T883" t="s">
        <v>44</v>
      </c>
      <c r="U883" t="s">
        <v>60</v>
      </c>
      <c r="V883" t="s">
        <v>66</v>
      </c>
      <c r="W883" s="1">
        <v>45607</v>
      </c>
      <c r="X883" t="b">
        <v>1</v>
      </c>
      <c r="Y883" t="b">
        <v>1</v>
      </c>
      <c r="Z883" t="s">
        <v>62</v>
      </c>
      <c r="AA883" t="s">
        <v>53</v>
      </c>
      <c r="AB883">
        <v>9</v>
      </c>
    </row>
    <row r="884" spans="1:28" x14ac:dyDescent="0.25">
      <c r="A884" t="s">
        <v>1832</v>
      </c>
      <c r="B884">
        <v>32</v>
      </c>
      <c r="C884" t="s">
        <v>29</v>
      </c>
      <c r="D884" t="s">
        <v>30</v>
      </c>
      <c r="E884" t="s">
        <v>55</v>
      </c>
      <c r="F884" t="s">
        <v>56</v>
      </c>
      <c r="G884" t="s">
        <v>44</v>
      </c>
      <c r="H884" t="s">
        <v>1833</v>
      </c>
      <c r="I884" t="s">
        <v>34</v>
      </c>
      <c r="J884">
        <v>495.8</v>
      </c>
      <c r="K884">
        <v>4</v>
      </c>
      <c r="L884" t="s">
        <v>35</v>
      </c>
      <c r="M884">
        <v>1</v>
      </c>
      <c r="N884">
        <v>2</v>
      </c>
      <c r="O884">
        <v>1</v>
      </c>
      <c r="P884" t="s">
        <v>59</v>
      </c>
      <c r="Q884" t="s">
        <v>50</v>
      </c>
      <c r="R884">
        <v>0</v>
      </c>
      <c r="S884">
        <v>7</v>
      </c>
      <c r="T884" t="s">
        <v>36</v>
      </c>
      <c r="U884" t="s">
        <v>38</v>
      </c>
      <c r="V884" t="s">
        <v>51</v>
      </c>
      <c r="W884" s="1">
        <v>45551</v>
      </c>
      <c r="X884" t="b">
        <v>1</v>
      </c>
      <c r="Y884" t="b">
        <v>1</v>
      </c>
      <c r="Z884" t="s">
        <v>52</v>
      </c>
      <c r="AA884" t="s">
        <v>53</v>
      </c>
      <c r="AB884">
        <v>10</v>
      </c>
    </row>
    <row r="885" spans="1:28" x14ac:dyDescent="0.25">
      <c r="A885" t="s">
        <v>1834</v>
      </c>
      <c r="B885">
        <v>21</v>
      </c>
      <c r="C885" t="s">
        <v>29</v>
      </c>
      <c r="D885" t="s">
        <v>44</v>
      </c>
      <c r="E885" t="s">
        <v>69</v>
      </c>
      <c r="F885" t="s">
        <v>32</v>
      </c>
      <c r="G885" t="s">
        <v>30</v>
      </c>
      <c r="H885" t="s">
        <v>1835</v>
      </c>
      <c r="I885" t="s">
        <v>117</v>
      </c>
      <c r="J885">
        <v>129.63999999999999</v>
      </c>
      <c r="K885">
        <v>4</v>
      </c>
      <c r="L885" t="s">
        <v>48</v>
      </c>
      <c r="M885">
        <v>3</v>
      </c>
      <c r="N885">
        <v>1</v>
      </c>
      <c r="O885">
        <v>2</v>
      </c>
      <c r="P885" t="s">
        <v>36</v>
      </c>
      <c r="Q885" t="s">
        <v>50</v>
      </c>
      <c r="R885">
        <v>1</v>
      </c>
      <c r="S885">
        <v>3</v>
      </c>
      <c r="T885" t="s">
        <v>59</v>
      </c>
      <c r="U885" t="s">
        <v>79</v>
      </c>
      <c r="V885" t="s">
        <v>61</v>
      </c>
      <c r="W885" s="1">
        <v>45439</v>
      </c>
      <c r="X885" t="b">
        <v>0</v>
      </c>
      <c r="Y885" t="b">
        <v>1</v>
      </c>
      <c r="Z885" t="s">
        <v>40</v>
      </c>
      <c r="AA885" t="s">
        <v>67</v>
      </c>
      <c r="AB885">
        <v>3</v>
      </c>
    </row>
    <row r="886" spans="1:28" x14ac:dyDescent="0.25">
      <c r="A886" t="s">
        <v>1836</v>
      </c>
      <c r="B886">
        <v>41</v>
      </c>
      <c r="C886" t="s">
        <v>43</v>
      </c>
      <c r="D886" t="s">
        <v>30</v>
      </c>
      <c r="E886" t="s">
        <v>55</v>
      </c>
      <c r="F886" t="s">
        <v>56</v>
      </c>
      <c r="G886" t="s">
        <v>44</v>
      </c>
      <c r="H886" t="s">
        <v>1837</v>
      </c>
      <c r="I886" t="s">
        <v>93</v>
      </c>
      <c r="J886">
        <v>473.77</v>
      </c>
      <c r="K886">
        <v>9</v>
      </c>
      <c r="L886" t="s">
        <v>78</v>
      </c>
      <c r="M886">
        <v>3</v>
      </c>
      <c r="N886">
        <v>1</v>
      </c>
      <c r="O886">
        <v>2</v>
      </c>
      <c r="P886" t="s">
        <v>49</v>
      </c>
      <c r="Q886" t="s">
        <v>85</v>
      </c>
      <c r="R886">
        <v>2</v>
      </c>
      <c r="S886">
        <v>9</v>
      </c>
      <c r="T886" t="s">
        <v>36</v>
      </c>
      <c r="U886" t="s">
        <v>79</v>
      </c>
      <c r="V886" t="s">
        <v>51</v>
      </c>
      <c r="W886" s="1">
        <v>45414</v>
      </c>
      <c r="X886" t="b">
        <v>0</v>
      </c>
      <c r="Y886" t="b">
        <v>0</v>
      </c>
      <c r="Z886" t="s">
        <v>52</v>
      </c>
      <c r="AA886" t="s">
        <v>41</v>
      </c>
      <c r="AB886">
        <v>13</v>
      </c>
    </row>
    <row r="887" spans="1:28" x14ac:dyDescent="0.25">
      <c r="A887" t="s">
        <v>1838</v>
      </c>
      <c r="B887">
        <v>40</v>
      </c>
      <c r="C887" t="s">
        <v>29</v>
      </c>
      <c r="D887" t="s">
        <v>44</v>
      </c>
      <c r="E887" t="s">
        <v>31</v>
      </c>
      <c r="F887" t="s">
        <v>45</v>
      </c>
      <c r="G887" t="s">
        <v>30</v>
      </c>
      <c r="H887" t="s">
        <v>1839</v>
      </c>
      <c r="I887" t="s">
        <v>117</v>
      </c>
      <c r="J887">
        <v>130.84</v>
      </c>
      <c r="K887">
        <v>4</v>
      </c>
      <c r="L887" t="s">
        <v>78</v>
      </c>
      <c r="M887">
        <v>5</v>
      </c>
      <c r="N887">
        <v>5</v>
      </c>
      <c r="O887">
        <v>2</v>
      </c>
      <c r="P887" t="s">
        <v>49</v>
      </c>
      <c r="Q887" t="s">
        <v>85</v>
      </c>
      <c r="R887">
        <v>2</v>
      </c>
      <c r="S887">
        <v>10</v>
      </c>
      <c r="T887" t="s">
        <v>59</v>
      </c>
      <c r="U887" t="s">
        <v>38</v>
      </c>
      <c r="V887" t="s">
        <v>51</v>
      </c>
      <c r="W887" s="1">
        <v>45548</v>
      </c>
      <c r="X887" t="b">
        <v>1</v>
      </c>
      <c r="Y887" t="b">
        <v>1</v>
      </c>
      <c r="Z887" t="s">
        <v>40</v>
      </c>
      <c r="AA887" t="s">
        <v>53</v>
      </c>
      <c r="AB887">
        <v>13</v>
      </c>
    </row>
    <row r="888" spans="1:28" x14ac:dyDescent="0.25">
      <c r="A888" t="s">
        <v>1840</v>
      </c>
      <c r="B888">
        <v>48</v>
      </c>
      <c r="C888" t="s">
        <v>43</v>
      </c>
      <c r="D888" t="s">
        <v>30</v>
      </c>
      <c r="E888" t="s">
        <v>55</v>
      </c>
      <c r="F888" t="s">
        <v>56</v>
      </c>
      <c r="G888" t="s">
        <v>44</v>
      </c>
      <c r="H888" t="s">
        <v>1841</v>
      </c>
      <c r="I888" t="s">
        <v>158</v>
      </c>
      <c r="J888">
        <v>436.54</v>
      </c>
      <c r="K888">
        <v>12</v>
      </c>
      <c r="L888" t="s">
        <v>78</v>
      </c>
      <c r="M888">
        <v>3</v>
      </c>
      <c r="N888">
        <v>3</v>
      </c>
      <c r="O888">
        <v>0</v>
      </c>
      <c r="P888" t="s">
        <v>49</v>
      </c>
      <c r="Q888" t="s">
        <v>85</v>
      </c>
      <c r="R888">
        <v>1</v>
      </c>
      <c r="S888">
        <v>8</v>
      </c>
      <c r="T888" t="s">
        <v>59</v>
      </c>
      <c r="U888" t="s">
        <v>60</v>
      </c>
      <c r="V888" t="s">
        <v>61</v>
      </c>
      <c r="W888" s="1">
        <v>45442</v>
      </c>
      <c r="X888" t="b">
        <v>1</v>
      </c>
      <c r="Y888" t="b">
        <v>0</v>
      </c>
      <c r="Z888" t="s">
        <v>52</v>
      </c>
      <c r="AA888" t="s">
        <v>41</v>
      </c>
      <c r="AB888">
        <v>9</v>
      </c>
    </row>
    <row r="889" spans="1:28" x14ac:dyDescent="0.25">
      <c r="A889" t="s">
        <v>1842</v>
      </c>
      <c r="B889">
        <v>25</v>
      </c>
      <c r="C889" t="s">
        <v>29</v>
      </c>
      <c r="D889" t="s">
        <v>30</v>
      </c>
      <c r="E889" t="s">
        <v>69</v>
      </c>
      <c r="F889" t="s">
        <v>32</v>
      </c>
      <c r="G889" t="s">
        <v>30</v>
      </c>
      <c r="H889" t="s">
        <v>1843</v>
      </c>
      <c r="I889" t="s">
        <v>101</v>
      </c>
      <c r="J889">
        <v>264.01</v>
      </c>
      <c r="K889">
        <v>4</v>
      </c>
      <c r="L889" t="s">
        <v>48</v>
      </c>
      <c r="M889">
        <v>3</v>
      </c>
      <c r="N889">
        <v>4</v>
      </c>
      <c r="O889">
        <v>0</v>
      </c>
      <c r="P889" t="s">
        <v>44</v>
      </c>
      <c r="Q889" t="s">
        <v>37</v>
      </c>
      <c r="R889">
        <v>1</v>
      </c>
      <c r="S889">
        <v>5</v>
      </c>
      <c r="T889" t="s">
        <v>36</v>
      </c>
      <c r="U889" t="s">
        <v>79</v>
      </c>
      <c r="V889" t="s">
        <v>66</v>
      </c>
      <c r="W889" s="1">
        <v>45586</v>
      </c>
      <c r="X889" t="b">
        <v>1</v>
      </c>
      <c r="Y889" t="b">
        <v>0</v>
      </c>
      <c r="Z889" t="s">
        <v>40</v>
      </c>
      <c r="AA889" t="s">
        <v>41</v>
      </c>
      <c r="AB889">
        <v>2</v>
      </c>
    </row>
    <row r="890" spans="1:28" x14ac:dyDescent="0.25">
      <c r="A890" t="s">
        <v>1844</v>
      </c>
      <c r="B890">
        <v>30</v>
      </c>
      <c r="C890" t="s">
        <v>29</v>
      </c>
      <c r="D890" t="s">
        <v>44</v>
      </c>
      <c r="E890" t="s">
        <v>76</v>
      </c>
      <c r="F890" t="s">
        <v>32</v>
      </c>
      <c r="G890" t="s">
        <v>44</v>
      </c>
      <c r="H890" t="s">
        <v>1845</v>
      </c>
      <c r="I890" t="s">
        <v>194</v>
      </c>
      <c r="J890">
        <v>58.27</v>
      </c>
      <c r="K890">
        <v>2</v>
      </c>
      <c r="L890" t="s">
        <v>48</v>
      </c>
      <c r="M890">
        <v>5</v>
      </c>
      <c r="N890">
        <v>4</v>
      </c>
      <c r="O890">
        <v>1</v>
      </c>
      <c r="P890" t="s">
        <v>49</v>
      </c>
      <c r="Q890" t="s">
        <v>37</v>
      </c>
      <c r="R890">
        <v>1</v>
      </c>
      <c r="S890">
        <v>4</v>
      </c>
      <c r="T890" t="s">
        <v>49</v>
      </c>
      <c r="U890" t="s">
        <v>60</v>
      </c>
      <c r="V890" t="s">
        <v>86</v>
      </c>
      <c r="W890" s="1">
        <v>45580</v>
      </c>
      <c r="X890" t="b">
        <v>0</v>
      </c>
      <c r="Y890" t="b">
        <v>1</v>
      </c>
      <c r="Z890" t="s">
        <v>40</v>
      </c>
      <c r="AA890" t="s">
        <v>41</v>
      </c>
      <c r="AB890">
        <v>13</v>
      </c>
    </row>
    <row r="891" spans="1:28" x14ac:dyDescent="0.25">
      <c r="A891" t="s">
        <v>1846</v>
      </c>
      <c r="B891">
        <v>25</v>
      </c>
      <c r="C891" t="s">
        <v>43</v>
      </c>
      <c r="D891" t="s">
        <v>30</v>
      </c>
      <c r="E891" t="s">
        <v>55</v>
      </c>
      <c r="F891" t="s">
        <v>56</v>
      </c>
      <c r="G891" t="s">
        <v>44</v>
      </c>
      <c r="H891" t="s">
        <v>1847</v>
      </c>
      <c r="I891" t="s">
        <v>90</v>
      </c>
      <c r="J891">
        <v>190.76</v>
      </c>
      <c r="K891">
        <v>10</v>
      </c>
      <c r="L891" t="s">
        <v>48</v>
      </c>
      <c r="M891">
        <v>5</v>
      </c>
      <c r="N891">
        <v>5</v>
      </c>
      <c r="O891">
        <v>2</v>
      </c>
      <c r="P891" t="s">
        <v>36</v>
      </c>
      <c r="Q891" t="s">
        <v>50</v>
      </c>
      <c r="R891">
        <v>1</v>
      </c>
      <c r="S891">
        <v>3</v>
      </c>
      <c r="T891" t="s">
        <v>44</v>
      </c>
      <c r="U891" t="s">
        <v>79</v>
      </c>
      <c r="V891" t="s">
        <v>66</v>
      </c>
      <c r="W891" s="1">
        <v>45603</v>
      </c>
      <c r="X891" t="b">
        <v>0</v>
      </c>
      <c r="Y891" t="b">
        <v>0</v>
      </c>
      <c r="Z891" t="s">
        <v>74</v>
      </c>
      <c r="AA891" t="s">
        <v>67</v>
      </c>
      <c r="AB891">
        <v>11</v>
      </c>
    </row>
    <row r="892" spans="1:28" x14ac:dyDescent="0.25">
      <c r="A892" t="s">
        <v>1848</v>
      </c>
      <c r="B892">
        <v>40</v>
      </c>
      <c r="C892" t="s">
        <v>29</v>
      </c>
      <c r="D892" t="s">
        <v>44</v>
      </c>
      <c r="E892" t="s">
        <v>69</v>
      </c>
      <c r="F892" t="s">
        <v>56</v>
      </c>
      <c r="G892" t="s">
        <v>44</v>
      </c>
      <c r="H892" t="s">
        <v>1849</v>
      </c>
      <c r="I892" t="s">
        <v>101</v>
      </c>
      <c r="J892">
        <v>105.76</v>
      </c>
      <c r="K892">
        <v>8</v>
      </c>
      <c r="L892" t="s">
        <v>78</v>
      </c>
      <c r="M892">
        <v>4</v>
      </c>
      <c r="N892">
        <v>4</v>
      </c>
      <c r="O892">
        <v>2</v>
      </c>
      <c r="P892" t="s">
        <v>36</v>
      </c>
      <c r="Q892" t="s">
        <v>85</v>
      </c>
      <c r="R892">
        <v>1</v>
      </c>
      <c r="S892">
        <v>8</v>
      </c>
      <c r="T892" t="s">
        <v>49</v>
      </c>
      <c r="U892" t="s">
        <v>38</v>
      </c>
      <c r="V892" t="s">
        <v>39</v>
      </c>
      <c r="W892" s="1">
        <v>45309</v>
      </c>
      <c r="X892" t="b">
        <v>0</v>
      </c>
      <c r="Y892" t="b">
        <v>0</v>
      </c>
      <c r="Z892" t="s">
        <v>74</v>
      </c>
      <c r="AA892" t="s">
        <v>67</v>
      </c>
      <c r="AB892">
        <v>4</v>
      </c>
    </row>
    <row r="893" spans="1:28" x14ac:dyDescent="0.25">
      <c r="A893" t="s">
        <v>1850</v>
      </c>
      <c r="B893">
        <v>24</v>
      </c>
      <c r="C893" t="s">
        <v>29</v>
      </c>
      <c r="D893" t="s">
        <v>30</v>
      </c>
      <c r="E893" t="s">
        <v>55</v>
      </c>
      <c r="F893" t="s">
        <v>56</v>
      </c>
      <c r="G893" t="s">
        <v>44</v>
      </c>
      <c r="H893" t="s">
        <v>1851</v>
      </c>
      <c r="I893" t="s">
        <v>107</v>
      </c>
      <c r="J893">
        <v>254.29</v>
      </c>
      <c r="K893">
        <v>9</v>
      </c>
      <c r="L893" t="s">
        <v>35</v>
      </c>
      <c r="M893">
        <v>5</v>
      </c>
      <c r="N893">
        <v>4</v>
      </c>
      <c r="O893">
        <v>0</v>
      </c>
      <c r="P893" t="s">
        <v>49</v>
      </c>
      <c r="Q893" t="s">
        <v>37</v>
      </c>
      <c r="R893">
        <v>1</v>
      </c>
      <c r="S893">
        <v>7</v>
      </c>
      <c r="T893" t="s">
        <v>59</v>
      </c>
      <c r="U893" t="s">
        <v>60</v>
      </c>
      <c r="V893" t="s">
        <v>86</v>
      </c>
      <c r="W893" s="1">
        <v>45412</v>
      </c>
      <c r="X893" t="b">
        <v>0</v>
      </c>
      <c r="Y893" t="b">
        <v>0</v>
      </c>
      <c r="Z893" t="s">
        <v>62</v>
      </c>
      <c r="AA893" t="s">
        <v>67</v>
      </c>
      <c r="AB893">
        <v>3</v>
      </c>
    </row>
    <row r="894" spans="1:28" x14ac:dyDescent="0.25">
      <c r="A894" t="s">
        <v>1852</v>
      </c>
      <c r="B894">
        <v>49</v>
      </c>
      <c r="C894" t="s">
        <v>43</v>
      </c>
      <c r="D894" t="s">
        <v>30</v>
      </c>
      <c r="E894" t="s">
        <v>76</v>
      </c>
      <c r="F894" t="s">
        <v>32</v>
      </c>
      <c r="G894" t="s">
        <v>44</v>
      </c>
      <c r="H894" t="s">
        <v>1853</v>
      </c>
      <c r="I894" t="s">
        <v>90</v>
      </c>
      <c r="J894">
        <v>435.52</v>
      </c>
      <c r="K894">
        <v>9</v>
      </c>
      <c r="L894" t="s">
        <v>78</v>
      </c>
      <c r="M894">
        <v>5</v>
      </c>
      <c r="N894">
        <v>3</v>
      </c>
      <c r="O894">
        <v>2</v>
      </c>
      <c r="P894" t="s">
        <v>44</v>
      </c>
      <c r="Q894" t="s">
        <v>50</v>
      </c>
      <c r="R894">
        <v>1</v>
      </c>
      <c r="S894">
        <v>2</v>
      </c>
      <c r="T894" t="s">
        <v>49</v>
      </c>
      <c r="U894" t="s">
        <v>79</v>
      </c>
      <c r="V894" t="s">
        <v>61</v>
      </c>
      <c r="W894" s="1">
        <v>45608</v>
      </c>
      <c r="X894" t="b">
        <v>1</v>
      </c>
      <c r="Y894" t="b">
        <v>0</v>
      </c>
      <c r="Z894" t="s">
        <v>62</v>
      </c>
      <c r="AA894" t="s">
        <v>41</v>
      </c>
      <c r="AB894">
        <v>11</v>
      </c>
    </row>
    <row r="895" spans="1:28" x14ac:dyDescent="0.25">
      <c r="A895" t="s">
        <v>1854</v>
      </c>
      <c r="B895">
        <v>50</v>
      </c>
      <c r="C895" t="s">
        <v>29</v>
      </c>
      <c r="D895" t="s">
        <v>44</v>
      </c>
      <c r="E895" t="s">
        <v>31</v>
      </c>
      <c r="F895" t="s">
        <v>56</v>
      </c>
      <c r="G895" t="s">
        <v>30</v>
      </c>
      <c r="H895" t="s">
        <v>1855</v>
      </c>
      <c r="I895" t="s">
        <v>58</v>
      </c>
      <c r="J895">
        <v>235.49</v>
      </c>
      <c r="K895">
        <v>5</v>
      </c>
      <c r="L895" t="s">
        <v>48</v>
      </c>
      <c r="M895">
        <v>4</v>
      </c>
      <c r="N895">
        <v>3</v>
      </c>
      <c r="O895">
        <v>1</v>
      </c>
      <c r="P895" t="s">
        <v>44</v>
      </c>
      <c r="Q895" t="s">
        <v>37</v>
      </c>
      <c r="R895">
        <v>1</v>
      </c>
      <c r="S895">
        <v>6</v>
      </c>
      <c r="T895" t="s">
        <v>36</v>
      </c>
      <c r="U895" t="s">
        <v>60</v>
      </c>
      <c r="V895" t="s">
        <v>86</v>
      </c>
      <c r="W895" s="1">
        <v>45425</v>
      </c>
      <c r="X895" t="b">
        <v>1</v>
      </c>
      <c r="Y895" t="b">
        <v>0</v>
      </c>
      <c r="Z895" t="s">
        <v>62</v>
      </c>
      <c r="AA895" t="s">
        <v>67</v>
      </c>
      <c r="AB895">
        <v>5</v>
      </c>
    </row>
    <row r="896" spans="1:28" x14ac:dyDescent="0.25">
      <c r="A896" t="s">
        <v>1856</v>
      </c>
      <c r="B896">
        <v>45</v>
      </c>
      <c r="C896" t="s">
        <v>43</v>
      </c>
      <c r="D896" t="s">
        <v>44</v>
      </c>
      <c r="E896" t="s">
        <v>69</v>
      </c>
      <c r="F896" t="s">
        <v>56</v>
      </c>
      <c r="G896" t="s">
        <v>30</v>
      </c>
      <c r="H896" t="s">
        <v>1857</v>
      </c>
      <c r="I896" t="s">
        <v>93</v>
      </c>
      <c r="J896">
        <v>161.34</v>
      </c>
      <c r="K896">
        <v>3</v>
      </c>
      <c r="L896" t="s">
        <v>35</v>
      </c>
      <c r="M896">
        <v>2</v>
      </c>
      <c r="N896">
        <v>3</v>
      </c>
      <c r="O896">
        <v>2</v>
      </c>
      <c r="P896" t="s">
        <v>44</v>
      </c>
      <c r="Q896" t="s">
        <v>85</v>
      </c>
      <c r="R896">
        <v>1</v>
      </c>
      <c r="S896">
        <v>8</v>
      </c>
      <c r="T896" t="s">
        <v>49</v>
      </c>
      <c r="U896" t="s">
        <v>38</v>
      </c>
      <c r="V896" t="s">
        <v>39</v>
      </c>
      <c r="W896" s="1">
        <v>45563</v>
      </c>
      <c r="X896" t="b">
        <v>1</v>
      </c>
      <c r="Y896" t="b">
        <v>0</v>
      </c>
      <c r="Z896" t="s">
        <v>62</v>
      </c>
      <c r="AA896" t="s">
        <v>41</v>
      </c>
      <c r="AB896">
        <v>4</v>
      </c>
    </row>
    <row r="897" spans="1:28" x14ac:dyDescent="0.25">
      <c r="A897" t="s">
        <v>1858</v>
      </c>
      <c r="B897">
        <v>19</v>
      </c>
      <c r="C897" t="s">
        <v>43</v>
      </c>
      <c r="D897" t="s">
        <v>44</v>
      </c>
      <c r="E897" t="s">
        <v>55</v>
      </c>
      <c r="F897" t="s">
        <v>56</v>
      </c>
      <c r="G897" t="s">
        <v>44</v>
      </c>
      <c r="H897" t="s">
        <v>1859</v>
      </c>
      <c r="I897" t="s">
        <v>93</v>
      </c>
      <c r="J897">
        <v>167.67</v>
      </c>
      <c r="K897">
        <v>11</v>
      </c>
      <c r="L897" t="s">
        <v>48</v>
      </c>
      <c r="M897">
        <v>5</v>
      </c>
      <c r="N897">
        <v>2</v>
      </c>
      <c r="O897">
        <v>1</v>
      </c>
      <c r="P897" t="s">
        <v>44</v>
      </c>
      <c r="Q897" t="s">
        <v>85</v>
      </c>
      <c r="R897">
        <v>0</v>
      </c>
      <c r="S897">
        <v>6</v>
      </c>
      <c r="T897" t="s">
        <v>49</v>
      </c>
      <c r="U897" t="s">
        <v>60</v>
      </c>
      <c r="V897" t="s">
        <v>39</v>
      </c>
      <c r="W897" s="1">
        <v>45369</v>
      </c>
      <c r="X897" t="b">
        <v>0</v>
      </c>
      <c r="Y897" t="b">
        <v>1</v>
      </c>
      <c r="Z897" t="s">
        <v>40</v>
      </c>
      <c r="AA897" t="s">
        <v>67</v>
      </c>
      <c r="AB897">
        <v>5</v>
      </c>
    </row>
    <row r="898" spans="1:28" x14ac:dyDescent="0.25">
      <c r="A898" t="s">
        <v>1860</v>
      </c>
      <c r="B898">
        <v>50</v>
      </c>
      <c r="C898" t="s">
        <v>29</v>
      </c>
      <c r="D898" t="s">
        <v>30</v>
      </c>
      <c r="E898" t="s">
        <v>69</v>
      </c>
      <c r="F898" t="s">
        <v>45</v>
      </c>
      <c r="G898" t="s">
        <v>44</v>
      </c>
      <c r="H898" t="s">
        <v>1861</v>
      </c>
      <c r="I898" t="s">
        <v>47</v>
      </c>
      <c r="J898">
        <v>96.68</v>
      </c>
      <c r="K898">
        <v>10</v>
      </c>
      <c r="L898" t="s">
        <v>35</v>
      </c>
      <c r="M898">
        <v>5</v>
      </c>
      <c r="N898">
        <v>2</v>
      </c>
      <c r="O898">
        <v>2</v>
      </c>
      <c r="P898" t="s">
        <v>44</v>
      </c>
      <c r="Q898" t="s">
        <v>37</v>
      </c>
      <c r="R898">
        <v>2</v>
      </c>
      <c r="S898">
        <v>3</v>
      </c>
      <c r="T898" t="s">
        <v>36</v>
      </c>
      <c r="U898" t="s">
        <v>60</v>
      </c>
      <c r="V898" t="s">
        <v>39</v>
      </c>
      <c r="W898" s="1">
        <v>45395</v>
      </c>
      <c r="X898" t="b">
        <v>1</v>
      </c>
      <c r="Y898" t="b">
        <v>0</v>
      </c>
      <c r="Z898" t="s">
        <v>74</v>
      </c>
      <c r="AA898" t="s">
        <v>41</v>
      </c>
      <c r="AB898">
        <v>10</v>
      </c>
    </row>
    <row r="899" spans="1:28" x14ac:dyDescent="0.25">
      <c r="A899" t="s">
        <v>1862</v>
      </c>
      <c r="B899">
        <v>32</v>
      </c>
      <c r="C899" t="s">
        <v>43</v>
      </c>
      <c r="D899" t="s">
        <v>44</v>
      </c>
      <c r="E899" t="s">
        <v>31</v>
      </c>
      <c r="F899" t="s">
        <v>56</v>
      </c>
      <c r="G899" t="s">
        <v>44</v>
      </c>
      <c r="H899" t="s">
        <v>1863</v>
      </c>
      <c r="I899" t="s">
        <v>34</v>
      </c>
      <c r="J899">
        <v>234.58</v>
      </c>
      <c r="K899">
        <v>3</v>
      </c>
      <c r="L899" t="s">
        <v>35</v>
      </c>
      <c r="M899">
        <v>5</v>
      </c>
      <c r="N899">
        <v>5</v>
      </c>
      <c r="O899">
        <v>2</v>
      </c>
      <c r="P899" t="s">
        <v>59</v>
      </c>
      <c r="Q899" t="s">
        <v>85</v>
      </c>
      <c r="R899">
        <v>2</v>
      </c>
      <c r="S899">
        <v>6</v>
      </c>
      <c r="T899" t="s">
        <v>36</v>
      </c>
      <c r="U899" t="s">
        <v>79</v>
      </c>
      <c r="V899" t="s">
        <v>51</v>
      </c>
      <c r="W899" s="1">
        <v>45405</v>
      </c>
      <c r="X899" t="b">
        <v>1</v>
      </c>
      <c r="Y899" t="b">
        <v>0</v>
      </c>
      <c r="Z899" t="s">
        <v>62</v>
      </c>
      <c r="AA899" t="s">
        <v>53</v>
      </c>
      <c r="AB899">
        <v>1</v>
      </c>
    </row>
    <row r="900" spans="1:28" x14ac:dyDescent="0.25">
      <c r="A900" t="s">
        <v>1864</v>
      </c>
      <c r="B900">
        <v>21</v>
      </c>
      <c r="C900" t="s">
        <v>43</v>
      </c>
      <c r="D900" t="s">
        <v>30</v>
      </c>
      <c r="E900" t="s">
        <v>31</v>
      </c>
      <c r="F900" t="s">
        <v>56</v>
      </c>
      <c r="G900" t="s">
        <v>30</v>
      </c>
      <c r="H900" t="s">
        <v>1865</v>
      </c>
      <c r="I900" t="s">
        <v>71</v>
      </c>
      <c r="J900">
        <v>156.47999999999999</v>
      </c>
      <c r="K900">
        <v>7</v>
      </c>
      <c r="L900" t="s">
        <v>48</v>
      </c>
      <c r="M900">
        <v>5</v>
      </c>
      <c r="N900">
        <v>1</v>
      </c>
      <c r="O900">
        <v>0</v>
      </c>
      <c r="P900" t="s">
        <v>59</v>
      </c>
      <c r="Q900" t="s">
        <v>50</v>
      </c>
      <c r="R900">
        <v>2</v>
      </c>
      <c r="S900">
        <v>5</v>
      </c>
      <c r="T900" t="s">
        <v>49</v>
      </c>
      <c r="U900" t="s">
        <v>79</v>
      </c>
      <c r="V900" t="s">
        <v>66</v>
      </c>
      <c r="W900" s="1">
        <v>45364</v>
      </c>
      <c r="X900" t="b">
        <v>0</v>
      </c>
      <c r="Y900" t="b">
        <v>1</v>
      </c>
      <c r="Z900" t="s">
        <v>52</v>
      </c>
      <c r="AA900" t="s">
        <v>41</v>
      </c>
      <c r="AB900">
        <v>4</v>
      </c>
    </row>
    <row r="901" spans="1:28" x14ac:dyDescent="0.25">
      <c r="A901" t="s">
        <v>1866</v>
      </c>
      <c r="B901">
        <v>27</v>
      </c>
      <c r="C901" t="s">
        <v>212</v>
      </c>
      <c r="D901" t="s">
        <v>44</v>
      </c>
      <c r="E901" t="s">
        <v>69</v>
      </c>
      <c r="F901" t="s">
        <v>32</v>
      </c>
      <c r="G901" t="s">
        <v>30</v>
      </c>
      <c r="H901" t="s">
        <v>1867</v>
      </c>
      <c r="I901" t="s">
        <v>246</v>
      </c>
      <c r="J901">
        <v>489.66</v>
      </c>
      <c r="K901">
        <v>11</v>
      </c>
      <c r="L901" t="s">
        <v>35</v>
      </c>
      <c r="M901">
        <v>5</v>
      </c>
      <c r="N901">
        <v>1</v>
      </c>
      <c r="O901">
        <v>0</v>
      </c>
      <c r="P901" t="s">
        <v>44</v>
      </c>
      <c r="Q901" t="s">
        <v>50</v>
      </c>
      <c r="R901">
        <v>2</v>
      </c>
      <c r="S901">
        <v>6</v>
      </c>
      <c r="T901" t="s">
        <v>36</v>
      </c>
      <c r="U901" t="s">
        <v>38</v>
      </c>
      <c r="V901" t="s">
        <v>66</v>
      </c>
      <c r="W901" s="1">
        <v>45309</v>
      </c>
      <c r="X901" t="b">
        <v>1</v>
      </c>
      <c r="Y901" t="b">
        <v>0</v>
      </c>
      <c r="Z901" t="s">
        <v>52</v>
      </c>
      <c r="AA901" t="s">
        <v>53</v>
      </c>
      <c r="AB901">
        <v>3</v>
      </c>
    </row>
    <row r="902" spans="1:28" x14ac:dyDescent="0.25">
      <c r="A902" t="s">
        <v>1868</v>
      </c>
      <c r="B902">
        <v>39</v>
      </c>
      <c r="C902" t="s">
        <v>274</v>
      </c>
      <c r="D902" t="s">
        <v>44</v>
      </c>
      <c r="E902" t="s">
        <v>76</v>
      </c>
      <c r="F902" t="s">
        <v>56</v>
      </c>
      <c r="G902" t="s">
        <v>44</v>
      </c>
      <c r="H902" t="s">
        <v>1869</v>
      </c>
      <c r="I902" t="s">
        <v>114</v>
      </c>
      <c r="J902">
        <v>161.85</v>
      </c>
      <c r="K902">
        <v>9</v>
      </c>
      <c r="L902" t="s">
        <v>48</v>
      </c>
      <c r="M902">
        <v>5</v>
      </c>
      <c r="N902">
        <v>3</v>
      </c>
      <c r="O902">
        <v>0</v>
      </c>
      <c r="P902" t="s">
        <v>44</v>
      </c>
      <c r="Q902" t="s">
        <v>85</v>
      </c>
      <c r="R902">
        <v>0</v>
      </c>
      <c r="S902">
        <v>4</v>
      </c>
      <c r="T902" t="s">
        <v>49</v>
      </c>
      <c r="U902" t="s">
        <v>60</v>
      </c>
      <c r="V902" t="s">
        <v>66</v>
      </c>
      <c r="W902" s="1">
        <v>45407</v>
      </c>
      <c r="X902" t="b">
        <v>1</v>
      </c>
      <c r="Y902" t="b">
        <v>0</v>
      </c>
      <c r="Z902" t="s">
        <v>40</v>
      </c>
      <c r="AA902" t="s">
        <v>41</v>
      </c>
      <c r="AB902">
        <v>10</v>
      </c>
    </row>
    <row r="903" spans="1:28" x14ac:dyDescent="0.25">
      <c r="A903" t="s">
        <v>1870</v>
      </c>
      <c r="B903">
        <v>34</v>
      </c>
      <c r="C903" t="s">
        <v>43</v>
      </c>
      <c r="D903" t="s">
        <v>30</v>
      </c>
      <c r="E903" t="s">
        <v>69</v>
      </c>
      <c r="F903" t="s">
        <v>56</v>
      </c>
      <c r="G903" t="s">
        <v>44</v>
      </c>
      <c r="H903" t="s">
        <v>1871</v>
      </c>
      <c r="I903" t="s">
        <v>117</v>
      </c>
      <c r="J903">
        <v>204.47</v>
      </c>
      <c r="K903">
        <v>7</v>
      </c>
      <c r="L903" t="s">
        <v>78</v>
      </c>
      <c r="M903">
        <v>2</v>
      </c>
      <c r="N903">
        <v>1</v>
      </c>
      <c r="O903">
        <v>1</v>
      </c>
      <c r="P903" t="s">
        <v>36</v>
      </c>
      <c r="Q903" t="s">
        <v>85</v>
      </c>
      <c r="R903">
        <v>2</v>
      </c>
      <c r="S903">
        <v>9</v>
      </c>
      <c r="T903" t="s">
        <v>36</v>
      </c>
      <c r="U903" t="s">
        <v>60</v>
      </c>
      <c r="V903" t="s">
        <v>39</v>
      </c>
      <c r="W903" s="1">
        <v>45519</v>
      </c>
      <c r="X903" t="b">
        <v>1</v>
      </c>
      <c r="Y903" t="b">
        <v>1</v>
      </c>
      <c r="Z903" t="s">
        <v>52</v>
      </c>
      <c r="AA903" t="s">
        <v>41</v>
      </c>
      <c r="AB903">
        <v>3</v>
      </c>
    </row>
    <row r="904" spans="1:28" x14ac:dyDescent="0.25">
      <c r="A904" t="s">
        <v>1872</v>
      </c>
      <c r="B904">
        <v>34</v>
      </c>
      <c r="C904" t="s">
        <v>29</v>
      </c>
      <c r="D904" t="s">
        <v>30</v>
      </c>
      <c r="E904" t="s">
        <v>69</v>
      </c>
      <c r="F904" t="s">
        <v>32</v>
      </c>
      <c r="G904" t="s">
        <v>30</v>
      </c>
      <c r="H904" t="s">
        <v>1873</v>
      </c>
      <c r="I904" t="s">
        <v>107</v>
      </c>
      <c r="J904">
        <v>315.02999999999997</v>
      </c>
      <c r="K904">
        <v>4</v>
      </c>
      <c r="L904" t="s">
        <v>78</v>
      </c>
      <c r="M904">
        <v>1</v>
      </c>
      <c r="N904">
        <v>5</v>
      </c>
      <c r="O904">
        <v>0</v>
      </c>
      <c r="P904" t="s">
        <v>44</v>
      </c>
      <c r="Q904" t="s">
        <v>85</v>
      </c>
      <c r="R904">
        <v>1</v>
      </c>
      <c r="S904">
        <v>6</v>
      </c>
      <c r="T904" t="s">
        <v>59</v>
      </c>
      <c r="U904" t="s">
        <v>38</v>
      </c>
      <c r="V904" t="s">
        <v>51</v>
      </c>
      <c r="W904" s="1">
        <v>45606</v>
      </c>
      <c r="X904" t="b">
        <v>1</v>
      </c>
      <c r="Y904" t="b">
        <v>0</v>
      </c>
      <c r="Z904" t="s">
        <v>74</v>
      </c>
      <c r="AA904" t="s">
        <v>67</v>
      </c>
      <c r="AB904">
        <v>2</v>
      </c>
    </row>
    <row r="905" spans="1:28" x14ac:dyDescent="0.25">
      <c r="A905" t="s">
        <v>1874</v>
      </c>
      <c r="B905">
        <v>42</v>
      </c>
      <c r="C905" t="s">
        <v>43</v>
      </c>
      <c r="D905" t="s">
        <v>30</v>
      </c>
      <c r="E905" t="s">
        <v>55</v>
      </c>
      <c r="F905" t="s">
        <v>56</v>
      </c>
      <c r="G905" t="s">
        <v>44</v>
      </c>
      <c r="H905" t="s">
        <v>1875</v>
      </c>
      <c r="I905" t="s">
        <v>71</v>
      </c>
      <c r="J905">
        <v>330.36</v>
      </c>
      <c r="K905">
        <v>12</v>
      </c>
      <c r="L905" t="s">
        <v>48</v>
      </c>
      <c r="M905">
        <v>5</v>
      </c>
      <c r="N905">
        <v>5</v>
      </c>
      <c r="O905">
        <v>1</v>
      </c>
      <c r="P905" t="s">
        <v>59</v>
      </c>
      <c r="Q905" t="s">
        <v>85</v>
      </c>
      <c r="R905">
        <v>1</v>
      </c>
      <c r="S905">
        <v>4</v>
      </c>
      <c r="T905" t="s">
        <v>59</v>
      </c>
      <c r="U905" t="s">
        <v>38</v>
      </c>
      <c r="V905" t="s">
        <v>66</v>
      </c>
      <c r="W905" s="1">
        <v>45472</v>
      </c>
      <c r="X905" t="b">
        <v>1</v>
      </c>
      <c r="Y905" t="b">
        <v>1</v>
      </c>
      <c r="Z905" t="s">
        <v>40</v>
      </c>
      <c r="AA905" t="s">
        <v>41</v>
      </c>
      <c r="AB905">
        <v>3</v>
      </c>
    </row>
    <row r="906" spans="1:28" x14ac:dyDescent="0.25">
      <c r="A906" t="s">
        <v>1876</v>
      </c>
      <c r="B906">
        <v>42</v>
      </c>
      <c r="C906" t="s">
        <v>43</v>
      </c>
      <c r="D906" t="s">
        <v>30</v>
      </c>
      <c r="E906" t="s">
        <v>55</v>
      </c>
      <c r="F906" t="s">
        <v>32</v>
      </c>
      <c r="G906" t="s">
        <v>30</v>
      </c>
      <c r="H906" t="s">
        <v>1877</v>
      </c>
      <c r="I906" t="s">
        <v>126</v>
      </c>
      <c r="J906">
        <v>456.83</v>
      </c>
      <c r="K906">
        <v>5</v>
      </c>
      <c r="L906" t="s">
        <v>78</v>
      </c>
      <c r="M906">
        <v>2</v>
      </c>
      <c r="N906">
        <v>5</v>
      </c>
      <c r="O906">
        <v>0</v>
      </c>
      <c r="P906" t="s">
        <v>36</v>
      </c>
      <c r="Q906" t="s">
        <v>50</v>
      </c>
      <c r="R906">
        <v>0</v>
      </c>
      <c r="S906">
        <v>9</v>
      </c>
      <c r="T906" t="s">
        <v>44</v>
      </c>
      <c r="U906" t="s">
        <v>38</v>
      </c>
      <c r="V906" t="s">
        <v>39</v>
      </c>
      <c r="W906" s="1">
        <v>45463</v>
      </c>
      <c r="X906" t="b">
        <v>0</v>
      </c>
      <c r="Y906" t="b">
        <v>0</v>
      </c>
      <c r="Z906" t="s">
        <v>40</v>
      </c>
      <c r="AA906" t="s">
        <v>41</v>
      </c>
      <c r="AB906">
        <v>13</v>
      </c>
    </row>
    <row r="907" spans="1:28" x14ac:dyDescent="0.25">
      <c r="A907" t="s">
        <v>1878</v>
      </c>
      <c r="B907">
        <v>31</v>
      </c>
      <c r="C907" t="s">
        <v>43</v>
      </c>
      <c r="D907" t="s">
        <v>44</v>
      </c>
      <c r="E907" t="s">
        <v>69</v>
      </c>
      <c r="F907" t="s">
        <v>32</v>
      </c>
      <c r="G907" t="s">
        <v>44</v>
      </c>
      <c r="H907" t="s">
        <v>1879</v>
      </c>
      <c r="I907" t="s">
        <v>246</v>
      </c>
      <c r="J907">
        <v>236.05</v>
      </c>
      <c r="K907">
        <v>6</v>
      </c>
      <c r="L907" t="s">
        <v>48</v>
      </c>
      <c r="M907">
        <v>2</v>
      </c>
      <c r="N907">
        <v>3</v>
      </c>
      <c r="O907">
        <v>0</v>
      </c>
      <c r="P907" t="s">
        <v>36</v>
      </c>
      <c r="Q907" t="s">
        <v>85</v>
      </c>
      <c r="R907">
        <v>1</v>
      </c>
      <c r="S907">
        <v>4</v>
      </c>
      <c r="T907" t="s">
        <v>44</v>
      </c>
      <c r="U907" t="s">
        <v>79</v>
      </c>
      <c r="V907" t="s">
        <v>66</v>
      </c>
      <c r="W907" s="1">
        <v>45612</v>
      </c>
      <c r="X907" t="b">
        <v>0</v>
      </c>
      <c r="Y907" t="b">
        <v>1</v>
      </c>
      <c r="Z907" t="s">
        <v>40</v>
      </c>
      <c r="AA907" t="s">
        <v>41</v>
      </c>
      <c r="AB907">
        <v>13</v>
      </c>
    </row>
    <row r="908" spans="1:28" x14ac:dyDescent="0.25">
      <c r="A908" t="s">
        <v>1880</v>
      </c>
      <c r="B908">
        <v>35</v>
      </c>
      <c r="C908" t="s">
        <v>29</v>
      </c>
      <c r="D908" t="s">
        <v>44</v>
      </c>
      <c r="E908" t="s">
        <v>69</v>
      </c>
      <c r="F908" t="s">
        <v>45</v>
      </c>
      <c r="G908" t="s">
        <v>44</v>
      </c>
      <c r="H908" t="s">
        <v>1881</v>
      </c>
      <c r="I908" t="s">
        <v>65</v>
      </c>
      <c r="J908">
        <v>289.27999999999997</v>
      </c>
      <c r="K908">
        <v>9</v>
      </c>
      <c r="L908" t="s">
        <v>78</v>
      </c>
      <c r="M908">
        <v>3</v>
      </c>
      <c r="N908">
        <v>5</v>
      </c>
      <c r="O908">
        <v>1</v>
      </c>
      <c r="P908" t="s">
        <v>44</v>
      </c>
      <c r="Q908" t="s">
        <v>37</v>
      </c>
      <c r="R908">
        <v>2</v>
      </c>
      <c r="S908">
        <v>7</v>
      </c>
      <c r="T908" t="s">
        <v>49</v>
      </c>
      <c r="U908" t="s">
        <v>38</v>
      </c>
      <c r="V908" t="s">
        <v>51</v>
      </c>
      <c r="W908" s="1">
        <v>45472</v>
      </c>
      <c r="X908" t="b">
        <v>0</v>
      </c>
      <c r="Y908" t="b">
        <v>1</v>
      </c>
      <c r="Z908" t="s">
        <v>52</v>
      </c>
      <c r="AA908" t="s">
        <v>67</v>
      </c>
      <c r="AB908">
        <v>13</v>
      </c>
    </row>
    <row r="909" spans="1:28" x14ac:dyDescent="0.25">
      <c r="A909" t="s">
        <v>1882</v>
      </c>
      <c r="B909">
        <v>27</v>
      </c>
      <c r="C909" t="s">
        <v>29</v>
      </c>
      <c r="D909" t="s">
        <v>44</v>
      </c>
      <c r="E909" t="s">
        <v>31</v>
      </c>
      <c r="F909" t="s">
        <v>45</v>
      </c>
      <c r="G909" t="s">
        <v>30</v>
      </c>
      <c r="H909" t="s">
        <v>1883</v>
      </c>
      <c r="I909" t="s">
        <v>114</v>
      </c>
      <c r="J909">
        <v>483.77</v>
      </c>
      <c r="K909">
        <v>5</v>
      </c>
      <c r="L909" t="s">
        <v>48</v>
      </c>
      <c r="M909">
        <v>1</v>
      </c>
      <c r="N909">
        <v>2</v>
      </c>
      <c r="O909">
        <v>0</v>
      </c>
      <c r="P909" t="s">
        <v>36</v>
      </c>
      <c r="Q909" t="s">
        <v>85</v>
      </c>
      <c r="R909">
        <v>0</v>
      </c>
      <c r="S909">
        <v>5</v>
      </c>
      <c r="T909" t="s">
        <v>36</v>
      </c>
      <c r="U909" t="s">
        <v>79</v>
      </c>
      <c r="V909" t="s">
        <v>39</v>
      </c>
      <c r="W909" s="1">
        <v>45493</v>
      </c>
      <c r="X909" t="b">
        <v>0</v>
      </c>
      <c r="Y909" t="b">
        <v>0</v>
      </c>
      <c r="Z909" t="s">
        <v>52</v>
      </c>
      <c r="AA909" t="s">
        <v>41</v>
      </c>
      <c r="AB909">
        <v>10</v>
      </c>
    </row>
    <row r="910" spans="1:28" x14ac:dyDescent="0.25">
      <c r="A910" t="s">
        <v>1884</v>
      </c>
      <c r="B910">
        <v>45</v>
      </c>
      <c r="C910" t="s">
        <v>43</v>
      </c>
      <c r="D910" t="s">
        <v>30</v>
      </c>
      <c r="E910" t="s">
        <v>31</v>
      </c>
      <c r="F910" t="s">
        <v>45</v>
      </c>
      <c r="G910" t="s">
        <v>30</v>
      </c>
      <c r="H910" t="s">
        <v>1885</v>
      </c>
      <c r="I910" t="s">
        <v>71</v>
      </c>
      <c r="J910">
        <v>64.5</v>
      </c>
      <c r="K910">
        <v>7</v>
      </c>
      <c r="L910" t="s">
        <v>48</v>
      </c>
      <c r="M910">
        <v>3</v>
      </c>
      <c r="N910">
        <v>4</v>
      </c>
      <c r="O910">
        <v>1</v>
      </c>
      <c r="P910" t="s">
        <v>44</v>
      </c>
      <c r="Q910" t="s">
        <v>37</v>
      </c>
      <c r="R910">
        <v>1</v>
      </c>
      <c r="S910">
        <v>7</v>
      </c>
      <c r="T910" t="s">
        <v>44</v>
      </c>
      <c r="U910" t="s">
        <v>79</v>
      </c>
      <c r="V910" t="s">
        <v>39</v>
      </c>
      <c r="W910" s="1">
        <v>45501</v>
      </c>
      <c r="X910" t="b">
        <v>1</v>
      </c>
      <c r="Y910" t="b">
        <v>0</v>
      </c>
      <c r="Z910" t="s">
        <v>52</v>
      </c>
      <c r="AA910" t="s">
        <v>41</v>
      </c>
      <c r="AB910">
        <v>13</v>
      </c>
    </row>
    <row r="911" spans="1:28" x14ac:dyDescent="0.25">
      <c r="A911" t="s">
        <v>1886</v>
      </c>
      <c r="B911">
        <v>43</v>
      </c>
      <c r="C911" t="s">
        <v>43</v>
      </c>
      <c r="D911" t="s">
        <v>44</v>
      </c>
      <c r="E911" t="s">
        <v>31</v>
      </c>
      <c r="F911" t="s">
        <v>32</v>
      </c>
      <c r="G911" t="s">
        <v>30</v>
      </c>
      <c r="H911" t="s">
        <v>1887</v>
      </c>
      <c r="I911" t="s">
        <v>158</v>
      </c>
      <c r="J911">
        <v>436.57</v>
      </c>
      <c r="K911">
        <v>4</v>
      </c>
      <c r="L911" t="s">
        <v>35</v>
      </c>
      <c r="M911">
        <v>5</v>
      </c>
      <c r="N911">
        <v>3</v>
      </c>
      <c r="O911">
        <v>1</v>
      </c>
      <c r="P911" t="s">
        <v>44</v>
      </c>
      <c r="Q911" t="s">
        <v>50</v>
      </c>
      <c r="R911">
        <v>2</v>
      </c>
      <c r="S911">
        <v>10</v>
      </c>
      <c r="T911" t="s">
        <v>59</v>
      </c>
      <c r="U911" t="s">
        <v>79</v>
      </c>
      <c r="V911" t="s">
        <v>61</v>
      </c>
      <c r="W911" s="1">
        <v>45324</v>
      </c>
      <c r="X911" t="b">
        <v>0</v>
      </c>
      <c r="Y911" t="b">
        <v>0</v>
      </c>
      <c r="Z911" t="s">
        <v>52</v>
      </c>
      <c r="AA911" t="s">
        <v>53</v>
      </c>
      <c r="AB911">
        <v>3</v>
      </c>
    </row>
    <row r="912" spans="1:28" x14ac:dyDescent="0.25">
      <c r="A912" t="s">
        <v>1888</v>
      </c>
      <c r="B912">
        <v>35</v>
      </c>
      <c r="C912" t="s">
        <v>88</v>
      </c>
      <c r="D912" t="s">
        <v>30</v>
      </c>
      <c r="E912" t="s">
        <v>69</v>
      </c>
      <c r="F912" t="s">
        <v>45</v>
      </c>
      <c r="G912" t="s">
        <v>30</v>
      </c>
      <c r="H912" t="s">
        <v>1889</v>
      </c>
      <c r="I912" t="s">
        <v>47</v>
      </c>
      <c r="J912">
        <v>364.48</v>
      </c>
      <c r="K912">
        <v>2</v>
      </c>
      <c r="L912" t="s">
        <v>35</v>
      </c>
      <c r="M912">
        <v>3</v>
      </c>
      <c r="N912">
        <v>3</v>
      </c>
      <c r="O912">
        <v>0.2</v>
      </c>
      <c r="P912" t="s">
        <v>36</v>
      </c>
      <c r="Q912" t="s">
        <v>85</v>
      </c>
      <c r="R912">
        <v>2</v>
      </c>
      <c r="S912">
        <v>5</v>
      </c>
      <c r="T912" t="s">
        <v>36</v>
      </c>
      <c r="U912" t="s">
        <v>60</v>
      </c>
      <c r="V912" t="s">
        <v>66</v>
      </c>
      <c r="W912" s="1">
        <v>45561</v>
      </c>
      <c r="X912" t="b">
        <v>0</v>
      </c>
      <c r="Y912" t="b">
        <v>0</v>
      </c>
      <c r="Z912" t="s">
        <v>74</v>
      </c>
      <c r="AA912" t="s">
        <v>41</v>
      </c>
      <c r="AB912">
        <v>13</v>
      </c>
    </row>
    <row r="913" spans="1:28" x14ac:dyDescent="0.25">
      <c r="A913" t="s">
        <v>1890</v>
      </c>
      <c r="B913">
        <v>33</v>
      </c>
      <c r="C913" t="s">
        <v>29</v>
      </c>
      <c r="D913" t="s">
        <v>30</v>
      </c>
      <c r="E913" t="s">
        <v>69</v>
      </c>
      <c r="F913" t="s">
        <v>56</v>
      </c>
      <c r="G913" t="s">
        <v>44</v>
      </c>
      <c r="H913" t="s">
        <v>1891</v>
      </c>
      <c r="I913" t="s">
        <v>188</v>
      </c>
      <c r="J913">
        <v>221.88</v>
      </c>
      <c r="K913">
        <v>12</v>
      </c>
      <c r="L913" t="s">
        <v>48</v>
      </c>
      <c r="M913">
        <v>1</v>
      </c>
      <c r="N913">
        <v>4</v>
      </c>
      <c r="O913">
        <v>2</v>
      </c>
      <c r="P913" t="s">
        <v>59</v>
      </c>
      <c r="Q913" t="s">
        <v>37</v>
      </c>
      <c r="R913">
        <v>1</v>
      </c>
      <c r="S913">
        <v>6</v>
      </c>
      <c r="T913" t="s">
        <v>36</v>
      </c>
      <c r="U913" t="s">
        <v>79</v>
      </c>
      <c r="V913" t="s">
        <v>66</v>
      </c>
      <c r="W913" s="1">
        <v>45386</v>
      </c>
      <c r="X913" t="b">
        <v>1</v>
      </c>
      <c r="Y913" t="b">
        <v>0</v>
      </c>
      <c r="Z913" t="s">
        <v>40</v>
      </c>
      <c r="AA913" t="s">
        <v>67</v>
      </c>
      <c r="AB913">
        <v>9</v>
      </c>
    </row>
    <row r="914" spans="1:28" x14ac:dyDescent="0.25">
      <c r="A914" t="s">
        <v>1892</v>
      </c>
      <c r="B914">
        <v>31</v>
      </c>
      <c r="C914" t="s">
        <v>29</v>
      </c>
      <c r="D914" t="s">
        <v>30</v>
      </c>
      <c r="E914" t="s">
        <v>55</v>
      </c>
      <c r="F914" t="s">
        <v>45</v>
      </c>
      <c r="G914" t="s">
        <v>30</v>
      </c>
      <c r="H914" t="s">
        <v>1893</v>
      </c>
      <c r="I914" t="s">
        <v>183</v>
      </c>
      <c r="J914">
        <v>278.20999999999998</v>
      </c>
      <c r="K914">
        <v>3</v>
      </c>
      <c r="L914" t="s">
        <v>35</v>
      </c>
      <c r="M914">
        <v>5</v>
      </c>
      <c r="N914">
        <v>1</v>
      </c>
      <c r="O914">
        <v>2</v>
      </c>
      <c r="P914" t="s">
        <v>59</v>
      </c>
      <c r="Q914" t="s">
        <v>37</v>
      </c>
      <c r="R914">
        <v>0</v>
      </c>
      <c r="S914">
        <v>7</v>
      </c>
      <c r="T914" t="s">
        <v>59</v>
      </c>
      <c r="U914" t="s">
        <v>38</v>
      </c>
      <c r="V914" t="s">
        <v>66</v>
      </c>
      <c r="W914" s="1">
        <v>45587</v>
      </c>
      <c r="X914" t="b">
        <v>1</v>
      </c>
      <c r="Y914" t="b">
        <v>0</v>
      </c>
      <c r="Z914" t="s">
        <v>40</v>
      </c>
      <c r="AA914" t="s">
        <v>41</v>
      </c>
      <c r="AB914">
        <v>14</v>
      </c>
    </row>
    <row r="915" spans="1:28" x14ac:dyDescent="0.25">
      <c r="A915" t="s">
        <v>1894</v>
      </c>
      <c r="B915">
        <v>31</v>
      </c>
      <c r="C915" t="s">
        <v>29</v>
      </c>
      <c r="D915" t="s">
        <v>44</v>
      </c>
      <c r="E915" t="s">
        <v>31</v>
      </c>
      <c r="F915" t="s">
        <v>56</v>
      </c>
      <c r="G915" t="s">
        <v>44</v>
      </c>
      <c r="H915" t="s">
        <v>1895</v>
      </c>
      <c r="I915" t="s">
        <v>142</v>
      </c>
      <c r="J915">
        <v>344.43</v>
      </c>
      <c r="K915">
        <v>7</v>
      </c>
      <c r="L915" t="s">
        <v>78</v>
      </c>
      <c r="M915">
        <v>3</v>
      </c>
      <c r="N915">
        <v>5</v>
      </c>
      <c r="O915">
        <v>0</v>
      </c>
      <c r="P915" t="s">
        <v>49</v>
      </c>
      <c r="Q915" t="s">
        <v>50</v>
      </c>
      <c r="R915">
        <v>2</v>
      </c>
      <c r="S915">
        <v>4</v>
      </c>
      <c r="T915" t="s">
        <v>49</v>
      </c>
      <c r="U915" t="s">
        <v>79</v>
      </c>
      <c r="V915" t="s">
        <v>39</v>
      </c>
      <c r="W915" s="1">
        <v>45485</v>
      </c>
      <c r="X915" t="b">
        <v>1</v>
      </c>
      <c r="Y915" t="b">
        <v>0</v>
      </c>
      <c r="Z915" t="s">
        <v>62</v>
      </c>
      <c r="AA915" t="s">
        <v>53</v>
      </c>
      <c r="AB915">
        <v>5</v>
      </c>
    </row>
    <row r="916" spans="1:28" x14ac:dyDescent="0.25">
      <c r="A916" t="s">
        <v>1896</v>
      </c>
      <c r="B916">
        <v>26</v>
      </c>
      <c r="C916" t="s">
        <v>43</v>
      </c>
      <c r="D916" t="s">
        <v>44</v>
      </c>
      <c r="E916" t="s">
        <v>55</v>
      </c>
      <c r="F916" t="s">
        <v>56</v>
      </c>
      <c r="G916" t="s">
        <v>44</v>
      </c>
      <c r="H916" t="s">
        <v>1897</v>
      </c>
      <c r="I916" t="s">
        <v>123</v>
      </c>
      <c r="J916">
        <v>326.08</v>
      </c>
      <c r="K916">
        <v>11</v>
      </c>
      <c r="L916" t="s">
        <v>48</v>
      </c>
      <c r="M916">
        <v>4</v>
      </c>
      <c r="N916">
        <v>3</v>
      </c>
      <c r="O916">
        <v>2</v>
      </c>
      <c r="P916" t="s">
        <v>49</v>
      </c>
      <c r="Q916" t="s">
        <v>50</v>
      </c>
      <c r="R916">
        <v>2</v>
      </c>
      <c r="S916">
        <v>6</v>
      </c>
      <c r="T916" t="s">
        <v>49</v>
      </c>
      <c r="U916" t="s">
        <v>38</v>
      </c>
      <c r="V916" t="s">
        <v>51</v>
      </c>
      <c r="W916" s="1">
        <v>45473</v>
      </c>
      <c r="X916" t="b">
        <v>1</v>
      </c>
      <c r="Y916" t="b">
        <v>1</v>
      </c>
      <c r="Z916" t="s">
        <v>62</v>
      </c>
      <c r="AA916" t="s">
        <v>67</v>
      </c>
      <c r="AB916">
        <v>8</v>
      </c>
    </row>
    <row r="917" spans="1:28" x14ac:dyDescent="0.25">
      <c r="A917" t="s">
        <v>1898</v>
      </c>
      <c r="B917">
        <v>49</v>
      </c>
      <c r="C917" t="s">
        <v>43</v>
      </c>
      <c r="D917" t="s">
        <v>44</v>
      </c>
      <c r="E917" t="s">
        <v>31</v>
      </c>
      <c r="F917" t="s">
        <v>32</v>
      </c>
      <c r="G917" t="s">
        <v>30</v>
      </c>
      <c r="H917" t="s">
        <v>277</v>
      </c>
      <c r="I917" t="s">
        <v>34</v>
      </c>
      <c r="J917">
        <v>437.97</v>
      </c>
      <c r="K917">
        <v>8</v>
      </c>
      <c r="L917" t="s">
        <v>78</v>
      </c>
      <c r="M917">
        <v>4</v>
      </c>
      <c r="N917">
        <v>2</v>
      </c>
      <c r="O917">
        <v>0</v>
      </c>
      <c r="P917" t="s">
        <v>44</v>
      </c>
      <c r="Q917" t="s">
        <v>50</v>
      </c>
      <c r="R917">
        <v>0</v>
      </c>
      <c r="S917">
        <v>7</v>
      </c>
      <c r="T917" t="s">
        <v>49</v>
      </c>
      <c r="U917" t="s">
        <v>38</v>
      </c>
      <c r="V917" t="s">
        <v>61</v>
      </c>
      <c r="W917" s="1">
        <v>45384</v>
      </c>
      <c r="X917" t="b">
        <v>1</v>
      </c>
      <c r="Y917" t="b">
        <v>1</v>
      </c>
      <c r="Z917" t="s">
        <v>40</v>
      </c>
      <c r="AA917" t="s">
        <v>67</v>
      </c>
      <c r="AB917">
        <v>12</v>
      </c>
    </row>
    <row r="918" spans="1:28" x14ac:dyDescent="0.25">
      <c r="A918" t="s">
        <v>1899</v>
      </c>
      <c r="B918">
        <v>23</v>
      </c>
      <c r="C918" t="s">
        <v>43</v>
      </c>
      <c r="D918" t="s">
        <v>44</v>
      </c>
      <c r="E918" t="s">
        <v>55</v>
      </c>
      <c r="F918" t="s">
        <v>56</v>
      </c>
      <c r="G918" t="s">
        <v>44</v>
      </c>
      <c r="H918" t="s">
        <v>856</v>
      </c>
      <c r="I918" t="s">
        <v>114</v>
      </c>
      <c r="J918">
        <v>391.87</v>
      </c>
      <c r="K918">
        <v>3</v>
      </c>
      <c r="L918" t="s">
        <v>78</v>
      </c>
      <c r="M918">
        <v>1</v>
      </c>
      <c r="N918">
        <v>4</v>
      </c>
      <c r="O918">
        <v>2</v>
      </c>
      <c r="P918" t="s">
        <v>44</v>
      </c>
      <c r="Q918" t="s">
        <v>85</v>
      </c>
      <c r="R918">
        <v>0</v>
      </c>
      <c r="S918">
        <v>2</v>
      </c>
      <c r="T918" t="s">
        <v>49</v>
      </c>
      <c r="U918" t="s">
        <v>79</v>
      </c>
      <c r="V918" t="s">
        <v>86</v>
      </c>
      <c r="W918" s="1">
        <v>45338</v>
      </c>
      <c r="X918" t="b">
        <v>1</v>
      </c>
      <c r="Y918" t="b">
        <v>0</v>
      </c>
      <c r="Z918" t="s">
        <v>74</v>
      </c>
      <c r="AA918" t="s">
        <v>53</v>
      </c>
      <c r="AB918">
        <v>6</v>
      </c>
    </row>
    <row r="919" spans="1:28" x14ac:dyDescent="0.25">
      <c r="A919" t="s">
        <v>1900</v>
      </c>
      <c r="B919">
        <v>42</v>
      </c>
      <c r="C919" t="s">
        <v>43</v>
      </c>
      <c r="D919" t="s">
        <v>44</v>
      </c>
      <c r="E919" t="s">
        <v>55</v>
      </c>
      <c r="F919" t="s">
        <v>56</v>
      </c>
      <c r="G919" t="s">
        <v>30</v>
      </c>
      <c r="H919" t="s">
        <v>1901</v>
      </c>
      <c r="I919" t="s">
        <v>194</v>
      </c>
      <c r="J919">
        <v>333.41</v>
      </c>
      <c r="K919">
        <v>3</v>
      </c>
      <c r="L919" t="s">
        <v>78</v>
      </c>
      <c r="M919">
        <v>2</v>
      </c>
      <c r="N919">
        <v>5</v>
      </c>
      <c r="O919">
        <v>1</v>
      </c>
      <c r="P919" t="s">
        <v>44</v>
      </c>
      <c r="Q919" t="s">
        <v>85</v>
      </c>
      <c r="R919">
        <v>1</v>
      </c>
      <c r="S919">
        <v>6</v>
      </c>
      <c r="T919" t="s">
        <v>36</v>
      </c>
      <c r="U919" t="s">
        <v>38</v>
      </c>
      <c r="V919" t="s">
        <v>51</v>
      </c>
      <c r="W919" s="1">
        <v>45322</v>
      </c>
      <c r="X919" t="b">
        <v>0</v>
      </c>
      <c r="Y919" t="b">
        <v>0</v>
      </c>
      <c r="Z919" t="s">
        <v>74</v>
      </c>
      <c r="AA919" t="s">
        <v>53</v>
      </c>
      <c r="AB919">
        <v>3</v>
      </c>
    </row>
    <row r="920" spans="1:28" x14ac:dyDescent="0.25">
      <c r="A920" t="s">
        <v>1902</v>
      </c>
      <c r="B920">
        <v>32</v>
      </c>
      <c r="C920" t="s">
        <v>43</v>
      </c>
      <c r="D920" t="s">
        <v>30</v>
      </c>
      <c r="E920" t="s">
        <v>55</v>
      </c>
      <c r="F920" t="s">
        <v>32</v>
      </c>
      <c r="G920" t="s">
        <v>44</v>
      </c>
      <c r="H920" t="s">
        <v>1903</v>
      </c>
      <c r="I920" t="s">
        <v>158</v>
      </c>
      <c r="J920">
        <v>251.54</v>
      </c>
      <c r="K920">
        <v>9</v>
      </c>
      <c r="L920" t="s">
        <v>78</v>
      </c>
      <c r="M920">
        <v>5</v>
      </c>
      <c r="N920">
        <v>1</v>
      </c>
      <c r="O920">
        <v>0</v>
      </c>
      <c r="P920" t="s">
        <v>44</v>
      </c>
      <c r="Q920" t="s">
        <v>50</v>
      </c>
      <c r="R920">
        <v>2</v>
      </c>
      <c r="S920">
        <v>10</v>
      </c>
      <c r="T920" t="s">
        <v>59</v>
      </c>
      <c r="U920" t="s">
        <v>79</v>
      </c>
      <c r="V920" t="s">
        <v>51</v>
      </c>
      <c r="W920" s="1">
        <v>45574</v>
      </c>
      <c r="X920" t="b">
        <v>1</v>
      </c>
      <c r="Y920" t="b">
        <v>0</v>
      </c>
      <c r="Z920" t="s">
        <v>62</v>
      </c>
      <c r="AA920" t="s">
        <v>41</v>
      </c>
      <c r="AB920">
        <v>1</v>
      </c>
    </row>
    <row r="921" spans="1:28" x14ac:dyDescent="0.25">
      <c r="A921" t="s">
        <v>1904</v>
      </c>
      <c r="B921">
        <v>37</v>
      </c>
      <c r="C921" t="s">
        <v>29</v>
      </c>
      <c r="D921" t="s">
        <v>30</v>
      </c>
      <c r="E921" t="s">
        <v>55</v>
      </c>
      <c r="F921" t="s">
        <v>45</v>
      </c>
      <c r="G921" t="s">
        <v>30</v>
      </c>
      <c r="H921" t="s">
        <v>1905</v>
      </c>
      <c r="I921" t="s">
        <v>117</v>
      </c>
      <c r="J921">
        <v>292.08</v>
      </c>
      <c r="K921">
        <v>7</v>
      </c>
      <c r="L921" t="s">
        <v>48</v>
      </c>
      <c r="M921">
        <v>3</v>
      </c>
      <c r="N921">
        <v>2</v>
      </c>
      <c r="O921">
        <v>1</v>
      </c>
      <c r="P921" t="s">
        <v>44</v>
      </c>
      <c r="Q921" t="s">
        <v>37</v>
      </c>
      <c r="R921">
        <v>2</v>
      </c>
      <c r="S921">
        <v>9</v>
      </c>
      <c r="T921" t="s">
        <v>59</v>
      </c>
      <c r="U921" t="s">
        <v>60</v>
      </c>
      <c r="V921" t="s">
        <v>39</v>
      </c>
      <c r="W921" s="1">
        <v>45391</v>
      </c>
      <c r="X921" t="b">
        <v>0</v>
      </c>
      <c r="Y921" t="b">
        <v>0</v>
      </c>
      <c r="Z921" t="s">
        <v>40</v>
      </c>
      <c r="AA921" t="s">
        <v>53</v>
      </c>
      <c r="AB921">
        <v>11</v>
      </c>
    </row>
    <row r="922" spans="1:28" x14ac:dyDescent="0.25">
      <c r="A922" t="s">
        <v>1906</v>
      </c>
      <c r="B922">
        <v>25</v>
      </c>
      <c r="C922" t="s">
        <v>212</v>
      </c>
      <c r="D922" t="s">
        <v>44</v>
      </c>
      <c r="E922" t="s">
        <v>69</v>
      </c>
      <c r="F922" t="s">
        <v>32</v>
      </c>
      <c r="G922" t="s">
        <v>30</v>
      </c>
      <c r="H922" t="s">
        <v>1907</v>
      </c>
      <c r="I922" t="s">
        <v>194</v>
      </c>
      <c r="J922">
        <v>204.29</v>
      </c>
      <c r="K922">
        <v>11</v>
      </c>
      <c r="L922" t="s">
        <v>48</v>
      </c>
      <c r="M922">
        <v>5</v>
      </c>
      <c r="N922">
        <v>4</v>
      </c>
      <c r="O922">
        <v>0</v>
      </c>
      <c r="P922" t="s">
        <v>36</v>
      </c>
      <c r="Q922" t="s">
        <v>50</v>
      </c>
      <c r="R922">
        <v>2</v>
      </c>
      <c r="S922">
        <v>1</v>
      </c>
      <c r="T922" t="s">
        <v>49</v>
      </c>
      <c r="U922" t="s">
        <v>60</v>
      </c>
      <c r="V922" t="s">
        <v>51</v>
      </c>
      <c r="W922" s="1">
        <v>45428</v>
      </c>
      <c r="X922" t="b">
        <v>0</v>
      </c>
      <c r="Y922" t="b">
        <v>0</v>
      </c>
      <c r="Z922" t="s">
        <v>62</v>
      </c>
      <c r="AA922" t="s">
        <v>67</v>
      </c>
      <c r="AB922">
        <v>12</v>
      </c>
    </row>
    <row r="923" spans="1:28" x14ac:dyDescent="0.25">
      <c r="A923" t="s">
        <v>1908</v>
      </c>
      <c r="B923">
        <v>49</v>
      </c>
      <c r="C923" t="s">
        <v>43</v>
      </c>
      <c r="D923" t="s">
        <v>30</v>
      </c>
      <c r="E923" t="s">
        <v>55</v>
      </c>
      <c r="F923" t="s">
        <v>45</v>
      </c>
      <c r="G923" t="s">
        <v>30</v>
      </c>
      <c r="H923" t="s">
        <v>1909</v>
      </c>
      <c r="I923" t="s">
        <v>114</v>
      </c>
      <c r="J923">
        <v>258.68</v>
      </c>
      <c r="K923">
        <v>4</v>
      </c>
      <c r="L923" t="s">
        <v>78</v>
      </c>
      <c r="M923">
        <v>4</v>
      </c>
      <c r="N923">
        <v>2</v>
      </c>
      <c r="O923">
        <v>1</v>
      </c>
      <c r="P923" t="s">
        <v>59</v>
      </c>
      <c r="Q923" t="s">
        <v>37</v>
      </c>
      <c r="R923">
        <v>0</v>
      </c>
      <c r="S923">
        <v>9</v>
      </c>
      <c r="T923" t="s">
        <v>36</v>
      </c>
      <c r="U923" t="s">
        <v>79</v>
      </c>
      <c r="V923" t="s">
        <v>39</v>
      </c>
      <c r="W923" s="1">
        <v>45587</v>
      </c>
      <c r="X923" t="b">
        <v>0</v>
      </c>
      <c r="Y923" t="b">
        <v>0</v>
      </c>
      <c r="Z923" t="s">
        <v>62</v>
      </c>
      <c r="AA923" t="s">
        <v>41</v>
      </c>
      <c r="AB923">
        <v>9</v>
      </c>
    </row>
    <row r="924" spans="1:28" x14ac:dyDescent="0.25">
      <c r="A924" t="s">
        <v>1910</v>
      </c>
      <c r="B924">
        <v>26</v>
      </c>
      <c r="C924" t="s">
        <v>43</v>
      </c>
      <c r="D924" t="s">
        <v>30</v>
      </c>
      <c r="E924" t="s">
        <v>31</v>
      </c>
      <c r="F924" t="s">
        <v>32</v>
      </c>
      <c r="G924" t="s">
        <v>44</v>
      </c>
      <c r="H924" t="s">
        <v>1911</v>
      </c>
      <c r="I924" t="s">
        <v>34</v>
      </c>
      <c r="J924">
        <v>258.02</v>
      </c>
      <c r="K924">
        <v>2</v>
      </c>
      <c r="L924" t="s">
        <v>48</v>
      </c>
      <c r="M924">
        <v>3</v>
      </c>
      <c r="N924">
        <v>2</v>
      </c>
      <c r="O924">
        <v>1</v>
      </c>
      <c r="P924" t="s">
        <v>59</v>
      </c>
      <c r="Q924" t="s">
        <v>85</v>
      </c>
      <c r="R924">
        <v>2</v>
      </c>
      <c r="S924">
        <v>4</v>
      </c>
      <c r="T924" t="s">
        <v>44</v>
      </c>
      <c r="U924" t="s">
        <v>79</v>
      </c>
      <c r="V924" t="s">
        <v>51</v>
      </c>
      <c r="W924" s="1">
        <v>45604</v>
      </c>
      <c r="X924" t="b">
        <v>1</v>
      </c>
      <c r="Y924" t="b">
        <v>1</v>
      </c>
      <c r="Z924" t="s">
        <v>40</v>
      </c>
      <c r="AA924" t="s">
        <v>67</v>
      </c>
      <c r="AB924">
        <v>13</v>
      </c>
    </row>
    <row r="925" spans="1:28" x14ac:dyDescent="0.25">
      <c r="A925" t="s">
        <v>1912</v>
      </c>
      <c r="B925">
        <v>29</v>
      </c>
      <c r="C925" t="s">
        <v>29</v>
      </c>
      <c r="D925" t="s">
        <v>44</v>
      </c>
      <c r="E925" t="s">
        <v>55</v>
      </c>
      <c r="F925" t="s">
        <v>56</v>
      </c>
      <c r="G925" t="s">
        <v>30</v>
      </c>
      <c r="H925" t="s">
        <v>712</v>
      </c>
      <c r="I925" t="s">
        <v>34</v>
      </c>
      <c r="J925">
        <v>181.87</v>
      </c>
      <c r="K925">
        <v>12</v>
      </c>
      <c r="L925" t="s">
        <v>35</v>
      </c>
      <c r="M925">
        <v>4</v>
      </c>
      <c r="N925">
        <v>1</v>
      </c>
      <c r="O925">
        <v>1</v>
      </c>
      <c r="P925" t="s">
        <v>49</v>
      </c>
      <c r="Q925" t="s">
        <v>50</v>
      </c>
      <c r="R925">
        <v>2</v>
      </c>
      <c r="S925">
        <v>4</v>
      </c>
      <c r="T925" t="s">
        <v>44</v>
      </c>
      <c r="U925" t="s">
        <v>79</v>
      </c>
      <c r="V925" t="s">
        <v>61</v>
      </c>
      <c r="W925" s="1">
        <v>45536</v>
      </c>
      <c r="X925" t="b">
        <v>0</v>
      </c>
      <c r="Y925" t="b">
        <v>1</v>
      </c>
      <c r="Z925" t="s">
        <v>52</v>
      </c>
      <c r="AA925" t="s">
        <v>41</v>
      </c>
      <c r="AB925">
        <v>11</v>
      </c>
    </row>
    <row r="926" spans="1:28" x14ac:dyDescent="0.25">
      <c r="A926" t="s">
        <v>1913</v>
      </c>
      <c r="B926">
        <v>26</v>
      </c>
      <c r="C926" t="s">
        <v>43</v>
      </c>
      <c r="D926" t="s">
        <v>44</v>
      </c>
      <c r="E926" t="s">
        <v>76</v>
      </c>
      <c r="F926" t="s">
        <v>45</v>
      </c>
      <c r="G926" t="s">
        <v>30</v>
      </c>
      <c r="H926" t="s">
        <v>1914</v>
      </c>
      <c r="I926" t="s">
        <v>158</v>
      </c>
      <c r="J926">
        <v>81.180000000000007</v>
      </c>
      <c r="K926">
        <v>8</v>
      </c>
      <c r="L926" t="s">
        <v>78</v>
      </c>
      <c r="M926">
        <v>4</v>
      </c>
      <c r="N926">
        <v>5</v>
      </c>
      <c r="O926">
        <v>1</v>
      </c>
      <c r="P926" t="s">
        <v>59</v>
      </c>
      <c r="Q926" t="s">
        <v>50</v>
      </c>
      <c r="R926">
        <v>2</v>
      </c>
      <c r="S926">
        <v>3</v>
      </c>
      <c r="T926" t="s">
        <v>44</v>
      </c>
      <c r="U926" t="s">
        <v>38</v>
      </c>
      <c r="V926" t="s">
        <v>86</v>
      </c>
      <c r="W926" s="1">
        <v>45429</v>
      </c>
      <c r="X926" t="b">
        <v>0</v>
      </c>
      <c r="Y926" t="b">
        <v>0</v>
      </c>
      <c r="Z926" t="s">
        <v>62</v>
      </c>
      <c r="AA926" t="s">
        <v>67</v>
      </c>
      <c r="AB926">
        <v>3</v>
      </c>
    </row>
    <row r="927" spans="1:28" x14ac:dyDescent="0.25">
      <c r="A927" t="s">
        <v>1915</v>
      </c>
      <c r="B927">
        <v>23</v>
      </c>
      <c r="C927" t="s">
        <v>29</v>
      </c>
      <c r="D927" t="s">
        <v>44</v>
      </c>
      <c r="E927" t="s">
        <v>76</v>
      </c>
      <c r="F927" t="s">
        <v>56</v>
      </c>
      <c r="G927" t="s">
        <v>44</v>
      </c>
      <c r="H927" t="s">
        <v>1916</v>
      </c>
      <c r="I927" t="s">
        <v>82</v>
      </c>
      <c r="J927">
        <v>382.94</v>
      </c>
      <c r="K927">
        <v>8</v>
      </c>
      <c r="L927" t="s">
        <v>48</v>
      </c>
      <c r="M927">
        <v>1</v>
      </c>
      <c r="N927">
        <v>3</v>
      </c>
      <c r="O927">
        <v>0</v>
      </c>
      <c r="P927" t="s">
        <v>49</v>
      </c>
      <c r="Q927" t="s">
        <v>50</v>
      </c>
      <c r="R927">
        <v>0</v>
      </c>
      <c r="S927">
        <v>6</v>
      </c>
      <c r="T927" t="s">
        <v>36</v>
      </c>
      <c r="U927" t="s">
        <v>79</v>
      </c>
      <c r="V927" t="s">
        <v>61</v>
      </c>
      <c r="W927" s="1">
        <v>45431</v>
      </c>
      <c r="X927" t="b">
        <v>0</v>
      </c>
      <c r="Y927" t="b">
        <v>0</v>
      </c>
      <c r="Z927" t="s">
        <v>40</v>
      </c>
      <c r="AA927" t="s">
        <v>53</v>
      </c>
      <c r="AB927">
        <v>3</v>
      </c>
    </row>
    <row r="928" spans="1:28" x14ac:dyDescent="0.25">
      <c r="A928" t="s">
        <v>1917</v>
      </c>
      <c r="B928">
        <v>47</v>
      </c>
      <c r="C928" t="s">
        <v>29</v>
      </c>
      <c r="D928" t="s">
        <v>44</v>
      </c>
      <c r="E928" t="s">
        <v>55</v>
      </c>
      <c r="F928" t="s">
        <v>32</v>
      </c>
      <c r="G928" t="s">
        <v>44</v>
      </c>
      <c r="H928" t="s">
        <v>1918</v>
      </c>
      <c r="I928" t="s">
        <v>188</v>
      </c>
      <c r="J928">
        <v>402.82</v>
      </c>
      <c r="K928">
        <v>7</v>
      </c>
      <c r="L928" t="s">
        <v>78</v>
      </c>
      <c r="M928">
        <v>4</v>
      </c>
      <c r="N928">
        <v>5</v>
      </c>
      <c r="O928">
        <v>0</v>
      </c>
      <c r="P928" t="s">
        <v>36</v>
      </c>
      <c r="Q928" t="s">
        <v>37</v>
      </c>
      <c r="R928">
        <v>2</v>
      </c>
      <c r="S928">
        <v>2</v>
      </c>
      <c r="T928" t="s">
        <v>59</v>
      </c>
      <c r="U928" t="s">
        <v>60</v>
      </c>
      <c r="V928" t="s">
        <v>61</v>
      </c>
      <c r="W928" s="1">
        <v>45316</v>
      </c>
      <c r="X928" t="b">
        <v>0</v>
      </c>
      <c r="Y928" t="b">
        <v>0</v>
      </c>
      <c r="Z928" t="s">
        <v>52</v>
      </c>
      <c r="AA928" t="s">
        <v>41</v>
      </c>
      <c r="AB928">
        <v>13</v>
      </c>
    </row>
    <row r="929" spans="1:28" x14ac:dyDescent="0.25">
      <c r="A929" t="s">
        <v>1919</v>
      </c>
      <c r="B929">
        <v>30</v>
      </c>
      <c r="C929" t="s">
        <v>43</v>
      </c>
      <c r="D929" t="s">
        <v>44</v>
      </c>
      <c r="E929" t="s">
        <v>55</v>
      </c>
      <c r="F929" t="s">
        <v>32</v>
      </c>
      <c r="G929" t="s">
        <v>30</v>
      </c>
      <c r="H929" t="s">
        <v>1920</v>
      </c>
      <c r="I929" t="s">
        <v>34</v>
      </c>
      <c r="J929">
        <v>497.76</v>
      </c>
      <c r="K929">
        <v>2</v>
      </c>
      <c r="L929" t="s">
        <v>48</v>
      </c>
      <c r="M929">
        <v>1</v>
      </c>
      <c r="N929">
        <v>2</v>
      </c>
      <c r="O929">
        <v>2</v>
      </c>
      <c r="P929" t="s">
        <v>44</v>
      </c>
      <c r="Q929" t="s">
        <v>85</v>
      </c>
      <c r="R929">
        <v>2</v>
      </c>
      <c r="S929">
        <v>3</v>
      </c>
      <c r="T929" t="s">
        <v>49</v>
      </c>
      <c r="U929" t="s">
        <v>60</v>
      </c>
      <c r="V929" t="s">
        <v>39</v>
      </c>
      <c r="W929" s="1">
        <v>45359</v>
      </c>
      <c r="X929" t="b">
        <v>1</v>
      </c>
      <c r="Y929" t="b">
        <v>1</v>
      </c>
      <c r="Z929" t="s">
        <v>52</v>
      </c>
      <c r="AA929" t="s">
        <v>41</v>
      </c>
      <c r="AB929">
        <v>4</v>
      </c>
    </row>
    <row r="930" spans="1:28" x14ac:dyDescent="0.25">
      <c r="A930" t="s">
        <v>1921</v>
      </c>
      <c r="B930">
        <v>26</v>
      </c>
      <c r="C930" t="s">
        <v>29</v>
      </c>
      <c r="D930" t="s">
        <v>44</v>
      </c>
      <c r="E930" t="s">
        <v>55</v>
      </c>
      <c r="F930" t="s">
        <v>45</v>
      </c>
      <c r="G930" t="s">
        <v>44</v>
      </c>
      <c r="H930" t="s">
        <v>1922</v>
      </c>
      <c r="I930" t="s">
        <v>71</v>
      </c>
      <c r="J930">
        <v>227.58</v>
      </c>
      <c r="K930">
        <v>5</v>
      </c>
      <c r="L930" t="s">
        <v>78</v>
      </c>
      <c r="M930">
        <v>4</v>
      </c>
      <c r="N930">
        <v>2</v>
      </c>
      <c r="O930">
        <v>1</v>
      </c>
      <c r="P930" t="s">
        <v>44</v>
      </c>
      <c r="Q930" t="s">
        <v>50</v>
      </c>
      <c r="R930">
        <v>0</v>
      </c>
      <c r="S930">
        <v>1</v>
      </c>
      <c r="T930" t="s">
        <v>59</v>
      </c>
      <c r="U930" t="s">
        <v>38</v>
      </c>
      <c r="V930" t="s">
        <v>39</v>
      </c>
      <c r="W930" s="1">
        <v>45486</v>
      </c>
      <c r="X930" t="b">
        <v>1</v>
      </c>
      <c r="Y930" t="b">
        <v>0</v>
      </c>
      <c r="Z930" t="s">
        <v>40</v>
      </c>
      <c r="AA930" t="s">
        <v>41</v>
      </c>
      <c r="AB930">
        <v>11</v>
      </c>
    </row>
    <row r="931" spans="1:28" x14ac:dyDescent="0.25">
      <c r="A931" t="s">
        <v>1923</v>
      </c>
      <c r="B931">
        <v>35</v>
      </c>
      <c r="C931" t="s">
        <v>29</v>
      </c>
      <c r="D931" t="s">
        <v>44</v>
      </c>
      <c r="E931" t="s">
        <v>76</v>
      </c>
      <c r="F931" t="s">
        <v>32</v>
      </c>
      <c r="G931" t="s">
        <v>44</v>
      </c>
      <c r="H931" t="s">
        <v>1924</v>
      </c>
      <c r="I931" t="s">
        <v>117</v>
      </c>
      <c r="J931">
        <v>263.57</v>
      </c>
      <c r="K931">
        <v>2</v>
      </c>
      <c r="L931" t="s">
        <v>35</v>
      </c>
      <c r="M931">
        <v>2</v>
      </c>
      <c r="N931">
        <v>3</v>
      </c>
      <c r="O931">
        <v>0</v>
      </c>
      <c r="P931" t="s">
        <v>44</v>
      </c>
      <c r="Q931" t="s">
        <v>37</v>
      </c>
      <c r="R931">
        <v>1</v>
      </c>
      <c r="S931">
        <v>9</v>
      </c>
      <c r="T931" t="s">
        <v>36</v>
      </c>
      <c r="U931" t="s">
        <v>38</v>
      </c>
      <c r="V931" t="s">
        <v>51</v>
      </c>
      <c r="W931" s="1">
        <v>45617</v>
      </c>
      <c r="X931" t="b">
        <v>1</v>
      </c>
      <c r="Y931" t="b">
        <v>1</v>
      </c>
      <c r="Z931" t="s">
        <v>62</v>
      </c>
      <c r="AA931" t="s">
        <v>67</v>
      </c>
      <c r="AB931">
        <v>8</v>
      </c>
    </row>
    <row r="932" spans="1:28" x14ac:dyDescent="0.25">
      <c r="A932" t="s">
        <v>1925</v>
      </c>
      <c r="B932">
        <v>40</v>
      </c>
      <c r="C932" t="s">
        <v>43</v>
      </c>
      <c r="D932" t="s">
        <v>44</v>
      </c>
      <c r="E932" t="s">
        <v>31</v>
      </c>
      <c r="F932" t="s">
        <v>45</v>
      </c>
      <c r="G932" t="s">
        <v>44</v>
      </c>
      <c r="H932" t="s">
        <v>1926</v>
      </c>
      <c r="I932" t="s">
        <v>123</v>
      </c>
      <c r="J932">
        <v>422.09</v>
      </c>
      <c r="K932">
        <v>3</v>
      </c>
      <c r="L932" t="s">
        <v>48</v>
      </c>
      <c r="M932">
        <v>4</v>
      </c>
      <c r="N932">
        <v>1</v>
      </c>
      <c r="O932">
        <v>1</v>
      </c>
      <c r="P932" t="s">
        <v>44</v>
      </c>
      <c r="Q932" t="s">
        <v>50</v>
      </c>
      <c r="R932">
        <v>0</v>
      </c>
      <c r="S932">
        <v>9</v>
      </c>
      <c r="T932" t="s">
        <v>49</v>
      </c>
      <c r="U932" t="s">
        <v>38</v>
      </c>
      <c r="V932" t="s">
        <v>51</v>
      </c>
      <c r="W932" s="1">
        <v>45382</v>
      </c>
      <c r="X932" t="b">
        <v>1</v>
      </c>
      <c r="Y932" t="b">
        <v>0</v>
      </c>
      <c r="Z932" t="s">
        <v>40</v>
      </c>
      <c r="AA932" t="s">
        <v>53</v>
      </c>
      <c r="AB932">
        <v>7</v>
      </c>
    </row>
    <row r="933" spans="1:28" x14ac:dyDescent="0.25">
      <c r="A933" t="s">
        <v>1927</v>
      </c>
      <c r="B933">
        <v>35</v>
      </c>
      <c r="C933" t="s">
        <v>43</v>
      </c>
      <c r="D933" t="s">
        <v>30</v>
      </c>
      <c r="E933" t="s">
        <v>31</v>
      </c>
      <c r="F933" t="s">
        <v>56</v>
      </c>
      <c r="G933" t="s">
        <v>44</v>
      </c>
      <c r="H933" t="s">
        <v>1928</v>
      </c>
      <c r="I933" t="s">
        <v>34</v>
      </c>
      <c r="J933">
        <v>411.83</v>
      </c>
      <c r="K933">
        <v>2</v>
      </c>
      <c r="L933" t="s">
        <v>48</v>
      </c>
      <c r="M933">
        <v>2</v>
      </c>
      <c r="N933">
        <v>3</v>
      </c>
      <c r="O933">
        <v>2</v>
      </c>
      <c r="P933" t="s">
        <v>44</v>
      </c>
      <c r="Q933" t="s">
        <v>50</v>
      </c>
      <c r="R933">
        <v>1</v>
      </c>
      <c r="S933">
        <v>3</v>
      </c>
      <c r="T933" t="s">
        <v>49</v>
      </c>
      <c r="U933" t="s">
        <v>38</v>
      </c>
      <c r="V933" t="s">
        <v>51</v>
      </c>
      <c r="W933" s="1">
        <v>45410</v>
      </c>
      <c r="X933" t="b">
        <v>1</v>
      </c>
      <c r="Y933" t="b">
        <v>1</v>
      </c>
      <c r="Z933" t="s">
        <v>62</v>
      </c>
      <c r="AA933" t="s">
        <v>53</v>
      </c>
      <c r="AB933">
        <v>10</v>
      </c>
    </row>
    <row r="934" spans="1:28" x14ac:dyDescent="0.25">
      <c r="A934" t="s">
        <v>1929</v>
      </c>
      <c r="B934">
        <v>21</v>
      </c>
      <c r="C934" t="s">
        <v>43</v>
      </c>
      <c r="D934" t="s">
        <v>30</v>
      </c>
      <c r="E934" t="s">
        <v>55</v>
      </c>
      <c r="F934" t="s">
        <v>56</v>
      </c>
      <c r="G934" t="s">
        <v>30</v>
      </c>
      <c r="H934" t="s">
        <v>1930</v>
      </c>
      <c r="I934" t="s">
        <v>120</v>
      </c>
      <c r="J934">
        <v>242.65</v>
      </c>
      <c r="K934">
        <v>3</v>
      </c>
      <c r="L934" t="s">
        <v>35</v>
      </c>
      <c r="M934">
        <v>5</v>
      </c>
      <c r="N934">
        <v>3</v>
      </c>
      <c r="O934">
        <v>0.2</v>
      </c>
      <c r="P934" t="s">
        <v>36</v>
      </c>
      <c r="Q934" t="s">
        <v>85</v>
      </c>
      <c r="R934">
        <v>2</v>
      </c>
      <c r="S934">
        <v>8</v>
      </c>
      <c r="T934" t="s">
        <v>36</v>
      </c>
      <c r="U934" t="s">
        <v>38</v>
      </c>
      <c r="V934" t="s">
        <v>86</v>
      </c>
      <c r="W934" s="1">
        <v>45482</v>
      </c>
      <c r="X934" t="b">
        <v>0</v>
      </c>
      <c r="Y934" t="b">
        <v>1</v>
      </c>
      <c r="Z934" t="s">
        <v>74</v>
      </c>
      <c r="AA934" t="s">
        <v>41</v>
      </c>
      <c r="AB934">
        <v>9</v>
      </c>
    </row>
    <row r="935" spans="1:28" x14ac:dyDescent="0.25">
      <c r="A935" t="s">
        <v>1931</v>
      </c>
      <c r="B935">
        <v>41</v>
      </c>
      <c r="C935" t="s">
        <v>43</v>
      </c>
      <c r="D935" t="s">
        <v>30</v>
      </c>
      <c r="E935" t="s">
        <v>69</v>
      </c>
      <c r="F935" t="s">
        <v>56</v>
      </c>
      <c r="G935" t="s">
        <v>30</v>
      </c>
      <c r="H935" t="s">
        <v>1932</v>
      </c>
      <c r="I935" t="s">
        <v>90</v>
      </c>
      <c r="J935">
        <v>298.93</v>
      </c>
      <c r="K935">
        <v>6</v>
      </c>
      <c r="L935" t="s">
        <v>35</v>
      </c>
      <c r="M935">
        <v>5</v>
      </c>
      <c r="N935">
        <v>2</v>
      </c>
      <c r="O935">
        <v>0.2</v>
      </c>
      <c r="P935" t="s">
        <v>36</v>
      </c>
      <c r="Q935" t="s">
        <v>37</v>
      </c>
      <c r="R935">
        <v>2</v>
      </c>
      <c r="S935">
        <v>1</v>
      </c>
      <c r="T935" t="s">
        <v>36</v>
      </c>
      <c r="U935" t="s">
        <v>38</v>
      </c>
      <c r="V935" t="s">
        <v>51</v>
      </c>
      <c r="W935" s="1">
        <v>45557</v>
      </c>
      <c r="X935" t="b">
        <v>1</v>
      </c>
      <c r="Y935" t="b">
        <v>1</v>
      </c>
      <c r="Z935" t="s">
        <v>74</v>
      </c>
      <c r="AA935" t="s">
        <v>67</v>
      </c>
      <c r="AB935">
        <v>2</v>
      </c>
    </row>
    <row r="936" spans="1:28" x14ac:dyDescent="0.25">
      <c r="A936" t="s">
        <v>1933</v>
      </c>
      <c r="B936">
        <v>44</v>
      </c>
      <c r="C936" t="s">
        <v>29</v>
      </c>
      <c r="D936" t="s">
        <v>44</v>
      </c>
      <c r="E936" t="s">
        <v>55</v>
      </c>
      <c r="F936" t="s">
        <v>32</v>
      </c>
      <c r="G936" t="s">
        <v>44</v>
      </c>
      <c r="H936" t="s">
        <v>512</v>
      </c>
      <c r="I936" t="s">
        <v>93</v>
      </c>
      <c r="J936">
        <v>191.21</v>
      </c>
      <c r="K936">
        <v>7</v>
      </c>
      <c r="L936" t="s">
        <v>35</v>
      </c>
      <c r="M936">
        <v>5</v>
      </c>
      <c r="N936">
        <v>4</v>
      </c>
      <c r="O936">
        <v>1</v>
      </c>
      <c r="P936" t="s">
        <v>59</v>
      </c>
      <c r="Q936" t="s">
        <v>85</v>
      </c>
      <c r="R936">
        <v>2</v>
      </c>
      <c r="S936">
        <v>6</v>
      </c>
      <c r="T936" t="s">
        <v>59</v>
      </c>
      <c r="U936" t="s">
        <v>60</v>
      </c>
      <c r="V936" t="s">
        <v>61</v>
      </c>
      <c r="W936" s="1">
        <v>45386</v>
      </c>
      <c r="X936" t="b">
        <v>0</v>
      </c>
      <c r="Y936" t="b">
        <v>0</v>
      </c>
      <c r="Z936" t="s">
        <v>40</v>
      </c>
      <c r="AA936" t="s">
        <v>41</v>
      </c>
      <c r="AB936">
        <v>13</v>
      </c>
    </row>
    <row r="937" spans="1:28" x14ac:dyDescent="0.25">
      <c r="A937" t="s">
        <v>1934</v>
      </c>
      <c r="B937">
        <v>44</v>
      </c>
      <c r="C937" t="s">
        <v>29</v>
      </c>
      <c r="D937" t="s">
        <v>44</v>
      </c>
      <c r="E937" t="s">
        <v>31</v>
      </c>
      <c r="F937" t="s">
        <v>56</v>
      </c>
      <c r="G937" t="s">
        <v>30</v>
      </c>
      <c r="H937" t="s">
        <v>1935</v>
      </c>
      <c r="I937" t="s">
        <v>117</v>
      </c>
      <c r="J937">
        <v>136.66999999999999</v>
      </c>
      <c r="K937">
        <v>3</v>
      </c>
      <c r="L937" t="s">
        <v>78</v>
      </c>
      <c r="M937">
        <v>3</v>
      </c>
      <c r="N937">
        <v>1</v>
      </c>
      <c r="O937">
        <v>1</v>
      </c>
      <c r="P937" t="s">
        <v>59</v>
      </c>
      <c r="Q937" t="s">
        <v>37</v>
      </c>
      <c r="R937">
        <v>0</v>
      </c>
      <c r="S937">
        <v>2</v>
      </c>
      <c r="T937" t="s">
        <v>44</v>
      </c>
      <c r="U937" t="s">
        <v>79</v>
      </c>
      <c r="V937" t="s">
        <v>51</v>
      </c>
      <c r="W937" s="1">
        <v>45463</v>
      </c>
      <c r="X937" t="b">
        <v>0</v>
      </c>
      <c r="Y937" t="b">
        <v>1</v>
      </c>
      <c r="Z937" t="s">
        <v>62</v>
      </c>
      <c r="AA937" t="s">
        <v>53</v>
      </c>
      <c r="AB937">
        <v>1</v>
      </c>
    </row>
    <row r="938" spans="1:28" x14ac:dyDescent="0.25">
      <c r="A938" t="s">
        <v>1936</v>
      </c>
      <c r="B938">
        <v>37</v>
      </c>
      <c r="C938" t="s">
        <v>43</v>
      </c>
      <c r="D938" t="s">
        <v>30</v>
      </c>
      <c r="E938" t="s">
        <v>69</v>
      </c>
      <c r="F938" t="s">
        <v>56</v>
      </c>
      <c r="G938" t="s">
        <v>44</v>
      </c>
      <c r="H938" t="s">
        <v>1937</v>
      </c>
      <c r="I938" t="s">
        <v>90</v>
      </c>
      <c r="J938">
        <v>324.11</v>
      </c>
      <c r="K938">
        <v>11</v>
      </c>
      <c r="L938" t="s">
        <v>78</v>
      </c>
      <c r="M938">
        <v>3</v>
      </c>
      <c r="N938">
        <v>3</v>
      </c>
      <c r="O938">
        <v>2</v>
      </c>
      <c r="P938" t="s">
        <v>36</v>
      </c>
      <c r="Q938" t="s">
        <v>85</v>
      </c>
      <c r="R938">
        <v>0</v>
      </c>
      <c r="S938">
        <v>2</v>
      </c>
      <c r="T938" t="s">
        <v>59</v>
      </c>
      <c r="U938" t="s">
        <v>60</v>
      </c>
      <c r="V938" t="s">
        <v>86</v>
      </c>
      <c r="W938" s="1">
        <v>45373</v>
      </c>
      <c r="X938" t="b">
        <v>0</v>
      </c>
      <c r="Y938" t="b">
        <v>0</v>
      </c>
      <c r="Z938" t="s">
        <v>62</v>
      </c>
      <c r="AA938" t="s">
        <v>41</v>
      </c>
      <c r="AB938">
        <v>7</v>
      </c>
    </row>
    <row r="939" spans="1:28" x14ac:dyDescent="0.25">
      <c r="A939" t="s">
        <v>1938</v>
      </c>
      <c r="B939">
        <v>40</v>
      </c>
      <c r="C939" t="s">
        <v>29</v>
      </c>
      <c r="D939" t="s">
        <v>44</v>
      </c>
      <c r="E939" t="s">
        <v>69</v>
      </c>
      <c r="F939" t="s">
        <v>32</v>
      </c>
      <c r="G939" t="s">
        <v>44</v>
      </c>
      <c r="H939" t="s">
        <v>1939</v>
      </c>
      <c r="I939" t="s">
        <v>101</v>
      </c>
      <c r="J939">
        <v>105.64</v>
      </c>
      <c r="K939">
        <v>6</v>
      </c>
      <c r="L939" t="s">
        <v>78</v>
      </c>
      <c r="M939">
        <v>1</v>
      </c>
      <c r="N939">
        <v>3</v>
      </c>
      <c r="O939">
        <v>0</v>
      </c>
      <c r="P939" t="s">
        <v>59</v>
      </c>
      <c r="Q939" t="s">
        <v>85</v>
      </c>
      <c r="R939">
        <v>2</v>
      </c>
      <c r="S939">
        <v>1</v>
      </c>
      <c r="T939" t="s">
        <v>36</v>
      </c>
      <c r="U939" t="s">
        <v>60</v>
      </c>
      <c r="V939" t="s">
        <v>66</v>
      </c>
      <c r="W939" s="1">
        <v>45388</v>
      </c>
      <c r="X939" t="b">
        <v>1</v>
      </c>
      <c r="Y939" t="b">
        <v>1</v>
      </c>
      <c r="Z939" t="s">
        <v>74</v>
      </c>
      <c r="AA939" t="s">
        <v>41</v>
      </c>
      <c r="AB939">
        <v>12</v>
      </c>
    </row>
    <row r="940" spans="1:28" x14ac:dyDescent="0.25">
      <c r="A940" t="s">
        <v>1940</v>
      </c>
      <c r="B940">
        <v>43</v>
      </c>
      <c r="C940" t="s">
        <v>43</v>
      </c>
      <c r="D940" t="s">
        <v>44</v>
      </c>
      <c r="E940" t="s">
        <v>69</v>
      </c>
      <c r="F940" t="s">
        <v>56</v>
      </c>
      <c r="G940" t="s">
        <v>44</v>
      </c>
      <c r="H940" t="s">
        <v>1941</v>
      </c>
      <c r="I940" t="s">
        <v>117</v>
      </c>
      <c r="J940">
        <v>295.60000000000002</v>
      </c>
      <c r="K940">
        <v>10</v>
      </c>
      <c r="L940" t="s">
        <v>78</v>
      </c>
      <c r="M940">
        <v>1</v>
      </c>
      <c r="N940">
        <v>2</v>
      </c>
      <c r="O940">
        <v>1</v>
      </c>
      <c r="P940" t="s">
        <v>44</v>
      </c>
      <c r="Q940" t="s">
        <v>37</v>
      </c>
      <c r="R940">
        <v>0</v>
      </c>
      <c r="S940">
        <v>9</v>
      </c>
      <c r="T940" t="s">
        <v>59</v>
      </c>
      <c r="U940" t="s">
        <v>79</v>
      </c>
      <c r="V940" t="s">
        <v>39</v>
      </c>
      <c r="W940" s="1">
        <v>45432</v>
      </c>
      <c r="X940" t="b">
        <v>1</v>
      </c>
      <c r="Y940" t="b">
        <v>1</v>
      </c>
      <c r="Z940" t="s">
        <v>40</v>
      </c>
      <c r="AA940" t="s">
        <v>53</v>
      </c>
      <c r="AB940">
        <v>5</v>
      </c>
    </row>
    <row r="941" spans="1:28" x14ac:dyDescent="0.25">
      <c r="A941" t="s">
        <v>1942</v>
      </c>
      <c r="B941">
        <v>48</v>
      </c>
      <c r="C941" t="s">
        <v>43</v>
      </c>
      <c r="D941" t="s">
        <v>30</v>
      </c>
      <c r="E941" t="s">
        <v>55</v>
      </c>
      <c r="F941" t="s">
        <v>56</v>
      </c>
      <c r="G941" t="s">
        <v>44</v>
      </c>
      <c r="H941" t="s">
        <v>1943</v>
      </c>
      <c r="I941" t="s">
        <v>101</v>
      </c>
      <c r="J941">
        <v>227.03</v>
      </c>
      <c r="K941">
        <v>9</v>
      </c>
      <c r="L941" t="s">
        <v>48</v>
      </c>
      <c r="M941">
        <v>4</v>
      </c>
      <c r="N941">
        <v>4</v>
      </c>
      <c r="O941">
        <v>2</v>
      </c>
      <c r="P941" t="s">
        <v>59</v>
      </c>
      <c r="Q941" t="s">
        <v>50</v>
      </c>
      <c r="R941">
        <v>2</v>
      </c>
      <c r="S941">
        <v>7</v>
      </c>
      <c r="T941" t="s">
        <v>44</v>
      </c>
      <c r="U941" t="s">
        <v>38</v>
      </c>
      <c r="V941" t="s">
        <v>66</v>
      </c>
      <c r="W941" s="1">
        <v>45391</v>
      </c>
      <c r="X941" t="b">
        <v>1</v>
      </c>
      <c r="Y941" t="b">
        <v>1</v>
      </c>
      <c r="Z941" t="s">
        <v>40</v>
      </c>
      <c r="AA941" t="s">
        <v>41</v>
      </c>
      <c r="AB941">
        <v>4</v>
      </c>
    </row>
    <row r="942" spans="1:28" x14ac:dyDescent="0.25">
      <c r="A942" t="s">
        <v>1944</v>
      </c>
      <c r="B942">
        <v>32</v>
      </c>
      <c r="C942" t="s">
        <v>29</v>
      </c>
      <c r="D942" t="s">
        <v>44</v>
      </c>
      <c r="E942" t="s">
        <v>76</v>
      </c>
      <c r="F942" t="s">
        <v>32</v>
      </c>
      <c r="G942" t="s">
        <v>30</v>
      </c>
      <c r="H942" t="s">
        <v>1945</v>
      </c>
      <c r="I942" t="s">
        <v>107</v>
      </c>
      <c r="J942">
        <v>485.77</v>
      </c>
      <c r="K942">
        <v>10</v>
      </c>
      <c r="L942" t="s">
        <v>35</v>
      </c>
      <c r="M942">
        <v>1</v>
      </c>
      <c r="N942">
        <v>2</v>
      </c>
      <c r="O942">
        <v>0</v>
      </c>
      <c r="P942" t="s">
        <v>59</v>
      </c>
      <c r="Q942" t="s">
        <v>50</v>
      </c>
      <c r="R942">
        <v>2</v>
      </c>
      <c r="S942">
        <v>6</v>
      </c>
      <c r="T942" t="s">
        <v>36</v>
      </c>
      <c r="U942" t="s">
        <v>38</v>
      </c>
      <c r="V942" t="s">
        <v>86</v>
      </c>
      <c r="W942" s="1">
        <v>45630</v>
      </c>
      <c r="X942" t="b">
        <v>0</v>
      </c>
      <c r="Y942" t="b">
        <v>0</v>
      </c>
      <c r="Z942" t="s">
        <v>74</v>
      </c>
      <c r="AA942" t="s">
        <v>41</v>
      </c>
      <c r="AB942">
        <v>6</v>
      </c>
    </row>
    <row r="943" spans="1:28" x14ac:dyDescent="0.25">
      <c r="A943" t="s">
        <v>1946</v>
      </c>
      <c r="B943">
        <v>37</v>
      </c>
      <c r="C943" t="s">
        <v>29</v>
      </c>
      <c r="D943" t="s">
        <v>30</v>
      </c>
      <c r="E943" t="s">
        <v>69</v>
      </c>
      <c r="F943" t="s">
        <v>45</v>
      </c>
      <c r="G943" t="s">
        <v>44</v>
      </c>
      <c r="H943" t="s">
        <v>1947</v>
      </c>
      <c r="I943" t="s">
        <v>101</v>
      </c>
      <c r="J943">
        <v>173.43</v>
      </c>
      <c r="K943">
        <v>4</v>
      </c>
      <c r="L943" t="s">
        <v>48</v>
      </c>
      <c r="M943">
        <v>3</v>
      </c>
      <c r="N943">
        <v>3</v>
      </c>
      <c r="O943">
        <v>0</v>
      </c>
      <c r="P943" t="s">
        <v>49</v>
      </c>
      <c r="Q943" t="s">
        <v>50</v>
      </c>
      <c r="R943">
        <v>2</v>
      </c>
      <c r="S943">
        <v>1</v>
      </c>
      <c r="T943" t="s">
        <v>59</v>
      </c>
      <c r="U943" t="s">
        <v>79</v>
      </c>
      <c r="V943" t="s">
        <v>51</v>
      </c>
      <c r="W943" s="1">
        <v>45439</v>
      </c>
      <c r="X943" t="b">
        <v>1</v>
      </c>
      <c r="Y943" t="b">
        <v>1</v>
      </c>
      <c r="Z943" t="s">
        <v>40</v>
      </c>
      <c r="AA943" t="s">
        <v>41</v>
      </c>
      <c r="AB943">
        <v>14</v>
      </c>
    </row>
    <row r="944" spans="1:28" x14ac:dyDescent="0.25">
      <c r="A944" t="s">
        <v>1948</v>
      </c>
      <c r="B944">
        <v>29</v>
      </c>
      <c r="C944" t="s">
        <v>29</v>
      </c>
      <c r="D944" t="s">
        <v>30</v>
      </c>
      <c r="E944" t="s">
        <v>69</v>
      </c>
      <c r="F944" t="s">
        <v>45</v>
      </c>
      <c r="G944" t="s">
        <v>30</v>
      </c>
      <c r="H944" t="s">
        <v>1949</v>
      </c>
      <c r="I944" t="s">
        <v>123</v>
      </c>
      <c r="J944">
        <v>462.96</v>
      </c>
      <c r="K944">
        <v>2</v>
      </c>
      <c r="L944" t="s">
        <v>78</v>
      </c>
      <c r="M944">
        <v>4</v>
      </c>
      <c r="N944">
        <v>2</v>
      </c>
      <c r="O944">
        <v>0</v>
      </c>
      <c r="P944" t="s">
        <v>44</v>
      </c>
      <c r="Q944" t="s">
        <v>85</v>
      </c>
      <c r="R944">
        <v>2</v>
      </c>
      <c r="S944">
        <v>6</v>
      </c>
      <c r="T944" t="s">
        <v>44</v>
      </c>
      <c r="U944" t="s">
        <v>38</v>
      </c>
      <c r="V944" t="s">
        <v>86</v>
      </c>
      <c r="W944" s="1">
        <v>45474</v>
      </c>
      <c r="X944" t="b">
        <v>1</v>
      </c>
      <c r="Y944" t="b">
        <v>0</v>
      </c>
      <c r="Z944" t="s">
        <v>74</v>
      </c>
      <c r="AA944" t="s">
        <v>41</v>
      </c>
      <c r="AB944">
        <v>3</v>
      </c>
    </row>
    <row r="945" spans="1:28" x14ac:dyDescent="0.25">
      <c r="A945" t="s">
        <v>1950</v>
      </c>
      <c r="B945">
        <v>36</v>
      </c>
      <c r="C945" t="s">
        <v>43</v>
      </c>
      <c r="D945" t="s">
        <v>44</v>
      </c>
      <c r="E945" t="s">
        <v>76</v>
      </c>
      <c r="F945" t="s">
        <v>45</v>
      </c>
      <c r="G945" t="s">
        <v>30</v>
      </c>
      <c r="H945" t="s">
        <v>1951</v>
      </c>
      <c r="I945" t="s">
        <v>93</v>
      </c>
      <c r="J945">
        <v>203.13</v>
      </c>
      <c r="K945">
        <v>10</v>
      </c>
      <c r="L945" t="s">
        <v>78</v>
      </c>
      <c r="M945">
        <v>4</v>
      </c>
      <c r="N945">
        <v>3</v>
      </c>
      <c r="O945">
        <v>2</v>
      </c>
      <c r="P945" t="s">
        <v>36</v>
      </c>
      <c r="Q945" t="s">
        <v>37</v>
      </c>
      <c r="R945">
        <v>1</v>
      </c>
      <c r="S945">
        <v>5</v>
      </c>
      <c r="T945" t="s">
        <v>44</v>
      </c>
      <c r="U945" t="s">
        <v>38</v>
      </c>
      <c r="V945" t="s">
        <v>61</v>
      </c>
      <c r="W945" s="1">
        <v>45519</v>
      </c>
      <c r="X945" t="b">
        <v>1</v>
      </c>
      <c r="Y945" t="b">
        <v>0</v>
      </c>
      <c r="Z945" t="s">
        <v>62</v>
      </c>
      <c r="AA945" t="s">
        <v>53</v>
      </c>
      <c r="AB945">
        <v>6</v>
      </c>
    </row>
    <row r="946" spans="1:28" x14ac:dyDescent="0.25">
      <c r="A946" t="s">
        <v>1952</v>
      </c>
      <c r="B946">
        <v>50</v>
      </c>
      <c r="C946" t="s">
        <v>29</v>
      </c>
      <c r="D946" t="s">
        <v>44</v>
      </c>
      <c r="E946" t="s">
        <v>31</v>
      </c>
      <c r="F946" t="s">
        <v>56</v>
      </c>
      <c r="G946" t="s">
        <v>44</v>
      </c>
      <c r="H946" t="s">
        <v>1953</v>
      </c>
      <c r="I946" t="s">
        <v>126</v>
      </c>
      <c r="J946">
        <v>443.11</v>
      </c>
      <c r="K946">
        <v>9</v>
      </c>
      <c r="L946" t="s">
        <v>48</v>
      </c>
      <c r="M946">
        <v>1</v>
      </c>
      <c r="N946">
        <v>2</v>
      </c>
      <c r="O946">
        <v>1</v>
      </c>
      <c r="P946" t="s">
        <v>36</v>
      </c>
      <c r="Q946" t="s">
        <v>85</v>
      </c>
      <c r="R946">
        <v>0</v>
      </c>
      <c r="S946">
        <v>10</v>
      </c>
      <c r="T946" t="s">
        <v>59</v>
      </c>
      <c r="U946" t="s">
        <v>38</v>
      </c>
      <c r="V946" t="s">
        <v>66</v>
      </c>
      <c r="W946" s="1">
        <v>45310</v>
      </c>
      <c r="X946" t="b">
        <v>1</v>
      </c>
      <c r="Y946" t="b">
        <v>1</v>
      </c>
      <c r="Z946" t="s">
        <v>52</v>
      </c>
      <c r="AA946" t="s">
        <v>41</v>
      </c>
      <c r="AB946">
        <v>1</v>
      </c>
    </row>
    <row r="947" spans="1:28" x14ac:dyDescent="0.25">
      <c r="A947" t="s">
        <v>1954</v>
      </c>
      <c r="B947">
        <v>31</v>
      </c>
      <c r="C947" t="s">
        <v>88</v>
      </c>
      <c r="D947" t="s">
        <v>44</v>
      </c>
      <c r="E947" t="s">
        <v>76</v>
      </c>
      <c r="F947" t="s">
        <v>45</v>
      </c>
      <c r="G947" t="s">
        <v>44</v>
      </c>
      <c r="H947" t="s">
        <v>1955</v>
      </c>
      <c r="I947" t="s">
        <v>142</v>
      </c>
      <c r="J947">
        <v>254.83</v>
      </c>
      <c r="K947">
        <v>2</v>
      </c>
      <c r="L947" t="s">
        <v>35</v>
      </c>
      <c r="M947">
        <v>1</v>
      </c>
      <c r="N947">
        <v>2</v>
      </c>
      <c r="O947">
        <v>1</v>
      </c>
      <c r="P947" t="s">
        <v>36</v>
      </c>
      <c r="Q947" t="s">
        <v>37</v>
      </c>
      <c r="R947">
        <v>1</v>
      </c>
      <c r="S947">
        <v>2</v>
      </c>
      <c r="T947" t="s">
        <v>59</v>
      </c>
      <c r="U947" t="s">
        <v>79</v>
      </c>
      <c r="V947" t="s">
        <v>39</v>
      </c>
      <c r="W947" s="1">
        <v>45553</v>
      </c>
      <c r="X947" t="b">
        <v>0</v>
      </c>
      <c r="Y947" t="b">
        <v>0</v>
      </c>
      <c r="Z947" t="s">
        <v>52</v>
      </c>
      <c r="AA947" t="s">
        <v>53</v>
      </c>
      <c r="AB947">
        <v>1</v>
      </c>
    </row>
    <row r="948" spans="1:28" x14ac:dyDescent="0.25">
      <c r="A948" t="s">
        <v>1956</v>
      </c>
      <c r="B948">
        <v>29</v>
      </c>
      <c r="C948" t="s">
        <v>29</v>
      </c>
      <c r="D948" t="s">
        <v>44</v>
      </c>
      <c r="E948" t="s">
        <v>55</v>
      </c>
      <c r="F948" t="s">
        <v>56</v>
      </c>
      <c r="G948" t="s">
        <v>30</v>
      </c>
      <c r="H948" t="s">
        <v>1957</v>
      </c>
      <c r="I948" t="s">
        <v>98</v>
      </c>
      <c r="J948">
        <v>336.89</v>
      </c>
      <c r="K948">
        <v>4</v>
      </c>
      <c r="L948" t="s">
        <v>78</v>
      </c>
      <c r="M948">
        <v>2</v>
      </c>
      <c r="N948">
        <v>1</v>
      </c>
      <c r="O948">
        <v>2</v>
      </c>
      <c r="P948" t="s">
        <v>49</v>
      </c>
      <c r="Q948" t="s">
        <v>85</v>
      </c>
      <c r="R948">
        <v>1</v>
      </c>
      <c r="S948">
        <v>7</v>
      </c>
      <c r="T948" t="s">
        <v>44</v>
      </c>
      <c r="U948" t="s">
        <v>60</v>
      </c>
      <c r="V948" t="s">
        <v>39</v>
      </c>
      <c r="W948" s="1">
        <v>45460</v>
      </c>
      <c r="X948" t="b">
        <v>0</v>
      </c>
      <c r="Y948" t="b">
        <v>0</v>
      </c>
      <c r="Z948" t="s">
        <v>74</v>
      </c>
      <c r="AA948" t="s">
        <v>67</v>
      </c>
      <c r="AB948">
        <v>9</v>
      </c>
    </row>
    <row r="949" spans="1:28" x14ac:dyDescent="0.25">
      <c r="A949" t="s">
        <v>1958</v>
      </c>
      <c r="B949">
        <v>26</v>
      </c>
      <c r="C949" t="s">
        <v>43</v>
      </c>
      <c r="D949" t="s">
        <v>30</v>
      </c>
      <c r="E949" t="s">
        <v>31</v>
      </c>
      <c r="F949" t="s">
        <v>32</v>
      </c>
      <c r="G949" t="s">
        <v>30</v>
      </c>
      <c r="H949" t="s">
        <v>1959</v>
      </c>
      <c r="I949" t="s">
        <v>123</v>
      </c>
      <c r="J949">
        <v>337.17</v>
      </c>
      <c r="K949">
        <v>8</v>
      </c>
      <c r="L949" t="s">
        <v>48</v>
      </c>
      <c r="M949">
        <v>5</v>
      </c>
      <c r="N949">
        <v>5</v>
      </c>
      <c r="O949">
        <v>0</v>
      </c>
      <c r="P949" t="s">
        <v>59</v>
      </c>
      <c r="Q949" t="s">
        <v>50</v>
      </c>
      <c r="R949">
        <v>1</v>
      </c>
      <c r="S949">
        <v>6</v>
      </c>
      <c r="T949" t="s">
        <v>49</v>
      </c>
      <c r="U949" t="s">
        <v>38</v>
      </c>
      <c r="V949" t="s">
        <v>39</v>
      </c>
      <c r="W949" s="1">
        <v>45499</v>
      </c>
      <c r="X949" t="b">
        <v>0</v>
      </c>
      <c r="Y949" t="b">
        <v>1</v>
      </c>
      <c r="Z949" t="s">
        <v>52</v>
      </c>
      <c r="AA949" t="s">
        <v>41</v>
      </c>
      <c r="AB949">
        <v>3</v>
      </c>
    </row>
    <row r="950" spans="1:28" x14ac:dyDescent="0.25">
      <c r="A950" t="s">
        <v>1960</v>
      </c>
      <c r="B950">
        <v>22</v>
      </c>
      <c r="C950" t="s">
        <v>29</v>
      </c>
      <c r="D950" t="s">
        <v>44</v>
      </c>
      <c r="E950" t="s">
        <v>55</v>
      </c>
      <c r="F950" t="s">
        <v>45</v>
      </c>
      <c r="G950" t="s">
        <v>44</v>
      </c>
      <c r="H950" t="s">
        <v>1961</v>
      </c>
      <c r="I950" t="s">
        <v>47</v>
      </c>
      <c r="J950">
        <v>429.24</v>
      </c>
      <c r="K950">
        <v>2</v>
      </c>
      <c r="L950" t="s">
        <v>78</v>
      </c>
      <c r="M950">
        <v>2</v>
      </c>
      <c r="N950">
        <v>2</v>
      </c>
      <c r="O950">
        <v>2</v>
      </c>
      <c r="P950" t="s">
        <v>49</v>
      </c>
      <c r="Q950" t="s">
        <v>85</v>
      </c>
      <c r="R950">
        <v>0</v>
      </c>
      <c r="S950">
        <v>3</v>
      </c>
      <c r="T950" t="s">
        <v>36</v>
      </c>
      <c r="U950" t="s">
        <v>79</v>
      </c>
      <c r="V950" t="s">
        <v>86</v>
      </c>
      <c r="W950" s="1">
        <v>45362</v>
      </c>
      <c r="X950" t="b">
        <v>0</v>
      </c>
      <c r="Y950" t="b">
        <v>0</v>
      </c>
      <c r="Z950" t="s">
        <v>74</v>
      </c>
      <c r="AA950" t="s">
        <v>41</v>
      </c>
      <c r="AB950">
        <v>13</v>
      </c>
    </row>
    <row r="951" spans="1:28" x14ac:dyDescent="0.25">
      <c r="A951" t="s">
        <v>1962</v>
      </c>
      <c r="B951">
        <v>35</v>
      </c>
      <c r="C951" t="s">
        <v>29</v>
      </c>
      <c r="D951" t="s">
        <v>44</v>
      </c>
      <c r="E951" t="s">
        <v>31</v>
      </c>
      <c r="F951" t="s">
        <v>45</v>
      </c>
      <c r="G951" t="s">
        <v>44</v>
      </c>
      <c r="H951" t="s">
        <v>1963</v>
      </c>
      <c r="I951" t="s">
        <v>117</v>
      </c>
      <c r="J951">
        <v>197.7</v>
      </c>
      <c r="K951">
        <v>7</v>
      </c>
      <c r="L951" t="s">
        <v>35</v>
      </c>
      <c r="M951">
        <v>3</v>
      </c>
      <c r="N951">
        <v>5</v>
      </c>
      <c r="O951">
        <v>2</v>
      </c>
      <c r="P951" t="s">
        <v>44</v>
      </c>
      <c r="Q951" t="s">
        <v>37</v>
      </c>
      <c r="R951">
        <v>1</v>
      </c>
      <c r="S951">
        <v>6</v>
      </c>
      <c r="T951" t="s">
        <v>49</v>
      </c>
      <c r="U951" t="s">
        <v>79</v>
      </c>
      <c r="V951" t="s">
        <v>86</v>
      </c>
      <c r="W951" s="1">
        <v>45562</v>
      </c>
      <c r="X951" t="b">
        <v>0</v>
      </c>
      <c r="Y951" t="b">
        <v>0</v>
      </c>
      <c r="Z951" t="s">
        <v>40</v>
      </c>
      <c r="AA951" t="s">
        <v>53</v>
      </c>
      <c r="AB951">
        <v>9</v>
      </c>
    </row>
    <row r="952" spans="1:28" x14ac:dyDescent="0.25">
      <c r="A952" t="s">
        <v>1964</v>
      </c>
      <c r="B952">
        <v>23</v>
      </c>
      <c r="C952" t="s">
        <v>43</v>
      </c>
      <c r="D952" t="s">
        <v>30</v>
      </c>
      <c r="E952" t="s">
        <v>31</v>
      </c>
      <c r="F952" t="s">
        <v>32</v>
      </c>
      <c r="G952" t="s">
        <v>30</v>
      </c>
      <c r="H952" t="s">
        <v>1965</v>
      </c>
      <c r="I952" t="s">
        <v>65</v>
      </c>
      <c r="J952">
        <v>336.96</v>
      </c>
      <c r="K952">
        <v>2</v>
      </c>
      <c r="L952" t="s">
        <v>48</v>
      </c>
      <c r="M952">
        <v>5</v>
      </c>
      <c r="N952">
        <v>2</v>
      </c>
      <c r="O952">
        <v>2</v>
      </c>
      <c r="P952" t="s">
        <v>44</v>
      </c>
      <c r="Q952" t="s">
        <v>50</v>
      </c>
      <c r="R952">
        <v>0</v>
      </c>
      <c r="S952">
        <v>7</v>
      </c>
      <c r="T952" t="s">
        <v>59</v>
      </c>
      <c r="U952" t="s">
        <v>38</v>
      </c>
      <c r="V952" t="s">
        <v>51</v>
      </c>
      <c r="W952" s="1">
        <v>45540</v>
      </c>
      <c r="X952" t="b">
        <v>1</v>
      </c>
      <c r="Y952" t="b">
        <v>1</v>
      </c>
      <c r="Z952" t="s">
        <v>62</v>
      </c>
      <c r="AA952" t="s">
        <v>41</v>
      </c>
      <c r="AB952">
        <v>7</v>
      </c>
    </row>
    <row r="953" spans="1:28" x14ac:dyDescent="0.25">
      <c r="A953" t="s">
        <v>1966</v>
      </c>
      <c r="B953">
        <v>40</v>
      </c>
      <c r="C953" t="s">
        <v>29</v>
      </c>
      <c r="D953" t="s">
        <v>44</v>
      </c>
      <c r="E953" t="s">
        <v>31</v>
      </c>
      <c r="F953" t="s">
        <v>45</v>
      </c>
      <c r="G953" t="s">
        <v>44</v>
      </c>
      <c r="H953" t="s">
        <v>1967</v>
      </c>
      <c r="I953" t="s">
        <v>114</v>
      </c>
      <c r="J953">
        <v>489.81</v>
      </c>
      <c r="K953">
        <v>11</v>
      </c>
      <c r="L953" t="s">
        <v>35</v>
      </c>
      <c r="M953">
        <v>3</v>
      </c>
      <c r="N953">
        <v>2</v>
      </c>
      <c r="O953">
        <v>1</v>
      </c>
      <c r="P953" t="s">
        <v>59</v>
      </c>
      <c r="Q953" t="s">
        <v>85</v>
      </c>
      <c r="R953">
        <v>0</v>
      </c>
      <c r="S953">
        <v>1</v>
      </c>
      <c r="T953" t="s">
        <v>36</v>
      </c>
      <c r="U953" t="s">
        <v>38</v>
      </c>
      <c r="V953" t="s">
        <v>39</v>
      </c>
      <c r="W953" s="1">
        <v>45648</v>
      </c>
      <c r="X953" t="b">
        <v>0</v>
      </c>
      <c r="Y953" t="b">
        <v>0</v>
      </c>
      <c r="Z953" t="s">
        <v>52</v>
      </c>
      <c r="AA953" t="s">
        <v>41</v>
      </c>
      <c r="AB953">
        <v>3</v>
      </c>
    </row>
    <row r="954" spans="1:28" x14ac:dyDescent="0.25">
      <c r="A954" t="s">
        <v>1968</v>
      </c>
      <c r="B954">
        <v>32</v>
      </c>
      <c r="C954" t="s">
        <v>29</v>
      </c>
      <c r="D954" t="s">
        <v>44</v>
      </c>
      <c r="E954" t="s">
        <v>55</v>
      </c>
      <c r="F954" t="s">
        <v>45</v>
      </c>
      <c r="G954" t="s">
        <v>30</v>
      </c>
      <c r="H954" t="s">
        <v>1969</v>
      </c>
      <c r="I954" t="s">
        <v>120</v>
      </c>
      <c r="J954">
        <v>455.55</v>
      </c>
      <c r="K954">
        <v>8</v>
      </c>
      <c r="L954" t="s">
        <v>35</v>
      </c>
      <c r="M954">
        <v>4</v>
      </c>
      <c r="N954">
        <v>4</v>
      </c>
      <c r="O954">
        <v>1</v>
      </c>
      <c r="P954" t="s">
        <v>44</v>
      </c>
      <c r="Q954" t="s">
        <v>37</v>
      </c>
      <c r="R954">
        <v>0</v>
      </c>
      <c r="S954">
        <v>6</v>
      </c>
      <c r="T954" t="s">
        <v>44</v>
      </c>
      <c r="U954" t="s">
        <v>79</v>
      </c>
      <c r="V954" t="s">
        <v>51</v>
      </c>
      <c r="W954" s="1">
        <v>45594</v>
      </c>
      <c r="X954" t="b">
        <v>0</v>
      </c>
      <c r="Y954" t="b">
        <v>0</v>
      </c>
      <c r="Z954" t="s">
        <v>74</v>
      </c>
      <c r="AA954" t="s">
        <v>41</v>
      </c>
      <c r="AB954">
        <v>10</v>
      </c>
    </row>
    <row r="955" spans="1:28" x14ac:dyDescent="0.25">
      <c r="A955" t="s">
        <v>1970</v>
      </c>
      <c r="B955">
        <v>29</v>
      </c>
      <c r="C955" t="s">
        <v>43</v>
      </c>
      <c r="D955" t="s">
        <v>30</v>
      </c>
      <c r="E955" t="s">
        <v>76</v>
      </c>
      <c r="F955" t="s">
        <v>56</v>
      </c>
      <c r="G955" t="s">
        <v>30</v>
      </c>
      <c r="H955" t="s">
        <v>1971</v>
      </c>
      <c r="I955" t="s">
        <v>93</v>
      </c>
      <c r="J955">
        <v>266.61</v>
      </c>
      <c r="K955">
        <v>3</v>
      </c>
      <c r="L955" t="s">
        <v>78</v>
      </c>
      <c r="M955">
        <v>3</v>
      </c>
      <c r="N955">
        <v>1</v>
      </c>
      <c r="O955">
        <v>1</v>
      </c>
      <c r="P955" t="s">
        <v>49</v>
      </c>
      <c r="Q955" t="s">
        <v>85</v>
      </c>
      <c r="R955">
        <v>2</v>
      </c>
      <c r="S955">
        <v>8</v>
      </c>
      <c r="T955" t="s">
        <v>36</v>
      </c>
      <c r="U955" t="s">
        <v>38</v>
      </c>
      <c r="V955" t="s">
        <v>61</v>
      </c>
      <c r="W955" s="1">
        <v>45449</v>
      </c>
      <c r="X955" t="b">
        <v>1</v>
      </c>
      <c r="Y955" t="b">
        <v>0</v>
      </c>
      <c r="Z955" t="s">
        <v>40</v>
      </c>
      <c r="AA955" t="s">
        <v>53</v>
      </c>
      <c r="AB955">
        <v>7</v>
      </c>
    </row>
    <row r="956" spans="1:28" x14ac:dyDescent="0.25">
      <c r="A956" t="s">
        <v>1972</v>
      </c>
      <c r="B956">
        <v>50</v>
      </c>
      <c r="C956" t="s">
        <v>212</v>
      </c>
      <c r="D956" t="s">
        <v>30</v>
      </c>
      <c r="E956" t="s">
        <v>31</v>
      </c>
      <c r="F956" t="s">
        <v>45</v>
      </c>
      <c r="G956" t="s">
        <v>44</v>
      </c>
      <c r="H956" t="s">
        <v>1973</v>
      </c>
      <c r="I956" t="s">
        <v>194</v>
      </c>
      <c r="J956">
        <v>460.88</v>
      </c>
      <c r="K956">
        <v>5</v>
      </c>
      <c r="L956" t="s">
        <v>35</v>
      </c>
      <c r="M956">
        <v>3</v>
      </c>
      <c r="N956">
        <v>4</v>
      </c>
      <c r="O956">
        <v>2</v>
      </c>
      <c r="P956" t="s">
        <v>36</v>
      </c>
      <c r="Q956" t="s">
        <v>50</v>
      </c>
      <c r="R956">
        <v>2</v>
      </c>
      <c r="S956">
        <v>4</v>
      </c>
      <c r="T956" t="s">
        <v>44</v>
      </c>
      <c r="U956" t="s">
        <v>38</v>
      </c>
      <c r="V956" t="s">
        <v>86</v>
      </c>
      <c r="W956" s="1">
        <v>45394</v>
      </c>
      <c r="X956" t="b">
        <v>1</v>
      </c>
      <c r="Y956" t="b">
        <v>0</v>
      </c>
      <c r="Z956" t="s">
        <v>62</v>
      </c>
      <c r="AA956" t="s">
        <v>53</v>
      </c>
      <c r="AB956">
        <v>2</v>
      </c>
    </row>
    <row r="957" spans="1:28" x14ac:dyDescent="0.25">
      <c r="A957" t="s">
        <v>1974</v>
      </c>
      <c r="B957">
        <v>42</v>
      </c>
      <c r="C957" t="s">
        <v>43</v>
      </c>
      <c r="D957" t="s">
        <v>44</v>
      </c>
      <c r="E957" t="s">
        <v>55</v>
      </c>
      <c r="F957" t="s">
        <v>45</v>
      </c>
      <c r="G957" t="s">
        <v>30</v>
      </c>
      <c r="H957" t="s">
        <v>1975</v>
      </c>
      <c r="I957" t="s">
        <v>142</v>
      </c>
      <c r="J957">
        <v>361.4</v>
      </c>
      <c r="K957">
        <v>2</v>
      </c>
      <c r="L957" t="s">
        <v>48</v>
      </c>
      <c r="M957">
        <v>2</v>
      </c>
      <c r="N957">
        <v>5</v>
      </c>
      <c r="O957">
        <v>1</v>
      </c>
      <c r="P957" t="s">
        <v>49</v>
      </c>
      <c r="Q957" t="s">
        <v>37</v>
      </c>
      <c r="R957">
        <v>0</v>
      </c>
      <c r="S957">
        <v>5</v>
      </c>
      <c r="T957" t="s">
        <v>49</v>
      </c>
      <c r="U957" t="s">
        <v>79</v>
      </c>
      <c r="V957" t="s">
        <v>39</v>
      </c>
      <c r="W957" s="1">
        <v>45647</v>
      </c>
      <c r="X957" t="b">
        <v>0</v>
      </c>
      <c r="Y957" t="b">
        <v>1</v>
      </c>
      <c r="Z957" t="s">
        <v>62</v>
      </c>
      <c r="AA957" t="s">
        <v>41</v>
      </c>
      <c r="AB957">
        <v>7</v>
      </c>
    </row>
    <row r="958" spans="1:28" x14ac:dyDescent="0.25">
      <c r="A958" t="s">
        <v>1976</v>
      </c>
      <c r="B958">
        <v>47</v>
      </c>
      <c r="C958" t="s">
        <v>29</v>
      </c>
      <c r="D958" t="s">
        <v>30</v>
      </c>
      <c r="E958" t="s">
        <v>76</v>
      </c>
      <c r="F958" t="s">
        <v>56</v>
      </c>
      <c r="G958" t="s">
        <v>30</v>
      </c>
      <c r="H958" t="s">
        <v>1977</v>
      </c>
      <c r="I958" t="s">
        <v>123</v>
      </c>
      <c r="J958">
        <v>51.86</v>
      </c>
      <c r="K958">
        <v>4</v>
      </c>
      <c r="L958" t="s">
        <v>35</v>
      </c>
      <c r="M958">
        <v>3</v>
      </c>
      <c r="N958">
        <v>5</v>
      </c>
      <c r="O958">
        <v>0.2</v>
      </c>
      <c r="P958" t="s">
        <v>49</v>
      </c>
      <c r="Q958" t="s">
        <v>50</v>
      </c>
      <c r="R958">
        <v>2</v>
      </c>
      <c r="S958">
        <v>6</v>
      </c>
      <c r="T958" t="s">
        <v>44</v>
      </c>
      <c r="U958" t="s">
        <v>38</v>
      </c>
      <c r="V958" t="s">
        <v>39</v>
      </c>
      <c r="W958" s="1">
        <v>45651</v>
      </c>
      <c r="X958" t="b">
        <v>0</v>
      </c>
      <c r="Y958" t="b">
        <v>1</v>
      </c>
      <c r="Z958" t="s">
        <v>40</v>
      </c>
      <c r="AA958" t="s">
        <v>41</v>
      </c>
      <c r="AB958">
        <v>6</v>
      </c>
    </row>
    <row r="959" spans="1:28" x14ac:dyDescent="0.25">
      <c r="A959" t="s">
        <v>1978</v>
      </c>
      <c r="B959">
        <v>27</v>
      </c>
      <c r="C959" t="s">
        <v>43</v>
      </c>
      <c r="D959" t="s">
        <v>30</v>
      </c>
      <c r="E959" t="s">
        <v>31</v>
      </c>
      <c r="F959" t="s">
        <v>45</v>
      </c>
      <c r="G959" t="s">
        <v>30</v>
      </c>
      <c r="H959" t="s">
        <v>1979</v>
      </c>
      <c r="I959" t="s">
        <v>58</v>
      </c>
      <c r="J959">
        <v>310.16000000000003</v>
      </c>
      <c r="K959">
        <v>5</v>
      </c>
      <c r="L959" t="s">
        <v>35</v>
      </c>
      <c r="M959">
        <v>5</v>
      </c>
      <c r="N959">
        <v>3</v>
      </c>
      <c r="O959">
        <v>1</v>
      </c>
      <c r="P959" t="s">
        <v>36</v>
      </c>
      <c r="Q959" t="s">
        <v>37</v>
      </c>
      <c r="R959">
        <v>0</v>
      </c>
      <c r="S959">
        <v>4</v>
      </c>
      <c r="T959" t="s">
        <v>44</v>
      </c>
      <c r="U959" t="s">
        <v>79</v>
      </c>
      <c r="V959" t="s">
        <v>86</v>
      </c>
      <c r="W959" s="1">
        <v>45627</v>
      </c>
      <c r="X959" t="b">
        <v>0</v>
      </c>
      <c r="Y959" t="b">
        <v>0</v>
      </c>
      <c r="Z959" t="s">
        <v>40</v>
      </c>
      <c r="AA959" t="s">
        <v>53</v>
      </c>
      <c r="AB959">
        <v>14</v>
      </c>
    </row>
    <row r="960" spans="1:28" x14ac:dyDescent="0.25">
      <c r="A960" t="s">
        <v>1980</v>
      </c>
      <c r="B960">
        <v>40</v>
      </c>
      <c r="C960" t="s">
        <v>29</v>
      </c>
      <c r="D960" t="s">
        <v>30</v>
      </c>
      <c r="E960" t="s">
        <v>69</v>
      </c>
      <c r="F960" t="s">
        <v>56</v>
      </c>
      <c r="G960" t="s">
        <v>30</v>
      </c>
      <c r="H960" t="s">
        <v>1981</v>
      </c>
      <c r="I960" t="s">
        <v>114</v>
      </c>
      <c r="J960">
        <v>300.73</v>
      </c>
      <c r="K960">
        <v>8</v>
      </c>
      <c r="L960" t="s">
        <v>78</v>
      </c>
      <c r="M960">
        <v>4</v>
      </c>
      <c r="N960">
        <v>2</v>
      </c>
      <c r="O960">
        <v>1</v>
      </c>
      <c r="P960" t="s">
        <v>59</v>
      </c>
      <c r="Q960" t="s">
        <v>37</v>
      </c>
      <c r="R960">
        <v>2</v>
      </c>
      <c r="S960">
        <v>9</v>
      </c>
      <c r="T960" t="s">
        <v>44</v>
      </c>
      <c r="U960" t="s">
        <v>79</v>
      </c>
      <c r="V960" t="s">
        <v>86</v>
      </c>
      <c r="W960" s="1">
        <v>45382</v>
      </c>
      <c r="X960" t="b">
        <v>1</v>
      </c>
      <c r="Y960" t="b">
        <v>1</v>
      </c>
      <c r="Z960" t="s">
        <v>40</v>
      </c>
      <c r="AA960" t="s">
        <v>41</v>
      </c>
      <c r="AB960">
        <v>10</v>
      </c>
    </row>
    <row r="961" spans="1:28" x14ac:dyDescent="0.25">
      <c r="A961" t="s">
        <v>1982</v>
      </c>
      <c r="B961">
        <v>28</v>
      </c>
      <c r="C961" t="s">
        <v>29</v>
      </c>
      <c r="D961" t="s">
        <v>44</v>
      </c>
      <c r="E961" t="s">
        <v>31</v>
      </c>
      <c r="F961" t="s">
        <v>45</v>
      </c>
      <c r="G961" t="s">
        <v>30</v>
      </c>
      <c r="H961" t="s">
        <v>1983</v>
      </c>
      <c r="I961" t="s">
        <v>114</v>
      </c>
      <c r="J961">
        <v>356.87</v>
      </c>
      <c r="K961">
        <v>12</v>
      </c>
      <c r="L961" t="s">
        <v>35</v>
      </c>
      <c r="M961">
        <v>1</v>
      </c>
      <c r="N961">
        <v>4</v>
      </c>
      <c r="O961">
        <v>0</v>
      </c>
      <c r="P961" t="s">
        <v>44</v>
      </c>
      <c r="Q961" t="s">
        <v>50</v>
      </c>
      <c r="R961">
        <v>1</v>
      </c>
      <c r="S961">
        <v>9</v>
      </c>
      <c r="T961" t="s">
        <v>49</v>
      </c>
      <c r="U961" t="s">
        <v>60</v>
      </c>
      <c r="V961" t="s">
        <v>61</v>
      </c>
      <c r="W961" s="1">
        <v>45577</v>
      </c>
      <c r="X961" t="b">
        <v>0</v>
      </c>
      <c r="Y961" t="b">
        <v>1</v>
      </c>
      <c r="Z961" t="s">
        <v>62</v>
      </c>
      <c r="AA961" t="s">
        <v>53</v>
      </c>
      <c r="AB961">
        <v>10</v>
      </c>
    </row>
    <row r="962" spans="1:28" x14ac:dyDescent="0.25">
      <c r="A962" t="s">
        <v>1984</v>
      </c>
      <c r="B962">
        <v>28</v>
      </c>
      <c r="C962" t="s">
        <v>43</v>
      </c>
      <c r="D962" t="s">
        <v>30</v>
      </c>
      <c r="E962" t="s">
        <v>69</v>
      </c>
      <c r="F962" t="s">
        <v>45</v>
      </c>
      <c r="G962" t="s">
        <v>30</v>
      </c>
      <c r="H962" t="s">
        <v>1985</v>
      </c>
      <c r="I962" t="s">
        <v>183</v>
      </c>
      <c r="J962">
        <v>82.37</v>
      </c>
      <c r="K962">
        <v>6</v>
      </c>
      <c r="L962" t="s">
        <v>35</v>
      </c>
      <c r="M962">
        <v>1</v>
      </c>
      <c r="N962">
        <v>1</v>
      </c>
      <c r="O962">
        <v>1</v>
      </c>
      <c r="P962" t="s">
        <v>49</v>
      </c>
      <c r="Q962" t="s">
        <v>50</v>
      </c>
      <c r="R962">
        <v>0</v>
      </c>
      <c r="S962">
        <v>4</v>
      </c>
      <c r="T962" t="s">
        <v>49</v>
      </c>
      <c r="U962" t="s">
        <v>60</v>
      </c>
      <c r="V962" t="s">
        <v>39</v>
      </c>
      <c r="W962" s="1">
        <v>45651</v>
      </c>
      <c r="X962" t="b">
        <v>0</v>
      </c>
      <c r="Y962" t="b">
        <v>0</v>
      </c>
      <c r="Z962" t="s">
        <v>62</v>
      </c>
      <c r="AA962" t="s">
        <v>53</v>
      </c>
      <c r="AB962">
        <v>2</v>
      </c>
    </row>
    <row r="963" spans="1:28" x14ac:dyDescent="0.25">
      <c r="A963" t="s">
        <v>1986</v>
      </c>
      <c r="B963">
        <v>29</v>
      </c>
      <c r="C963" t="s">
        <v>29</v>
      </c>
      <c r="D963" t="s">
        <v>44</v>
      </c>
      <c r="E963" t="s">
        <v>76</v>
      </c>
      <c r="F963" t="s">
        <v>32</v>
      </c>
      <c r="G963" t="s">
        <v>44</v>
      </c>
      <c r="H963" t="s">
        <v>1696</v>
      </c>
      <c r="I963" t="s">
        <v>183</v>
      </c>
      <c r="J963">
        <v>372.6</v>
      </c>
      <c r="K963">
        <v>3</v>
      </c>
      <c r="L963" t="s">
        <v>35</v>
      </c>
      <c r="M963">
        <v>4</v>
      </c>
      <c r="N963">
        <v>5</v>
      </c>
      <c r="O963">
        <v>1</v>
      </c>
      <c r="P963" t="s">
        <v>44</v>
      </c>
      <c r="Q963" t="s">
        <v>85</v>
      </c>
      <c r="R963">
        <v>2</v>
      </c>
      <c r="S963">
        <v>6</v>
      </c>
      <c r="T963" t="s">
        <v>59</v>
      </c>
      <c r="U963" t="s">
        <v>38</v>
      </c>
      <c r="V963" t="s">
        <v>51</v>
      </c>
      <c r="W963" s="1">
        <v>45302</v>
      </c>
      <c r="X963" t="b">
        <v>1</v>
      </c>
      <c r="Y963" t="b">
        <v>1</v>
      </c>
      <c r="Z963" t="s">
        <v>74</v>
      </c>
      <c r="AA963" t="s">
        <v>67</v>
      </c>
      <c r="AB963">
        <v>10</v>
      </c>
    </row>
    <row r="964" spans="1:28" x14ac:dyDescent="0.25">
      <c r="A964" t="s">
        <v>1987</v>
      </c>
      <c r="B964">
        <v>29</v>
      </c>
      <c r="C964" t="s">
        <v>29</v>
      </c>
      <c r="D964" t="s">
        <v>30</v>
      </c>
      <c r="E964" t="s">
        <v>69</v>
      </c>
      <c r="F964" t="s">
        <v>45</v>
      </c>
      <c r="G964" t="s">
        <v>44</v>
      </c>
      <c r="H964" t="s">
        <v>1988</v>
      </c>
      <c r="I964" t="s">
        <v>101</v>
      </c>
      <c r="J964">
        <v>78.319999999999993</v>
      </c>
      <c r="K964">
        <v>9</v>
      </c>
      <c r="L964" t="s">
        <v>78</v>
      </c>
      <c r="M964">
        <v>2</v>
      </c>
      <c r="N964">
        <v>4</v>
      </c>
      <c r="O964">
        <v>2</v>
      </c>
      <c r="P964" t="s">
        <v>59</v>
      </c>
      <c r="Q964" t="s">
        <v>37</v>
      </c>
      <c r="R964">
        <v>2</v>
      </c>
      <c r="S964">
        <v>10</v>
      </c>
      <c r="T964" t="s">
        <v>59</v>
      </c>
      <c r="U964" t="s">
        <v>60</v>
      </c>
      <c r="V964" t="s">
        <v>51</v>
      </c>
      <c r="W964" s="1">
        <v>45502</v>
      </c>
      <c r="X964" t="b">
        <v>0</v>
      </c>
      <c r="Y964" t="b">
        <v>1</v>
      </c>
      <c r="Z964" t="s">
        <v>40</v>
      </c>
      <c r="AA964" t="s">
        <v>53</v>
      </c>
      <c r="AB964">
        <v>7</v>
      </c>
    </row>
    <row r="965" spans="1:28" x14ac:dyDescent="0.25">
      <c r="A965" t="s">
        <v>1989</v>
      </c>
      <c r="B965">
        <v>32</v>
      </c>
      <c r="C965" t="s">
        <v>29</v>
      </c>
      <c r="D965" t="s">
        <v>44</v>
      </c>
      <c r="E965" t="s">
        <v>55</v>
      </c>
      <c r="F965" t="s">
        <v>56</v>
      </c>
      <c r="G965" t="s">
        <v>44</v>
      </c>
      <c r="H965" t="s">
        <v>1990</v>
      </c>
      <c r="I965" t="s">
        <v>123</v>
      </c>
      <c r="J965">
        <v>71.72</v>
      </c>
      <c r="K965">
        <v>12</v>
      </c>
      <c r="L965" t="s">
        <v>78</v>
      </c>
      <c r="M965">
        <v>3</v>
      </c>
      <c r="N965">
        <v>5</v>
      </c>
      <c r="O965">
        <v>1</v>
      </c>
      <c r="P965" t="s">
        <v>44</v>
      </c>
      <c r="Q965" t="s">
        <v>37</v>
      </c>
      <c r="R965">
        <v>2</v>
      </c>
      <c r="S965">
        <v>5</v>
      </c>
      <c r="T965" t="s">
        <v>59</v>
      </c>
      <c r="U965" t="s">
        <v>38</v>
      </c>
      <c r="V965" t="s">
        <v>51</v>
      </c>
      <c r="W965" s="1">
        <v>45302</v>
      </c>
      <c r="X965" t="b">
        <v>1</v>
      </c>
      <c r="Y965" t="b">
        <v>1</v>
      </c>
      <c r="Z965" t="s">
        <v>52</v>
      </c>
      <c r="AA965" t="s">
        <v>67</v>
      </c>
      <c r="AB965">
        <v>13</v>
      </c>
    </row>
    <row r="966" spans="1:28" x14ac:dyDescent="0.25">
      <c r="A966" t="s">
        <v>1991</v>
      </c>
      <c r="B966">
        <v>39</v>
      </c>
      <c r="C966" t="s">
        <v>29</v>
      </c>
      <c r="D966" t="s">
        <v>44</v>
      </c>
      <c r="E966" t="s">
        <v>55</v>
      </c>
      <c r="F966" t="s">
        <v>45</v>
      </c>
      <c r="G966" t="s">
        <v>44</v>
      </c>
      <c r="H966" t="s">
        <v>1992</v>
      </c>
      <c r="I966" t="s">
        <v>98</v>
      </c>
      <c r="J966">
        <v>241.1</v>
      </c>
      <c r="K966">
        <v>12</v>
      </c>
      <c r="L966" t="s">
        <v>48</v>
      </c>
      <c r="M966">
        <v>1</v>
      </c>
      <c r="N966">
        <v>5</v>
      </c>
      <c r="O966">
        <v>2</v>
      </c>
      <c r="P966" t="s">
        <v>36</v>
      </c>
      <c r="Q966" t="s">
        <v>50</v>
      </c>
      <c r="R966">
        <v>2</v>
      </c>
      <c r="S966">
        <v>2</v>
      </c>
      <c r="T966" t="s">
        <v>49</v>
      </c>
      <c r="U966" t="s">
        <v>79</v>
      </c>
      <c r="V966" t="s">
        <v>39</v>
      </c>
      <c r="W966" s="1">
        <v>45503</v>
      </c>
      <c r="X966" t="b">
        <v>0</v>
      </c>
      <c r="Y966" t="b">
        <v>1</v>
      </c>
      <c r="Z966" t="s">
        <v>74</v>
      </c>
      <c r="AA966" t="s">
        <v>41</v>
      </c>
      <c r="AB966">
        <v>8</v>
      </c>
    </row>
    <row r="967" spans="1:28" x14ac:dyDescent="0.25">
      <c r="A967" t="s">
        <v>1993</v>
      </c>
      <c r="B967">
        <v>22</v>
      </c>
      <c r="C967" t="s">
        <v>43</v>
      </c>
      <c r="D967" t="s">
        <v>30</v>
      </c>
      <c r="E967" t="s">
        <v>31</v>
      </c>
      <c r="F967" t="s">
        <v>32</v>
      </c>
      <c r="G967" t="s">
        <v>44</v>
      </c>
      <c r="H967" t="s">
        <v>1994</v>
      </c>
      <c r="I967" t="s">
        <v>194</v>
      </c>
      <c r="J967">
        <v>96.86</v>
      </c>
      <c r="K967">
        <v>9</v>
      </c>
      <c r="L967" t="s">
        <v>35</v>
      </c>
      <c r="M967">
        <v>5</v>
      </c>
      <c r="N967">
        <v>5</v>
      </c>
      <c r="O967">
        <v>0</v>
      </c>
      <c r="P967" t="s">
        <v>36</v>
      </c>
      <c r="Q967" t="s">
        <v>50</v>
      </c>
      <c r="R967">
        <v>2</v>
      </c>
      <c r="S967">
        <v>10</v>
      </c>
      <c r="T967" t="s">
        <v>49</v>
      </c>
      <c r="U967" t="s">
        <v>79</v>
      </c>
      <c r="V967" t="s">
        <v>61</v>
      </c>
      <c r="W967" s="1">
        <v>45501</v>
      </c>
      <c r="X967" t="b">
        <v>0</v>
      </c>
      <c r="Y967" t="b">
        <v>1</v>
      </c>
      <c r="Z967" t="s">
        <v>52</v>
      </c>
      <c r="AA967" t="s">
        <v>53</v>
      </c>
      <c r="AB967">
        <v>7</v>
      </c>
    </row>
    <row r="968" spans="1:28" x14ac:dyDescent="0.25">
      <c r="A968" t="s">
        <v>1995</v>
      </c>
      <c r="B968">
        <v>48</v>
      </c>
      <c r="C968" t="s">
        <v>43</v>
      </c>
      <c r="D968" t="s">
        <v>30</v>
      </c>
      <c r="E968" t="s">
        <v>76</v>
      </c>
      <c r="F968" t="s">
        <v>56</v>
      </c>
      <c r="G968" t="s">
        <v>44</v>
      </c>
      <c r="H968" t="s">
        <v>1996</v>
      </c>
      <c r="I968" t="s">
        <v>47</v>
      </c>
      <c r="J968">
        <v>276.25</v>
      </c>
      <c r="K968">
        <v>11</v>
      </c>
      <c r="L968" t="s">
        <v>48</v>
      </c>
      <c r="M968">
        <v>2</v>
      </c>
      <c r="N968">
        <v>1</v>
      </c>
      <c r="O968">
        <v>2</v>
      </c>
      <c r="P968" t="s">
        <v>44</v>
      </c>
      <c r="Q968" t="s">
        <v>50</v>
      </c>
      <c r="R968">
        <v>2</v>
      </c>
      <c r="S968">
        <v>4</v>
      </c>
      <c r="T968" t="s">
        <v>36</v>
      </c>
      <c r="U968" t="s">
        <v>60</v>
      </c>
      <c r="V968" t="s">
        <v>86</v>
      </c>
      <c r="W968" s="1">
        <v>45607</v>
      </c>
      <c r="X968" t="b">
        <v>1</v>
      </c>
      <c r="Y968" t="b">
        <v>1</v>
      </c>
      <c r="Z968" t="s">
        <v>62</v>
      </c>
      <c r="AA968" t="s">
        <v>67</v>
      </c>
      <c r="AB968">
        <v>8</v>
      </c>
    </row>
    <row r="969" spans="1:28" x14ac:dyDescent="0.25">
      <c r="A969" t="s">
        <v>1997</v>
      </c>
      <c r="B969">
        <v>29</v>
      </c>
      <c r="C969" t="s">
        <v>43</v>
      </c>
      <c r="D969" t="s">
        <v>30</v>
      </c>
      <c r="E969" t="s">
        <v>69</v>
      </c>
      <c r="F969" t="s">
        <v>56</v>
      </c>
      <c r="G969" t="s">
        <v>30</v>
      </c>
      <c r="H969" t="s">
        <v>1998</v>
      </c>
      <c r="I969" t="s">
        <v>58</v>
      </c>
      <c r="J969">
        <v>318.45</v>
      </c>
      <c r="K969">
        <v>10</v>
      </c>
      <c r="L969" t="s">
        <v>48</v>
      </c>
      <c r="M969">
        <v>2</v>
      </c>
      <c r="N969">
        <v>1</v>
      </c>
      <c r="O969">
        <v>2</v>
      </c>
      <c r="P969" t="s">
        <v>36</v>
      </c>
      <c r="Q969" t="s">
        <v>37</v>
      </c>
      <c r="R969">
        <v>2</v>
      </c>
      <c r="S969">
        <v>4</v>
      </c>
      <c r="T969" t="s">
        <v>44</v>
      </c>
      <c r="U969" t="s">
        <v>60</v>
      </c>
      <c r="V969" t="s">
        <v>66</v>
      </c>
      <c r="W969" s="1">
        <v>45590</v>
      </c>
      <c r="X969" t="b">
        <v>0</v>
      </c>
      <c r="Y969" t="b">
        <v>1</v>
      </c>
      <c r="Z969" t="s">
        <v>74</v>
      </c>
      <c r="AA969" t="s">
        <v>41</v>
      </c>
      <c r="AB969">
        <v>5</v>
      </c>
    </row>
    <row r="970" spans="1:28" x14ac:dyDescent="0.25">
      <c r="A970" t="s">
        <v>1999</v>
      </c>
      <c r="B970">
        <v>41</v>
      </c>
      <c r="C970" t="s">
        <v>29</v>
      </c>
      <c r="D970" t="s">
        <v>44</v>
      </c>
      <c r="E970" t="s">
        <v>31</v>
      </c>
      <c r="F970" t="s">
        <v>45</v>
      </c>
      <c r="G970" t="s">
        <v>44</v>
      </c>
      <c r="H970" t="s">
        <v>2000</v>
      </c>
      <c r="I970" t="s">
        <v>101</v>
      </c>
      <c r="J970">
        <v>117.03</v>
      </c>
      <c r="K970">
        <v>6</v>
      </c>
      <c r="L970" t="s">
        <v>78</v>
      </c>
      <c r="M970">
        <v>3</v>
      </c>
      <c r="N970">
        <v>2</v>
      </c>
      <c r="O970">
        <v>0</v>
      </c>
      <c r="P970" t="s">
        <v>36</v>
      </c>
      <c r="Q970" t="s">
        <v>85</v>
      </c>
      <c r="R970">
        <v>2</v>
      </c>
      <c r="S970">
        <v>9</v>
      </c>
      <c r="T970" t="s">
        <v>49</v>
      </c>
      <c r="U970" t="s">
        <v>38</v>
      </c>
      <c r="V970" t="s">
        <v>86</v>
      </c>
      <c r="W970" s="1">
        <v>45555</v>
      </c>
      <c r="X970" t="b">
        <v>0</v>
      </c>
      <c r="Y970" t="b">
        <v>0</v>
      </c>
      <c r="Z970" t="s">
        <v>62</v>
      </c>
      <c r="AA970" t="s">
        <v>53</v>
      </c>
      <c r="AB970">
        <v>5</v>
      </c>
    </row>
    <row r="971" spans="1:28" x14ac:dyDescent="0.25">
      <c r="A971" t="s">
        <v>2001</v>
      </c>
      <c r="B971">
        <v>50</v>
      </c>
      <c r="C971" t="s">
        <v>29</v>
      </c>
      <c r="D971" t="s">
        <v>30</v>
      </c>
      <c r="E971" t="s">
        <v>31</v>
      </c>
      <c r="F971" t="s">
        <v>56</v>
      </c>
      <c r="G971" t="s">
        <v>44</v>
      </c>
      <c r="H971" t="s">
        <v>2002</v>
      </c>
      <c r="I971" t="s">
        <v>126</v>
      </c>
      <c r="J971">
        <v>490.41</v>
      </c>
      <c r="K971">
        <v>7</v>
      </c>
      <c r="L971" t="s">
        <v>78</v>
      </c>
      <c r="M971">
        <v>3</v>
      </c>
      <c r="N971">
        <v>5</v>
      </c>
      <c r="O971">
        <v>1</v>
      </c>
      <c r="P971" t="s">
        <v>49</v>
      </c>
      <c r="Q971" t="s">
        <v>85</v>
      </c>
      <c r="R971">
        <v>1</v>
      </c>
      <c r="S971">
        <v>10</v>
      </c>
      <c r="T971" t="s">
        <v>59</v>
      </c>
      <c r="U971" t="s">
        <v>38</v>
      </c>
      <c r="V971" t="s">
        <v>66</v>
      </c>
      <c r="W971" s="1">
        <v>45587</v>
      </c>
      <c r="X971" t="b">
        <v>1</v>
      </c>
      <c r="Y971" t="b">
        <v>0</v>
      </c>
      <c r="Z971" t="s">
        <v>74</v>
      </c>
      <c r="AA971" t="s">
        <v>53</v>
      </c>
      <c r="AB971">
        <v>5</v>
      </c>
    </row>
    <row r="972" spans="1:28" x14ac:dyDescent="0.25">
      <c r="A972" t="s">
        <v>2003</v>
      </c>
      <c r="B972">
        <v>48</v>
      </c>
      <c r="C972" t="s">
        <v>43</v>
      </c>
      <c r="D972" t="s">
        <v>30</v>
      </c>
      <c r="E972" t="s">
        <v>76</v>
      </c>
      <c r="F972" t="s">
        <v>32</v>
      </c>
      <c r="G972" t="s">
        <v>44</v>
      </c>
      <c r="H972" t="s">
        <v>2004</v>
      </c>
      <c r="I972" t="s">
        <v>142</v>
      </c>
      <c r="J972">
        <v>476.42</v>
      </c>
      <c r="K972">
        <v>7</v>
      </c>
      <c r="L972" t="s">
        <v>48</v>
      </c>
      <c r="M972">
        <v>1</v>
      </c>
      <c r="N972">
        <v>1</v>
      </c>
      <c r="O972">
        <v>1</v>
      </c>
      <c r="P972" t="s">
        <v>44</v>
      </c>
      <c r="Q972" t="s">
        <v>85</v>
      </c>
      <c r="R972">
        <v>0</v>
      </c>
      <c r="S972">
        <v>2</v>
      </c>
      <c r="T972" t="s">
        <v>44</v>
      </c>
      <c r="U972" t="s">
        <v>79</v>
      </c>
      <c r="V972" t="s">
        <v>61</v>
      </c>
      <c r="W972" s="1">
        <v>45544</v>
      </c>
      <c r="X972" t="b">
        <v>1</v>
      </c>
      <c r="Y972" t="b">
        <v>0</v>
      </c>
      <c r="Z972" t="s">
        <v>40</v>
      </c>
      <c r="AA972" t="s">
        <v>53</v>
      </c>
      <c r="AB972">
        <v>2</v>
      </c>
    </row>
    <row r="973" spans="1:28" x14ac:dyDescent="0.25">
      <c r="A973" t="s">
        <v>2005</v>
      </c>
      <c r="B973">
        <v>29</v>
      </c>
      <c r="C973" t="s">
        <v>29</v>
      </c>
      <c r="D973" t="s">
        <v>44</v>
      </c>
      <c r="E973" t="s">
        <v>76</v>
      </c>
      <c r="F973" t="s">
        <v>56</v>
      </c>
      <c r="G973" t="s">
        <v>44</v>
      </c>
      <c r="H973" t="s">
        <v>2006</v>
      </c>
      <c r="I973" t="s">
        <v>188</v>
      </c>
      <c r="J973">
        <v>392.27</v>
      </c>
      <c r="K973">
        <v>5</v>
      </c>
      <c r="L973" t="s">
        <v>35</v>
      </c>
      <c r="M973">
        <v>4</v>
      </c>
      <c r="N973">
        <v>5</v>
      </c>
      <c r="O973">
        <v>1</v>
      </c>
      <c r="P973" t="s">
        <v>44</v>
      </c>
      <c r="Q973" t="s">
        <v>50</v>
      </c>
      <c r="R973">
        <v>0</v>
      </c>
      <c r="S973">
        <v>2</v>
      </c>
      <c r="T973" t="s">
        <v>59</v>
      </c>
      <c r="U973" t="s">
        <v>38</v>
      </c>
      <c r="V973" t="s">
        <v>66</v>
      </c>
      <c r="W973" s="1">
        <v>45490</v>
      </c>
      <c r="X973" t="b">
        <v>1</v>
      </c>
      <c r="Y973" t="b">
        <v>0</v>
      </c>
      <c r="Z973" t="s">
        <v>52</v>
      </c>
      <c r="AA973" t="s">
        <v>41</v>
      </c>
      <c r="AB973">
        <v>7</v>
      </c>
    </row>
    <row r="974" spans="1:28" x14ac:dyDescent="0.25">
      <c r="A974" t="s">
        <v>2007</v>
      </c>
      <c r="B974">
        <v>36</v>
      </c>
      <c r="C974" t="s">
        <v>43</v>
      </c>
      <c r="D974" t="s">
        <v>44</v>
      </c>
      <c r="E974" t="s">
        <v>55</v>
      </c>
      <c r="F974" t="s">
        <v>32</v>
      </c>
      <c r="G974" t="s">
        <v>30</v>
      </c>
      <c r="H974" t="s">
        <v>2008</v>
      </c>
      <c r="I974" t="s">
        <v>107</v>
      </c>
      <c r="J974">
        <v>207.24</v>
      </c>
      <c r="K974">
        <v>9</v>
      </c>
      <c r="L974" t="s">
        <v>78</v>
      </c>
      <c r="M974">
        <v>2</v>
      </c>
      <c r="N974">
        <v>2</v>
      </c>
      <c r="O974">
        <v>0</v>
      </c>
      <c r="P974" t="s">
        <v>59</v>
      </c>
      <c r="Q974" t="s">
        <v>50</v>
      </c>
      <c r="R974">
        <v>0</v>
      </c>
      <c r="S974">
        <v>6</v>
      </c>
      <c r="T974" t="s">
        <v>36</v>
      </c>
      <c r="U974" t="s">
        <v>79</v>
      </c>
      <c r="V974" t="s">
        <v>61</v>
      </c>
      <c r="W974" s="1">
        <v>45424</v>
      </c>
      <c r="X974" t="b">
        <v>1</v>
      </c>
      <c r="Y974" t="b">
        <v>0</v>
      </c>
      <c r="Z974" t="s">
        <v>62</v>
      </c>
      <c r="AA974" t="s">
        <v>41</v>
      </c>
      <c r="AB974">
        <v>3</v>
      </c>
    </row>
    <row r="975" spans="1:28" x14ac:dyDescent="0.25">
      <c r="A975" t="s">
        <v>2009</v>
      </c>
      <c r="B975">
        <v>43</v>
      </c>
      <c r="C975" t="s">
        <v>43</v>
      </c>
      <c r="D975" t="s">
        <v>44</v>
      </c>
      <c r="E975" t="s">
        <v>76</v>
      </c>
      <c r="F975" t="s">
        <v>45</v>
      </c>
      <c r="G975" t="s">
        <v>30</v>
      </c>
      <c r="H975" t="s">
        <v>2010</v>
      </c>
      <c r="I975" t="s">
        <v>34</v>
      </c>
      <c r="J975">
        <v>141.63</v>
      </c>
      <c r="K975">
        <v>3</v>
      </c>
      <c r="L975" t="s">
        <v>78</v>
      </c>
      <c r="M975">
        <v>4</v>
      </c>
      <c r="N975">
        <v>1</v>
      </c>
      <c r="O975">
        <v>1</v>
      </c>
      <c r="P975" t="s">
        <v>36</v>
      </c>
      <c r="Q975" t="s">
        <v>37</v>
      </c>
      <c r="R975">
        <v>1</v>
      </c>
      <c r="S975">
        <v>8</v>
      </c>
      <c r="T975" t="s">
        <v>59</v>
      </c>
      <c r="U975" t="s">
        <v>60</v>
      </c>
      <c r="V975" t="s">
        <v>86</v>
      </c>
      <c r="W975" s="1">
        <v>45576</v>
      </c>
      <c r="X975" t="b">
        <v>1</v>
      </c>
      <c r="Y975" t="b">
        <v>1</v>
      </c>
      <c r="Z975" t="s">
        <v>74</v>
      </c>
      <c r="AA975" t="s">
        <v>67</v>
      </c>
      <c r="AB975">
        <v>11</v>
      </c>
    </row>
    <row r="976" spans="1:28" x14ac:dyDescent="0.25">
      <c r="A976" t="s">
        <v>2011</v>
      </c>
      <c r="B976">
        <v>30</v>
      </c>
      <c r="C976" t="s">
        <v>43</v>
      </c>
      <c r="D976" t="s">
        <v>44</v>
      </c>
      <c r="E976" t="s">
        <v>69</v>
      </c>
      <c r="F976" t="s">
        <v>32</v>
      </c>
      <c r="G976" t="s">
        <v>44</v>
      </c>
      <c r="H976" t="s">
        <v>2012</v>
      </c>
      <c r="I976" t="s">
        <v>65</v>
      </c>
      <c r="J976">
        <v>244.47</v>
      </c>
      <c r="K976">
        <v>5</v>
      </c>
      <c r="L976" t="s">
        <v>78</v>
      </c>
      <c r="M976">
        <v>3</v>
      </c>
      <c r="N976">
        <v>4</v>
      </c>
      <c r="O976">
        <v>1</v>
      </c>
      <c r="P976" t="s">
        <v>44</v>
      </c>
      <c r="Q976" t="s">
        <v>85</v>
      </c>
      <c r="R976">
        <v>1</v>
      </c>
      <c r="S976">
        <v>5</v>
      </c>
      <c r="T976" t="s">
        <v>59</v>
      </c>
      <c r="U976" t="s">
        <v>60</v>
      </c>
      <c r="V976" t="s">
        <v>86</v>
      </c>
      <c r="W976" s="1">
        <v>45466</v>
      </c>
      <c r="X976" t="b">
        <v>0</v>
      </c>
      <c r="Y976" t="b">
        <v>0</v>
      </c>
      <c r="Z976" t="s">
        <v>62</v>
      </c>
      <c r="AA976" t="s">
        <v>41</v>
      </c>
      <c r="AB976">
        <v>4</v>
      </c>
    </row>
    <row r="977" spans="1:28" x14ac:dyDescent="0.25">
      <c r="A977" t="s">
        <v>2013</v>
      </c>
      <c r="B977">
        <v>24</v>
      </c>
      <c r="C977" t="s">
        <v>43</v>
      </c>
      <c r="D977" t="s">
        <v>44</v>
      </c>
      <c r="E977" t="s">
        <v>31</v>
      </c>
      <c r="F977" t="s">
        <v>56</v>
      </c>
      <c r="G977" t="s">
        <v>44</v>
      </c>
      <c r="H977" t="s">
        <v>2014</v>
      </c>
      <c r="I977" t="s">
        <v>34</v>
      </c>
      <c r="J977">
        <v>251.63</v>
      </c>
      <c r="K977">
        <v>9</v>
      </c>
      <c r="L977" t="s">
        <v>78</v>
      </c>
      <c r="M977">
        <v>3</v>
      </c>
      <c r="N977">
        <v>1</v>
      </c>
      <c r="O977">
        <v>0</v>
      </c>
      <c r="P977" t="s">
        <v>59</v>
      </c>
      <c r="Q977" t="s">
        <v>50</v>
      </c>
      <c r="R977">
        <v>0</v>
      </c>
      <c r="S977">
        <v>2</v>
      </c>
      <c r="T977" t="s">
        <v>44</v>
      </c>
      <c r="U977" t="s">
        <v>79</v>
      </c>
      <c r="V977" t="s">
        <v>39</v>
      </c>
      <c r="W977" s="1">
        <v>45527</v>
      </c>
      <c r="X977" t="b">
        <v>1</v>
      </c>
      <c r="Y977" t="b">
        <v>1</v>
      </c>
      <c r="Z977" t="s">
        <v>40</v>
      </c>
      <c r="AA977" t="s">
        <v>67</v>
      </c>
      <c r="AB977">
        <v>10</v>
      </c>
    </row>
    <row r="978" spans="1:28" x14ac:dyDescent="0.25">
      <c r="A978" t="s">
        <v>2015</v>
      </c>
      <c r="B978">
        <v>30</v>
      </c>
      <c r="C978" t="s">
        <v>43</v>
      </c>
      <c r="D978" t="s">
        <v>30</v>
      </c>
      <c r="E978" t="s">
        <v>76</v>
      </c>
      <c r="F978" t="s">
        <v>32</v>
      </c>
      <c r="G978" t="s">
        <v>30</v>
      </c>
      <c r="H978" t="s">
        <v>2016</v>
      </c>
      <c r="I978" t="s">
        <v>126</v>
      </c>
      <c r="J978">
        <v>431.78</v>
      </c>
      <c r="K978">
        <v>12</v>
      </c>
      <c r="L978" t="s">
        <v>78</v>
      </c>
      <c r="M978">
        <v>1</v>
      </c>
      <c r="N978">
        <v>3</v>
      </c>
      <c r="O978">
        <v>1</v>
      </c>
      <c r="P978" t="s">
        <v>49</v>
      </c>
      <c r="Q978" t="s">
        <v>85</v>
      </c>
      <c r="R978">
        <v>1</v>
      </c>
      <c r="S978">
        <v>8</v>
      </c>
      <c r="T978" t="s">
        <v>59</v>
      </c>
      <c r="U978" t="s">
        <v>60</v>
      </c>
      <c r="V978" t="s">
        <v>51</v>
      </c>
      <c r="W978" s="1">
        <v>45337</v>
      </c>
      <c r="X978" t="b">
        <v>1</v>
      </c>
      <c r="Y978" t="b">
        <v>0</v>
      </c>
      <c r="Z978" t="s">
        <v>62</v>
      </c>
      <c r="AA978" t="s">
        <v>41</v>
      </c>
      <c r="AB978">
        <v>7</v>
      </c>
    </row>
    <row r="979" spans="1:28" x14ac:dyDescent="0.25">
      <c r="A979" t="s">
        <v>2017</v>
      </c>
      <c r="B979">
        <v>37</v>
      </c>
      <c r="C979" t="s">
        <v>29</v>
      </c>
      <c r="D979" t="s">
        <v>30</v>
      </c>
      <c r="E979" t="s">
        <v>31</v>
      </c>
      <c r="F979" t="s">
        <v>56</v>
      </c>
      <c r="G979" t="s">
        <v>44</v>
      </c>
      <c r="H979" t="s">
        <v>2018</v>
      </c>
      <c r="I979" t="s">
        <v>246</v>
      </c>
      <c r="J979">
        <v>303.08999999999997</v>
      </c>
      <c r="K979">
        <v>2</v>
      </c>
      <c r="L979" t="s">
        <v>78</v>
      </c>
      <c r="M979">
        <v>2</v>
      </c>
      <c r="N979">
        <v>5</v>
      </c>
      <c r="O979">
        <v>1</v>
      </c>
      <c r="P979" t="s">
        <v>36</v>
      </c>
      <c r="Q979" t="s">
        <v>85</v>
      </c>
      <c r="R979">
        <v>2</v>
      </c>
      <c r="S979">
        <v>9</v>
      </c>
      <c r="T979" t="s">
        <v>36</v>
      </c>
      <c r="U979" t="s">
        <v>38</v>
      </c>
      <c r="V979" t="s">
        <v>66</v>
      </c>
      <c r="W979" s="1">
        <v>45301</v>
      </c>
      <c r="X979" t="b">
        <v>0</v>
      </c>
      <c r="Y979" t="b">
        <v>0</v>
      </c>
      <c r="Z979" t="s">
        <v>62</v>
      </c>
      <c r="AA979" t="s">
        <v>41</v>
      </c>
      <c r="AB979">
        <v>11</v>
      </c>
    </row>
    <row r="980" spans="1:28" x14ac:dyDescent="0.25">
      <c r="A980" t="s">
        <v>2019</v>
      </c>
      <c r="B980">
        <v>40</v>
      </c>
      <c r="C980" t="s">
        <v>43</v>
      </c>
      <c r="D980" t="s">
        <v>44</v>
      </c>
      <c r="E980" t="s">
        <v>31</v>
      </c>
      <c r="F980" t="s">
        <v>32</v>
      </c>
      <c r="G980" t="s">
        <v>44</v>
      </c>
      <c r="H980" t="s">
        <v>2020</v>
      </c>
      <c r="I980" t="s">
        <v>194</v>
      </c>
      <c r="J980">
        <v>341.24</v>
      </c>
      <c r="K980">
        <v>9</v>
      </c>
      <c r="L980" t="s">
        <v>35</v>
      </c>
      <c r="M980">
        <v>5</v>
      </c>
      <c r="N980">
        <v>5</v>
      </c>
      <c r="O980">
        <v>2</v>
      </c>
      <c r="P980" t="s">
        <v>59</v>
      </c>
      <c r="Q980" t="s">
        <v>37</v>
      </c>
      <c r="R980">
        <v>1</v>
      </c>
      <c r="S980">
        <v>3</v>
      </c>
      <c r="T980" t="s">
        <v>36</v>
      </c>
      <c r="U980" t="s">
        <v>38</v>
      </c>
      <c r="V980" t="s">
        <v>39</v>
      </c>
      <c r="W980" s="1">
        <v>45614</v>
      </c>
      <c r="X980" t="b">
        <v>1</v>
      </c>
      <c r="Y980" t="b">
        <v>0</v>
      </c>
      <c r="Z980" t="s">
        <v>40</v>
      </c>
      <c r="AA980" t="s">
        <v>53</v>
      </c>
      <c r="AB980">
        <v>4</v>
      </c>
    </row>
    <row r="981" spans="1:28" x14ac:dyDescent="0.25">
      <c r="A981" t="s">
        <v>2021</v>
      </c>
      <c r="B981">
        <v>30</v>
      </c>
      <c r="C981" t="s">
        <v>29</v>
      </c>
      <c r="D981" t="s">
        <v>30</v>
      </c>
      <c r="E981" t="s">
        <v>76</v>
      </c>
      <c r="F981" t="s">
        <v>56</v>
      </c>
      <c r="G981" t="s">
        <v>44</v>
      </c>
      <c r="H981" t="s">
        <v>2022</v>
      </c>
      <c r="I981" t="s">
        <v>117</v>
      </c>
      <c r="J981">
        <v>211.39</v>
      </c>
      <c r="K981">
        <v>10</v>
      </c>
      <c r="L981" t="s">
        <v>78</v>
      </c>
      <c r="M981">
        <v>4</v>
      </c>
      <c r="N981">
        <v>5</v>
      </c>
      <c r="O981">
        <v>1</v>
      </c>
      <c r="P981" t="s">
        <v>49</v>
      </c>
      <c r="Q981" t="s">
        <v>50</v>
      </c>
      <c r="R981">
        <v>0</v>
      </c>
      <c r="S981">
        <v>1</v>
      </c>
      <c r="T981" t="s">
        <v>59</v>
      </c>
      <c r="U981" t="s">
        <v>79</v>
      </c>
      <c r="V981" t="s">
        <v>66</v>
      </c>
      <c r="W981" s="1">
        <v>45422</v>
      </c>
      <c r="X981" t="b">
        <v>1</v>
      </c>
      <c r="Y981" t="b">
        <v>0</v>
      </c>
      <c r="Z981" t="s">
        <v>74</v>
      </c>
      <c r="AA981" t="s">
        <v>67</v>
      </c>
      <c r="AB981">
        <v>1</v>
      </c>
    </row>
    <row r="982" spans="1:28" x14ac:dyDescent="0.25">
      <c r="A982" t="s">
        <v>2023</v>
      </c>
      <c r="B982">
        <v>39</v>
      </c>
      <c r="C982" t="s">
        <v>29</v>
      </c>
      <c r="D982" t="s">
        <v>30</v>
      </c>
      <c r="E982" t="s">
        <v>31</v>
      </c>
      <c r="F982" t="s">
        <v>32</v>
      </c>
      <c r="G982" t="s">
        <v>30</v>
      </c>
      <c r="H982" t="s">
        <v>1328</v>
      </c>
      <c r="I982" t="s">
        <v>117</v>
      </c>
      <c r="J982">
        <v>379.21</v>
      </c>
      <c r="K982">
        <v>9</v>
      </c>
      <c r="L982" t="s">
        <v>35</v>
      </c>
      <c r="M982">
        <v>1</v>
      </c>
      <c r="N982">
        <v>5</v>
      </c>
      <c r="O982">
        <v>1</v>
      </c>
      <c r="P982" t="s">
        <v>59</v>
      </c>
      <c r="Q982" t="s">
        <v>37</v>
      </c>
      <c r="R982">
        <v>1</v>
      </c>
      <c r="S982">
        <v>1</v>
      </c>
      <c r="T982" t="s">
        <v>44</v>
      </c>
      <c r="U982" t="s">
        <v>60</v>
      </c>
      <c r="V982" t="s">
        <v>51</v>
      </c>
      <c r="W982" s="1">
        <v>45553</v>
      </c>
      <c r="X982" t="b">
        <v>1</v>
      </c>
      <c r="Y982" t="b">
        <v>1</v>
      </c>
      <c r="Z982" t="s">
        <v>62</v>
      </c>
      <c r="AA982" t="s">
        <v>41</v>
      </c>
      <c r="AB982">
        <v>1</v>
      </c>
    </row>
    <row r="983" spans="1:28" x14ac:dyDescent="0.25">
      <c r="A983" t="s">
        <v>2024</v>
      </c>
      <c r="B983">
        <v>46</v>
      </c>
      <c r="C983" t="s">
        <v>29</v>
      </c>
      <c r="D983" t="s">
        <v>44</v>
      </c>
      <c r="E983" t="s">
        <v>69</v>
      </c>
      <c r="F983" t="s">
        <v>56</v>
      </c>
      <c r="G983" t="s">
        <v>44</v>
      </c>
      <c r="H983" t="s">
        <v>2025</v>
      </c>
      <c r="I983" t="s">
        <v>93</v>
      </c>
      <c r="J983">
        <v>309.52999999999997</v>
      </c>
      <c r="K983">
        <v>8</v>
      </c>
      <c r="L983" t="s">
        <v>35</v>
      </c>
      <c r="M983">
        <v>2</v>
      </c>
      <c r="N983">
        <v>1</v>
      </c>
      <c r="O983">
        <v>1</v>
      </c>
      <c r="P983" t="s">
        <v>36</v>
      </c>
      <c r="Q983" t="s">
        <v>85</v>
      </c>
      <c r="R983">
        <v>2</v>
      </c>
      <c r="S983">
        <v>6</v>
      </c>
      <c r="T983" t="s">
        <v>36</v>
      </c>
      <c r="U983" t="s">
        <v>60</v>
      </c>
      <c r="V983" t="s">
        <v>86</v>
      </c>
      <c r="W983" s="1">
        <v>45396</v>
      </c>
      <c r="X983" t="b">
        <v>0</v>
      </c>
      <c r="Y983" t="b">
        <v>1</v>
      </c>
      <c r="Z983" t="s">
        <v>74</v>
      </c>
      <c r="AA983" t="s">
        <v>53</v>
      </c>
      <c r="AB983">
        <v>5</v>
      </c>
    </row>
    <row r="984" spans="1:28" x14ac:dyDescent="0.25">
      <c r="A984" t="s">
        <v>2026</v>
      </c>
      <c r="B984">
        <v>48</v>
      </c>
      <c r="C984" t="s">
        <v>43</v>
      </c>
      <c r="D984" t="s">
        <v>30</v>
      </c>
      <c r="E984" t="s">
        <v>76</v>
      </c>
      <c r="F984" t="s">
        <v>56</v>
      </c>
      <c r="G984" t="s">
        <v>44</v>
      </c>
      <c r="H984" t="s">
        <v>2027</v>
      </c>
      <c r="I984" t="s">
        <v>82</v>
      </c>
      <c r="J984">
        <v>359.45</v>
      </c>
      <c r="K984">
        <v>6</v>
      </c>
      <c r="L984" t="s">
        <v>78</v>
      </c>
      <c r="M984">
        <v>4</v>
      </c>
      <c r="N984">
        <v>1</v>
      </c>
      <c r="O984">
        <v>2</v>
      </c>
      <c r="P984" t="s">
        <v>59</v>
      </c>
      <c r="Q984" t="s">
        <v>50</v>
      </c>
      <c r="R984">
        <v>1</v>
      </c>
      <c r="S984">
        <v>8</v>
      </c>
      <c r="T984" t="s">
        <v>49</v>
      </c>
      <c r="U984" t="s">
        <v>79</v>
      </c>
      <c r="V984" t="s">
        <v>66</v>
      </c>
      <c r="W984" s="1">
        <v>45357</v>
      </c>
      <c r="X984" t="b">
        <v>0</v>
      </c>
      <c r="Y984" t="b">
        <v>0</v>
      </c>
      <c r="Z984" t="s">
        <v>62</v>
      </c>
      <c r="AA984" t="s">
        <v>53</v>
      </c>
      <c r="AB984">
        <v>11</v>
      </c>
    </row>
    <row r="985" spans="1:28" x14ac:dyDescent="0.25">
      <c r="A985" t="s">
        <v>2028</v>
      </c>
      <c r="B985">
        <v>20</v>
      </c>
      <c r="C985" t="s">
        <v>29</v>
      </c>
      <c r="D985" t="s">
        <v>44</v>
      </c>
      <c r="E985" t="s">
        <v>69</v>
      </c>
      <c r="F985" t="s">
        <v>45</v>
      </c>
      <c r="G985" t="s">
        <v>30</v>
      </c>
      <c r="H985" t="s">
        <v>2029</v>
      </c>
      <c r="I985" t="s">
        <v>107</v>
      </c>
      <c r="J985">
        <v>479.62</v>
      </c>
      <c r="K985">
        <v>8</v>
      </c>
      <c r="L985" t="s">
        <v>48</v>
      </c>
      <c r="M985">
        <v>3</v>
      </c>
      <c r="N985">
        <v>1</v>
      </c>
      <c r="O985">
        <v>2</v>
      </c>
      <c r="P985" t="s">
        <v>44</v>
      </c>
      <c r="Q985" t="s">
        <v>50</v>
      </c>
      <c r="R985">
        <v>1</v>
      </c>
      <c r="S985">
        <v>3</v>
      </c>
      <c r="T985" t="s">
        <v>59</v>
      </c>
      <c r="U985" t="s">
        <v>38</v>
      </c>
      <c r="V985" t="s">
        <v>66</v>
      </c>
      <c r="W985" s="1">
        <v>45401</v>
      </c>
      <c r="X985" t="b">
        <v>0</v>
      </c>
      <c r="Y985" t="b">
        <v>0</v>
      </c>
      <c r="Z985" t="s">
        <v>74</v>
      </c>
      <c r="AA985" t="s">
        <v>67</v>
      </c>
      <c r="AB985">
        <v>10</v>
      </c>
    </row>
    <row r="986" spans="1:28" x14ac:dyDescent="0.25">
      <c r="A986" t="s">
        <v>2030</v>
      </c>
      <c r="B986">
        <v>34</v>
      </c>
      <c r="C986" t="s">
        <v>43</v>
      </c>
      <c r="D986" t="s">
        <v>44</v>
      </c>
      <c r="E986" t="s">
        <v>31</v>
      </c>
      <c r="F986" t="s">
        <v>32</v>
      </c>
      <c r="G986" t="s">
        <v>30</v>
      </c>
      <c r="H986" t="s">
        <v>2031</v>
      </c>
      <c r="I986" t="s">
        <v>117</v>
      </c>
      <c r="J986">
        <v>208.6</v>
      </c>
      <c r="K986">
        <v>2</v>
      </c>
      <c r="L986" t="s">
        <v>35</v>
      </c>
      <c r="M986">
        <v>5</v>
      </c>
      <c r="N986">
        <v>1</v>
      </c>
      <c r="O986">
        <v>2</v>
      </c>
      <c r="P986" t="s">
        <v>36</v>
      </c>
      <c r="Q986" t="s">
        <v>37</v>
      </c>
      <c r="R986">
        <v>0</v>
      </c>
      <c r="S986">
        <v>5</v>
      </c>
      <c r="T986" t="s">
        <v>44</v>
      </c>
      <c r="U986" t="s">
        <v>60</v>
      </c>
      <c r="V986" t="s">
        <v>39</v>
      </c>
      <c r="W986" s="1">
        <v>45351</v>
      </c>
      <c r="X986" t="b">
        <v>1</v>
      </c>
      <c r="Y986" t="b">
        <v>1</v>
      </c>
      <c r="Z986" t="s">
        <v>62</v>
      </c>
      <c r="AA986" t="s">
        <v>53</v>
      </c>
      <c r="AB986">
        <v>3</v>
      </c>
    </row>
    <row r="987" spans="1:28" x14ac:dyDescent="0.25">
      <c r="A987" t="s">
        <v>2032</v>
      </c>
      <c r="B987">
        <v>50</v>
      </c>
      <c r="C987" t="s">
        <v>29</v>
      </c>
      <c r="D987" t="s">
        <v>30</v>
      </c>
      <c r="E987" t="s">
        <v>55</v>
      </c>
      <c r="F987" t="s">
        <v>56</v>
      </c>
      <c r="G987" t="s">
        <v>44</v>
      </c>
      <c r="H987" t="s">
        <v>2033</v>
      </c>
      <c r="I987" t="s">
        <v>120</v>
      </c>
      <c r="J987">
        <v>180.21</v>
      </c>
      <c r="K987">
        <v>2</v>
      </c>
      <c r="L987" t="s">
        <v>35</v>
      </c>
      <c r="M987">
        <v>5</v>
      </c>
      <c r="N987">
        <v>5</v>
      </c>
      <c r="O987">
        <v>0</v>
      </c>
      <c r="P987" t="s">
        <v>36</v>
      </c>
      <c r="Q987" t="s">
        <v>85</v>
      </c>
      <c r="R987">
        <v>1</v>
      </c>
      <c r="S987">
        <v>1</v>
      </c>
      <c r="T987" t="s">
        <v>49</v>
      </c>
      <c r="U987" t="s">
        <v>79</v>
      </c>
      <c r="V987" t="s">
        <v>86</v>
      </c>
      <c r="W987" s="1">
        <v>45313</v>
      </c>
      <c r="X987" t="b">
        <v>0</v>
      </c>
      <c r="Y987" t="b">
        <v>1</v>
      </c>
      <c r="Z987" t="s">
        <v>40</v>
      </c>
      <c r="AA987" t="s">
        <v>67</v>
      </c>
      <c r="AB987">
        <v>14</v>
      </c>
    </row>
    <row r="988" spans="1:28" x14ac:dyDescent="0.25">
      <c r="A988" t="s">
        <v>2034</v>
      </c>
      <c r="B988">
        <v>25</v>
      </c>
      <c r="C988" t="s">
        <v>43</v>
      </c>
      <c r="D988" t="s">
        <v>30</v>
      </c>
      <c r="E988" t="s">
        <v>55</v>
      </c>
      <c r="F988" t="s">
        <v>45</v>
      </c>
      <c r="G988" t="s">
        <v>44</v>
      </c>
      <c r="H988" t="s">
        <v>2035</v>
      </c>
      <c r="I988" t="s">
        <v>117</v>
      </c>
      <c r="J988">
        <v>197.9</v>
      </c>
      <c r="K988">
        <v>3</v>
      </c>
      <c r="L988" t="s">
        <v>35</v>
      </c>
      <c r="M988">
        <v>2</v>
      </c>
      <c r="N988">
        <v>1</v>
      </c>
      <c r="O988">
        <v>2</v>
      </c>
      <c r="P988" t="s">
        <v>49</v>
      </c>
      <c r="Q988" t="s">
        <v>50</v>
      </c>
      <c r="R988">
        <v>0</v>
      </c>
      <c r="S988">
        <v>8</v>
      </c>
      <c r="T988" t="s">
        <v>44</v>
      </c>
      <c r="U988" t="s">
        <v>79</v>
      </c>
      <c r="V988" t="s">
        <v>61</v>
      </c>
      <c r="W988" s="1">
        <v>45309</v>
      </c>
      <c r="X988" t="b">
        <v>1</v>
      </c>
      <c r="Y988" t="b">
        <v>1</v>
      </c>
      <c r="Z988" t="s">
        <v>52</v>
      </c>
      <c r="AA988" t="s">
        <v>53</v>
      </c>
      <c r="AB988">
        <v>14</v>
      </c>
    </row>
    <row r="989" spans="1:28" x14ac:dyDescent="0.25">
      <c r="A989" t="s">
        <v>2036</v>
      </c>
      <c r="B989">
        <v>49</v>
      </c>
      <c r="C989" t="s">
        <v>43</v>
      </c>
      <c r="D989" t="s">
        <v>30</v>
      </c>
      <c r="E989" t="s">
        <v>55</v>
      </c>
      <c r="F989" t="s">
        <v>32</v>
      </c>
      <c r="G989" t="s">
        <v>44</v>
      </c>
      <c r="H989" t="s">
        <v>2037</v>
      </c>
      <c r="I989" t="s">
        <v>65</v>
      </c>
      <c r="J989">
        <v>362.3</v>
      </c>
      <c r="K989">
        <v>7</v>
      </c>
      <c r="L989" t="s">
        <v>78</v>
      </c>
      <c r="M989">
        <v>4</v>
      </c>
      <c r="N989">
        <v>2</v>
      </c>
      <c r="O989">
        <v>0.2</v>
      </c>
      <c r="P989" t="s">
        <v>59</v>
      </c>
      <c r="Q989" t="s">
        <v>50</v>
      </c>
      <c r="R989">
        <v>0</v>
      </c>
      <c r="S989">
        <v>4</v>
      </c>
      <c r="T989" t="s">
        <v>59</v>
      </c>
      <c r="U989" t="s">
        <v>38</v>
      </c>
      <c r="V989" t="s">
        <v>66</v>
      </c>
      <c r="W989" s="1">
        <v>45565</v>
      </c>
      <c r="X989" t="b">
        <v>1</v>
      </c>
      <c r="Y989" t="b">
        <v>1</v>
      </c>
      <c r="Z989" t="s">
        <v>74</v>
      </c>
      <c r="AA989" t="s">
        <v>53</v>
      </c>
      <c r="AB989">
        <v>6</v>
      </c>
    </row>
    <row r="990" spans="1:28" x14ac:dyDescent="0.25">
      <c r="A990" t="s">
        <v>2038</v>
      </c>
      <c r="B990">
        <v>25</v>
      </c>
      <c r="C990" t="s">
        <v>29</v>
      </c>
      <c r="D990" t="s">
        <v>44</v>
      </c>
      <c r="E990" t="s">
        <v>76</v>
      </c>
      <c r="F990" t="s">
        <v>32</v>
      </c>
      <c r="G990" t="s">
        <v>44</v>
      </c>
      <c r="H990" t="s">
        <v>2039</v>
      </c>
      <c r="I990" t="s">
        <v>142</v>
      </c>
      <c r="J990">
        <v>159.53</v>
      </c>
      <c r="K990">
        <v>11</v>
      </c>
      <c r="L990" t="s">
        <v>35</v>
      </c>
      <c r="M990">
        <v>3</v>
      </c>
      <c r="N990">
        <v>4</v>
      </c>
      <c r="O990">
        <v>2</v>
      </c>
      <c r="P990" t="s">
        <v>59</v>
      </c>
      <c r="Q990" t="s">
        <v>85</v>
      </c>
      <c r="R990">
        <v>0</v>
      </c>
      <c r="S990">
        <v>3</v>
      </c>
      <c r="T990" t="s">
        <v>59</v>
      </c>
      <c r="U990" t="s">
        <v>79</v>
      </c>
      <c r="V990" t="s">
        <v>86</v>
      </c>
      <c r="W990" s="1">
        <v>45409</v>
      </c>
      <c r="X990" t="b">
        <v>1</v>
      </c>
      <c r="Y990" t="b">
        <v>1</v>
      </c>
      <c r="Z990" t="s">
        <v>62</v>
      </c>
      <c r="AA990" t="s">
        <v>67</v>
      </c>
      <c r="AB990">
        <v>7</v>
      </c>
    </row>
    <row r="991" spans="1:28" x14ac:dyDescent="0.25">
      <c r="A991" t="s">
        <v>2040</v>
      </c>
      <c r="B991">
        <v>40</v>
      </c>
      <c r="C991" t="s">
        <v>29</v>
      </c>
      <c r="D991" t="s">
        <v>44</v>
      </c>
      <c r="E991" t="s">
        <v>69</v>
      </c>
      <c r="F991" t="s">
        <v>45</v>
      </c>
      <c r="G991" t="s">
        <v>44</v>
      </c>
      <c r="H991" t="s">
        <v>2041</v>
      </c>
      <c r="I991" t="s">
        <v>246</v>
      </c>
      <c r="J991">
        <v>149.52000000000001</v>
      </c>
      <c r="K991">
        <v>9</v>
      </c>
      <c r="L991" t="s">
        <v>48</v>
      </c>
      <c r="M991">
        <v>2</v>
      </c>
      <c r="N991">
        <v>5</v>
      </c>
      <c r="O991">
        <v>1</v>
      </c>
      <c r="P991" t="s">
        <v>36</v>
      </c>
      <c r="Q991" t="s">
        <v>37</v>
      </c>
      <c r="R991">
        <v>0</v>
      </c>
      <c r="S991">
        <v>6</v>
      </c>
      <c r="T991" t="s">
        <v>36</v>
      </c>
      <c r="U991" t="s">
        <v>60</v>
      </c>
      <c r="V991" t="s">
        <v>86</v>
      </c>
      <c r="W991" s="1">
        <v>45361</v>
      </c>
      <c r="X991" t="b">
        <v>0</v>
      </c>
      <c r="Y991" t="b">
        <v>0</v>
      </c>
      <c r="Z991" t="s">
        <v>52</v>
      </c>
      <c r="AA991" t="s">
        <v>41</v>
      </c>
      <c r="AB991">
        <v>8</v>
      </c>
    </row>
    <row r="992" spans="1:28" x14ac:dyDescent="0.25">
      <c r="A992" t="s">
        <v>2042</v>
      </c>
      <c r="B992">
        <v>19</v>
      </c>
      <c r="C992" t="s">
        <v>29</v>
      </c>
      <c r="D992" t="s">
        <v>44</v>
      </c>
      <c r="E992" t="s">
        <v>69</v>
      </c>
      <c r="F992" t="s">
        <v>32</v>
      </c>
      <c r="G992" t="s">
        <v>44</v>
      </c>
      <c r="H992" t="s">
        <v>2043</v>
      </c>
      <c r="I992" t="s">
        <v>126</v>
      </c>
      <c r="J992">
        <v>206.32</v>
      </c>
      <c r="K992">
        <v>5</v>
      </c>
      <c r="L992" t="s">
        <v>78</v>
      </c>
      <c r="M992">
        <v>3</v>
      </c>
      <c r="N992">
        <v>3</v>
      </c>
      <c r="O992">
        <v>1</v>
      </c>
      <c r="P992" t="s">
        <v>59</v>
      </c>
      <c r="Q992" t="s">
        <v>50</v>
      </c>
      <c r="R992">
        <v>0</v>
      </c>
      <c r="S992">
        <v>4</v>
      </c>
      <c r="T992" t="s">
        <v>36</v>
      </c>
      <c r="U992" t="s">
        <v>79</v>
      </c>
      <c r="V992" t="s">
        <v>51</v>
      </c>
      <c r="W992" s="1">
        <v>45577</v>
      </c>
      <c r="X992" t="b">
        <v>1</v>
      </c>
      <c r="Y992" t="b">
        <v>0</v>
      </c>
      <c r="Z992" t="s">
        <v>52</v>
      </c>
      <c r="AA992" t="s">
        <v>67</v>
      </c>
      <c r="AB992">
        <v>12</v>
      </c>
    </row>
    <row r="993" spans="1:28" x14ac:dyDescent="0.25">
      <c r="A993" t="s">
        <v>2044</v>
      </c>
      <c r="B993">
        <v>40</v>
      </c>
      <c r="C993" t="s">
        <v>88</v>
      </c>
      <c r="D993" t="s">
        <v>44</v>
      </c>
      <c r="E993" t="s">
        <v>55</v>
      </c>
      <c r="F993" t="s">
        <v>32</v>
      </c>
      <c r="G993" t="s">
        <v>44</v>
      </c>
      <c r="H993" t="s">
        <v>2045</v>
      </c>
      <c r="I993" t="s">
        <v>123</v>
      </c>
      <c r="J993">
        <v>308.58</v>
      </c>
      <c r="K993">
        <v>11</v>
      </c>
      <c r="L993" t="s">
        <v>78</v>
      </c>
      <c r="M993">
        <v>2</v>
      </c>
      <c r="N993">
        <v>5</v>
      </c>
      <c r="O993">
        <v>2</v>
      </c>
      <c r="P993" t="s">
        <v>49</v>
      </c>
      <c r="Q993" t="s">
        <v>50</v>
      </c>
      <c r="R993">
        <v>0</v>
      </c>
      <c r="S993">
        <v>7</v>
      </c>
      <c r="T993" t="s">
        <v>49</v>
      </c>
      <c r="U993" t="s">
        <v>60</v>
      </c>
      <c r="V993" t="s">
        <v>61</v>
      </c>
      <c r="W993" s="1">
        <v>45433</v>
      </c>
      <c r="X993" t="b">
        <v>0</v>
      </c>
      <c r="Y993" t="b">
        <v>1</v>
      </c>
      <c r="Z993" t="s">
        <v>40</v>
      </c>
      <c r="AA993" t="s">
        <v>67</v>
      </c>
      <c r="AB993">
        <v>12</v>
      </c>
    </row>
    <row r="994" spans="1:28" x14ac:dyDescent="0.25">
      <c r="A994" t="s">
        <v>2046</v>
      </c>
      <c r="B994">
        <v>22</v>
      </c>
      <c r="C994" t="s">
        <v>29</v>
      </c>
      <c r="D994" t="s">
        <v>44</v>
      </c>
      <c r="E994" t="s">
        <v>55</v>
      </c>
      <c r="F994" t="s">
        <v>45</v>
      </c>
      <c r="G994" t="s">
        <v>30</v>
      </c>
      <c r="H994" t="s">
        <v>2047</v>
      </c>
      <c r="I994" t="s">
        <v>158</v>
      </c>
      <c r="J994">
        <v>91.34</v>
      </c>
      <c r="K994">
        <v>5</v>
      </c>
      <c r="L994" t="s">
        <v>78</v>
      </c>
      <c r="M994">
        <v>2</v>
      </c>
      <c r="N994">
        <v>1</v>
      </c>
      <c r="O994">
        <v>1</v>
      </c>
      <c r="P994" t="s">
        <v>36</v>
      </c>
      <c r="Q994" t="s">
        <v>50</v>
      </c>
      <c r="R994">
        <v>0</v>
      </c>
      <c r="S994">
        <v>1</v>
      </c>
      <c r="T994" t="s">
        <v>36</v>
      </c>
      <c r="U994" t="s">
        <v>60</v>
      </c>
      <c r="V994" t="s">
        <v>61</v>
      </c>
      <c r="W994" s="1">
        <v>45301</v>
      </c>
      <c r="X994" t="b">
        <v>1</v>
      </c>
      <c r="Y994" t="b">
        <v>1</v>
      </c>
      <c r="Z994" t="s">
        <v>62</v>
      </c>
      <c r="AA994" t="s">
        <v>67</v>
      </c>
      <c r="AB994">
        <v>6</v>
      </c>
    </row>
    <row r="995" spans="1:28" x14ac:dyDescent="0.25">
      <c r="A995" t="s">
        <v>2048</v>
      </c>
      <c r="B995">
        <v>25</v>
      </c>
      <c r="C995" t="s">
        <v>29</v>
      </c>
      <c r="D995" t="s">
        <v>44</v>
      </c>
      <c r="E995" t="s">
        <v>76</v>
      </c>
      <c r="F995" t="s">
        <v>45</v>
      </c>
      <c r="G995" t="s">
        <v>30</v>
      </c>
      <c r="H995" t="s">
        <v>2049</v>
      </c>
      <c r="I995" t="s">
        <v>98</v>
      </c>
      <c r="J995">
        <v>455.44</v>
      </c>
      <c r="K995">
        <v>7</v>
      </c>
      <c r="L995" t="s">
        <v>35</v>
      </c>
      <c r="M995">
        <v>4</v>
      </c>
      <c r="N995">
        <v>2</v>
      </c>
      <c r="O995">
        <v>1</v>
      </c>
      <c r="P995" t="s">
        <v>59</v>
      </c>
      <c r="Q995" t="s">
        <v>85</v>
      </c>
      <c r="R995">
        <v>2</v>
      </c>
      <c r="S995">
        <v>3</v>
      </c>
      <c r="T995" t="s">
        <v>59</v>
      </c>
      <c r="U995" t="s">
        <v>60</v>
      </c>
      <c r="V995" t="s">
        <v>66</v>
      </c>
      <c r="W995" s="1">
        <v>45419</v>
      </c>
      <c r="X995" t="b">
        <v>0</v>
      </c>
      <c r="Y995" t="b">
        <v>0</v>
      </c>
      <c r="Z995" t="s">
        <v>40</v>
      </c>
      <c r="AA995" t="s">
        <v>41</v>
      </c>
      <c r="AB995">
        <v>3</v>
      </c>
    </row>
    <row r="996" spans="1:28" x14ac:dyDescent="0.25">
      <c r="A996" t="s">
        <v>2050</v>
      </c>
      <c r="B996">
        <v>32</v>
      </c>
      <c r="C996" t="s">
        <v>29</v>
      </c>
      <c r="D996" t="s">
        <v>44</v>
      </c>
      <c r="E996" t="s">
        <v>76</v>
      </c>
      <c r="F996" t="s">
        <v>56</v>
      </c>
      <c r="G996" t="s">
        <v>30</v>
      </c>
      <c r="H996" t="s">
        <v>2051</v>
      </c>
      <c r="I996" t="s">
        <v>123</v>
      </c>
      <c r="J996">
        <v>468.16</v>
      </c>
      <c r="K996">
        <v>8</v>
      </c>
      <c r="L996" t="s">
        <v>78</v>
      </c>
      <c r="M996">
        <v>3</v>
      </c>
      <c r="N996">
        <v>5</v>
      </c>
      <c r="O996">
        <v>1</v>
      </c>
      <c r="P996" t="s">
        <v>59</v>
      </c>
      <c r="Q996" t="s">
        <v>37</v>
      </c>
      <c r="R996">
        <v>1</v>
      </c>
      <c r="S996">
        <v>5</v>
      </c>
      <c r="T996" t="s">
        <v>44</v>
      </c>
      <c r="U996" t="s">
        <v>79</v>
      </c>
      <c r="V996" t="s">
        <v>39</v>
      </c>
      <c r="W996" s="1">
        <v>45313</v>
      </c>
      <c r="X996" t="b">
        <v>0</v>
      </c>
      <c r="Y996" t="b">
        <v>0</v>
      </c>
      <c r="Z996" t="s">
        <v>74</v>
      </c>
      <c r="AA996" t="s">
        <v>53</v>
      </c>
      <c r="AB996">
        <v>2</v>
      </c>
    </row>
    <row r="997" spans="1:28" x14ac:dyDescent="0.25">
      <c r="A997" t="s">
        <v>2052</v>
      </c>
      <c r="B997">
        <v>44</v>
      </c>
      <c r="C997" t="s">
        <v>29</v>
      </c>
      <c r="D997" t="s">
        <v>44</v>
      </c>
      <c r="E997" t="s">
        <v>76</v>
      </c>
      <c r="F997" t="s">
        <v>32</v>
      </c>
      <c r="G997" t="s">
        <v>44</v>
      </c>
      <c r="H997" t="s">
        <v>2053</v>
      </c>
      <c r="I997" t="s">
        <v>93</v>
      </c>
      <c r="J997">
        <v>463.67</v>
      </c>
      <c r="K997">
        <v>5</v>
      </c>
      <c r="L997" t="s">
        <v>78</v>
      </c>
      <c r="M997">
        <v>2</v>
      </c>
      <c r="N997">
        <v>4</v>
      </c>
      <c r="O997">
        <v>0.3</v>
      </c>
      <c r="P997" t="s">
        <v>44</v>
      </c>
      <c r="Q997" t="s">
        <v>50</v>
      </c>
      <c r="R997">
        <v>2</v>
      </c>
      <c r="S997">
        <v>4</v>
      </c>
      <c r="T997" t="s">
        <v>36</v>
      </c>
      <c r="U997" t="s">
        <v>38</v>
      </c>
      <c r="V997" t="s">
        <v>51</v>
      </c>
      <c r="W997" s="1">
        <v>45480</v>
      </c>
      <c r="X997" t="b">
        <v>1</v>
      </c>
      <c r="Y997" t="b">
        <v>0</v>
      </c>
      <c r="Z997" t="s">
        <v>40</v>
      </c>
      <c r="AA997" t="s">
        <v>53</v>
      </c>
      <c r="AB997">
        <v>5</v>
      </c>
    </row>
    <row r="998" spans="1:28" x14ac:dyDescent="0.25">
      <c r="A998" t="s">
        <v>2054</v>
      </c>
      <c r="B998">
        <v>50</v>
      </c>
      <c r="C998" t="s">
        <v>29</v>
      </c>
      <c r="D998" t="s">
        <v>44</v>
      </c>
      <c r="E998" t="s">
        <v>55</v>
      </c>
      <c r="F998" t="s">
        <v>45</v>
      </c>
      <c r="G998" t="s">
        <v>30</v>
      </c>
      <c r="H998" t="s">
        <v>2055</v>
      </c>
      <c r="I998" t="s">
        <v>34</v>
      </c>
      <c r="J998">
        <v>69.78</v>
      </c>
      <c r="K998">
        <v>9</v>
      </c>
      <c r="L998" t="s">
        <v>35</v>
      </c>
      <c r="M998">
        <v>4</v>
      </c>
      <c r="N998">
        <v>3</v>
      </c>
      <c r="O998">
        <v>2</v>
      </c>
      <c r="P998" t="s">
        <v>59</v>
      </c>
      <c r="Q998" t="s">
        <v>85</v>
      </c>
      <c r="R998">
        <v>0</v>
      </c>
      <c r="S998">
        <v>6</v>
      </c>
      <c r="T998" t="s">
        <v>59</v>
      </c>
      <c r="U998" t="s">
        <v>38</v>
      </c>
      <c r="V998" t="s">
        <v>86</v>
      </c>
      <c r="W998" s="1">
        <v>45379</v>
      </c>
      <c r="X998" t="b">
        <v>1</v>
      </c>
      <c r="Y998" t="b">
        <v>0</v>
      </c>
      <c r="Z998" t="s">
        <v>52</v>
      </c>
      <c r="AA998" t="s">
        <v>41</v>
      </c>
      <c r="AB998">
        <v>9</v>
      </c>
    </row>
    <row r="999" spans="1:28" x14ac:dyDescent="0.25">
      <c r="A999" t="s">
        <v>2056</v>
      </c>
      <c r="B999">
        <v>26</v>
      </c>
      <c r="C999" t="s">
        <v>43</v>
      </c>
      <c r="D999" t="s">
        <v>44</v>
      </c>
      <c r="E999" t="s">
        <v>31</v>
      </c>
      <c r="F999" t="s">
        <v>32</v>
      </c>
      <c r="G999" t="s">
        <v>44</v>
      </c>
      <c r="H999" t="s">
        <v>2057</v>
      </c>
      <c r="I999" t="s">
        <v>47</v>
      </c>
      <c r="J999">
        <v>453.37</v>
      </c>
      <c r="K999">
        <v>10</v>
      </c>
      <c r="L999" t="s">
        <v>35</v>
      </c>
      <c r="M999">
        <v>1</v>
      </c>
      <c r="N999">
        <v>1</v>
      </c>
      <c r="O999">
        <v>2</v>
      </c>
      <c r="P999" t="s">
        <v>59</v>
      </c>
      <c r="Q999" t="s">
        <v>85</v>
      </c>
      <c r="R999">
        <v>0</v>
      </c>
      <c r="S999">
        <v>6</v>
      </c>
      <c r="T999" t="s">
        <v>44</v>
      </c>
      <c r="U999" t="s">
        <v>79</v>
      </c>
      <c r="V999" t="s">
        <v>39</v>
      </c>
      <c r="W999" s="1">
        <v>45362</v>
      </c>
      <c r="X999" t="b">
        <v>1</v>
      </c>
      <c r="Y999" t="b">
        <v>1</v>
      </c>
      <c r="Z999" t="s">
        <v>52</v>
      </c>
      <c r="AA999" t="s">
        <v>67</v>
      </c>
      <c r="AB999">
        <v>9</v>
      </c>
    </row>
    <row r="1000" spans="1:28" x14ac:dyDescent="0.25">
      <c r="A1000" t="s">
        <v>2058</v>
      </c>
      <c r="B1000">
        <v>21</v>
      </c>
      <c r="C1000" t="s">
        <v>29</v>
      </c>
      <c r="D1000" t="s">
        <v>44</v>
      </c>
      <c r="E1000" t="s">
        <v>69</v>
      </c>
      <c r="F1000" t="s">
        <v>32</v>
      </c>
      <c r="G1000" t="s">
        <v>30</v>
      </c>
      <c r="H1000" t="s">
        <v>2059</v>
      </c>
      <c r="I1000" t="s">
        <v>123</v>
      </c>
      <c r="J1000">
        <v>106.15</v>
      </c>
      <c r="K1000">
        <v>12</v>
      </c>
      <c r="L1000" t="s">
        <v>48</v>
      </c>
      <c r="M1000">
        <v>4</v>
      </c>
      <c r="N1000">
        <v>4</v>
      </c>
      <c r="O1000">
        <v>0.3</v>
      </c>
      <c r="P1000" t="s">
        <v>59</v>
      </c>
      <c r="Q1000" t="s">
        <v>37</v>
      </c>
      <c r="R1000">
        <v>0</v>
      </c>
      <c r="S1000">
        <v>5</v>
      </c>
      <c r="T1000" t="s">
        <v>49</v>
      </c>
      <c r="U1000" t="s">
        <v>79</v>
      </c>
      <c r="V1000" t="s">
        <v>86</v>
      </c>
      <c r="W1000" s="1">
        <v>45381</v>
      </c>
      <c r="X1000" t="b">
        <v>1</v>
      </c>
      <c r="Y1000" t="b">
        <v>1</v>
      </c>
      <c r="Z1000" t="s">
        <v>62</v>
      </c>
      <c r="AA1000" t="s">
        <v>53</v>
      </c>
      <c r="AB1000">
        <v>8</v>
      </c>
    </row>
    <row r="1001" spans="1:28" x14ac:dyDescent="0.25">
      <c r="A1001" t="s">
        <v>2060</v>
      </c>
      <c r="B1001">
        <v>21</v>
      </c>
      <c r="C1001" t="s">
        <v>29</v>
      </c>
      <c r="D1001" t="s">
        <v>30</v>
      </c>
      <c r="E1001" t="s">
        <v>55</v>
      </c>
      <c r="F1001" t="s">
        <v>45</v>
      </c>
      <c r="G1001" t="s">
        <v>44</v>
      </c>
      <c r="H1001" t="s">
        <v>2061</v>
      </c>
      <c r="I1001" t="s">
        <v>104</v>
      </c>
      <c r="J1001">
        <v>378.47</v>
      </c>
      <c r="K1001">
        <v>6</v>
      </c>
      <c r="L1001" t="s">
        <v>78</v>
      </c>
      <c r="M1001">
        <v>5</v>
      </c>
      <c r="N1001">
        <v>2</v>
      </c>
      <c r="O1001">
        <v>0.33</v>
      </c>
      <c r="P1001" t="s">
        <v>49</v>
      </c>
      <c r="Q1001" t="s">
        <v>50</v>
      </c>
      <c r="R1001">
        <v>1</v>
      </c>
      <c r="S1001">
        <v>10</v>
      </c>
      <c r="T1001" t="s">
        <v>59</v>
      </c>
      <c r="U1001" t="s">
        <v>38</v>
      </c>
      <c r="V1001" t="s">
        <v>66</v>
      </c>
      <c r="W1001" s="1">
        <v>45634</v>
      </c>
      <c r="X1001" t="b">
        <v>0</v>
      </c>
      <c r="Y1001" t="b">
        <v>0</v>
      </c>
      <c r="Z1001" t="s">
        <v>74</v>
      </c>
      <c r="AA1001" t="s">
        <v>67</v>
      </c>
      <c r="AB100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2DE4F-8E01-4CBD-A6AD-F57D7549FC48}">
  <sheetPr codeName="Sheet2"/>
  <dimension ref="A1:AK1001"/>
  <sheetViews>
    <sheetView topLeftCell="V1" zoomScale="102" workbookViewId="0">
      <selection activeCell="AK10" sqref="AK10"/>
    </sheetView>
  </sheetViews>
  <sheetFormatPr defaultRowHeight="15" x14ac:dyDescent="0.25"/>
  <cols>
    <col min="1" max="24" width="17.7109375" customWidth="1"/>
    <col min="25" max="25" width="22" customWidth="1"/>
    <col min="26" max="28" width="17.7109375" customWidth="1"/>
    <col min="29" max="29" width="14" customWidth="1"/>
    <col min="30" max="30" width="10.85546875" customWidth="1"/>
    <col min="31" max="31" width="14.85546875" customWidth="1"/>
  </cols>
  <sheetData>
    <row r="1" spans="1:37"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2062</v>
      </c>
      <c r="AD1" s="2" t="s">
        <v>2063</v>
      </c>
      <c r="AE1" s="2" t="s">
        <v>2064</v>
      </c>
      <c r="AG1" s="4" t="s">
        <v>2065</v>
      </c>
      <c r="AI1" t="s">
        <v>2066</v>
      </c>
    </row>
    <row r="2" spans="1:37" x14ac:dyDescent="0.25">
      <c r="A2" s="2" t="s">
        <v>28</v>
      </c>
      <c r="B2" s="2">
        <v>22</v>
      </c>
      <c r="C2" s="2" t="s">
        <v>29</v>
      </c>
      <c r="D2" s="2" t="s">
        <v>30</v>
      </c>
      <c r="E2" s="2" t="s">
        <v>31</v>
      </c>
      <c r="F2" s="2" t="s">
        <v>32</v>
      </c>
      <c r="G2" s="2" t="s">
        <v>30</v>
      </c>
      <c r="H2" s="2" t="s">
        <v>33</v>
      </c>
      <c r="I2" s="2" t="s">
        <v>34</v>
      </c>
      <c r="J2" s="2">
        <v>333.8</v>
      </c>
      <c r="K2" s="2">
        <v>4</v>
      </c>
      <c r="L2" s="2" t="s">
        <v>35</v>
      </c>
      <c r="M2" s="2">
        <v>5</v>
      </c>
      <c r="N2" s="2">
        <v>5</v>
      </c>
      <c r="O2" s="2">
        <v>2</v>
      </c>
      <c r="P2" s="2" t="s">
        <v>36</v>
      </c>
      <c r="Q2" s="2" t="s">
        <v>37</v>
      </c>
      <c r="R2" s="2">
        <v>1</v>
      </c>
      <c r="S2" s="2">
        <v>7</v>
      </c>
      <c r="T2" s="2" t="s">
        <v>36</v>
      </c>
      <c r="U2" s="2" t="s">
        <v>38</v>
      </c>
      <c r="V2" s="2" t="s">
        <v>39</v>
      </c>
      <c r="W2" s="3">
        <v>45352</v>
      </c>
      <c r="X2" s="2" t="b">
        <v>1</v>
      </c>
      <c r="Y2" s="2" t="b">
        <v>0</v>
      </c>
      <c r="Z2" s="2" t="s">
        <v>40</v>
      </c>
      <c r="AA2" s="2" t="s">
        <v>41</v>
      </c>
      <c r="AB2" s="2">
        <v>2</v>
      </c>
      <c r="AC2" s="2">
        <f>SUMIF(N:N,Ecommerce_Consumer_Behavior_Analysis_Data3[[#This Row],[Brand_Loyalty]],M:M)</f>
        <v>641</v>
      </c>
      <c r="AD2" s="2" t="e" cm="1" vm="1">
        <f t="array" aca="1" ref="AD2" ca="1">SUMIFS(Y:Y,Ecommerce_Consumer_Behavior_Analysis_Data3[[#This Row],[Payment_Method]],V:V)</f>
        <v>#VALUE!</v>
      </c>
      <c r="AE2" s="2">
        <f t="shared" ref="AE2:AE65" si="0">INDEX(J:J,MATCH(O3,O:O,0))</f>
        <v>333.8</v>
      </c>
      <c r="AG2">
        <f>VLOOKUP(C3,C1:Q212,8,0)</f>
        <v>222.22</v>
      </c>
    </row>
    <row r="3" spans="1:37" x14ac:dyDescent="0.25">
      <c r="A3" s="2" t="s">
        <v>42</v>
      </c>
      <c r="B3" s="2">
        <v>49</v>
      </c>
      <c r="C3" s="2" t="s">
        <v>43</v>
      </c>
      <c r="D3" s="2" t="s">
        <v>44</v>
      </c>
      <c r="E3" s="2" t="s">
        <v>31</v>
      </c>
      <c r="F3" s="2" t="s">
        <v>45</v>
      </c>
      <c r="G3" s="2" t="s">
        <v>44</v>
      </c>
      <c r="H3" s="2" t="s">
        <v>46</v>
      </c>
      <c r="I3" s="2" t="s">
        <v>47</v>
      </c>
      <c r="J3" s="2">
        <v>222.22</v>
      </c>
      <c r="K3" s="2">
        <v>11</v>
      </c>
      <c r="L3" s="2" t="s">
        <v>48</v>
      </c>
      <c r="M3" s="2">
        <v>3</v>
      </c>
      <c r="N3" s="2">
        <v>1</v>
      </c>
      <c r="O3" s="2">
        <v>2</v>
      </c>
      <c r="P3" s="2" t="s">
        <v>49</v>
      </c>
      <c r="Q3" s="2" t="s">
        <v>50</v>
      </c>
      <c r="R3" s="2">
        <v>1</v>
      </c>
      <c r="S3" s="2">
        <v>5</v>
      </c>
      <c r="T3" s="2" t="s">
        <v>44</v>
      </c>
      <c r="U3" s="2" t="s">
        <v>38</v>
      </c>
      <c r="V3" s="2" t="s">
        <v>51</v>
      </c>
      <c r="W3" s="3">
        <v>45398</v>
      </c>
      <c r="X3" s="2" t="b">
        <v>1</v>
      </c>
      <c r="Y3" s="2" t="b">
        <v>0</v>
      </c>
      <c r="Z3" s="2" t="s">
        <v>52</v>
      </c>
      <c r="AA3" s="2" t="s">
        <v>53</v>
      </c>
      <c r="AB3" s="2">
        <v>6</v>
      </c>
      <c r="AC3" s="2">
        <f>SUMIF(N:N,Ecommerce_Consumer_Behavior_Analysis_Data3[[#This Row],[Brand_Loyalty]],M:M)</f>
        <v>597</v>
      </c>
      <c r="AD3" s="2" t="e" cm="1" vm="1">
        <f t="array" aca="1" ref="AD3" ca="1">SUMIFS(Y:Y,Ecommerce_Consumer_Behavior_Analysis_Data3[[#This Row],[Payment_Method]],V:V)</f>
        <v>#VALUE!</v>
      </c>
      <c r="AE3" s="2">
        <f t="shared" si="0"/>
        <v>426.22</v>
      </c>
      <c r="AG3">
        <f t="shared" ref="AG3:AG66" si="1">VLOOKUP(C4,C2:Q213,8,0)</f>
        <v>333.8</v>
      </c>
      <c r="AJ3" s="11" t="s">
        <v>2067</v>
      </c>
      <c r="AK3" s="11">
        <f>SUM(K:K)</f>
        <v>6945</v>
      </c>
    </row>
    <row r="4" spans="1:37" x14ac:dyDescent="0.25">
      <c r="A4" s="2" t="s">
        <v>54</v>
      </c>
      <c r="B4" s="2">
        <v>24</v>
      </c>
      <c r="C4" s="2" t="s">
        <v>29</v>
      </c>
      <c r="D4" s="2" t="s">
        <v>30</v>
      </c>
      <c r="E4" s="2" t="s">
        <v>55</v>
      </c>
      <c r="F4" s="2" t="s">
        <v>56</v>
      </c>
      <c r="G4" s="2" t="s">
        <v>44</v>
      </c>
      <c r="H4" s="2" t="s">
        <v>57</v>
      </c>
      <c r="I4" s="2" t="s">
        <v>58</v>
      </c>
      <c r="J4" s="2">
        <v>426.22</v>
      </c>
      <c r="K4" s="2">
        <v>2</v>
      </c>
      <c r="L4" s="2" t="s">
        <v>35</v>
      </c>
      <c r="M4" s="2">
        <v>5</v>
      </c>
      <c r="N4" s="2">
        <v>5</v>
      </c>
      <c r="O4" s="2">
        <v>0.3</v>
      </c>
      <c r="P4" s="2" t="s">
        <v>59</v>
      </c>
      <c r="Q4" s="2" t="s">
        <v>50</v>
      </c>
      <c r="R4" s="2">
        <v>1</v>
      </c>
      <c r="S4" s="2">
        <v>7</v>
      </c>
      <c r="T4" s="2" t="s">
        <v>59</v>
      </c>
      <c r="U4" s="2" t="s">
        <v>60</v>
      </c>
      <c r="V4" s="2" t="s">
        <v>61</v>
      </c>
      <c r="W4" s="3">
        <v>45366</v>
      </c>
      <c r="X4" s="2" t="b">
        <v>1</v>
      </c>
      <c r="Y4" s="2" t="b">
        <v>1</v>
      </c>
      <c r="Z4" s="2" t="s">
        <v>62</v>
      </c>
      <c r="AA4" s="2" t="s">
        <v>41</v>
      </c>
      <c r="AB4" s="2">
        <v>3</v>
      </c>
      <c r="AC4" s="2">
        <f>SUMIF(N:N,Ecommerce_Consumer_Behavior_Analysis_Data3[[#This Row],[Brand_Loyalty]],M:M)</f>
        <v>641</v>
      </c>
      <c r="AD4" s="2">
        <f t="shared" ref="AD4:AD44" si="2">SUMIFS(S:S,R:R,R2)</f>
        <v>1881</v>
      </c>
      <c r="AE4" s="2">
        <f t="shared" si="0"/>
        <v>101.31</v>
      </c>
      <c r="AG4">
        <f t="shared" si="1"/>
        <v>426.22</v>
      </c>
      <c r="AJ4" s="11" t="s">
        <v>2068</v>
      </c>
      <c r="AK4" s="11">
        <f>COUNT(J:J)</f>
        <v>1000</v>
      </c>
    </row>
    <row r="5" spans="1:37" x14ac:dyDescent="0.25">
      <c r="A5" s="2" t="s">
        <v>63</v>
      </c>
      <c r="B5" s="2">
        <v>29</v>
      </c>
      <c r="C5" s="2" t="s">
        <v>29</v>
      </c>
      <c r="D5" s="2" t="s">
        <v>30</v>
      </c>
      <c r="E5" s="2" t="s">
        <v>55</v>
      </c>
      <c r="F5" s="2" t="s">
        <v>56</v>
      </c>
      <c r="G5" s="2" t="s">
        <v>30</v>
      </c>
      <c r="H5" s="2" t="s">
        <v>64</v>
      </c>
      <c r="I5" s="2" t="s">
        <v>65</v>
      </c>
      <c r="J5" s="2">
        <v>101.31</v>
      </c>
      <c r="K5" s="2">
        <v>6</v>
      </c>
      <c r="L5" s="2" t="s">
        <v>35</v>
      </c>
      <c r="M5" s="2">
        <v>3</v>
      </c>
      <c r="N5" s="2">
        <v>1</v>
      </c>
      <c r="O5" s="2">
        <v>1</v>
      </c>
      <c r="P5" s="2" t="s">
        <v>44</v>
      </c>
      <c r="Q5" s="2" t="s">
        <v>37</v>
      </c>
      <c r="R5" s="2">
        <v>0</v>
      </c>
      <c r="S5" s="2">
        <v>1</v>
      </c>
      <c r="T5" s="2" t="s">
        <v>36</v>
      </c>
      <c r="U5" s="2" t="s">
        <v>60</v>
      </c>
      <c r="V5" s="2" t="s">
        <v>66</v>
      </c>
      <c r="W5" s="3">
        <v>45569</v>
      </c>
      <c r="X5" s="2" t="b">
        <v>1</v>
      </c>
      <c r="Y5" s="2" t="b">
        <v>1</v>
      </c>
      <c r="Z5" s="2" t="s">
        <v>40</v>
      </c>
      <c r="AA5" s="2" t="s">
        <v>67</v>
      </c>
      <c r="AB5" s="2">
        <v>10</v>
      </c>
      <c r="AC5" s="2">
        <f>SUMIF(N:N,Ecommerce_Consumer_Behavior_Analysis_Data3[[#This Row],[Brand_Loyalty]],M:M)</f>
        <v>597</v>
      </c>
      <c r="AD5" s="2">
        <f t="shared" si="2"/>
        <v>1881</v>
      </c>
      <c r="AE5" s="2">
        <f t="shared" si="0"/>
        <v>211.7</v>
      </c>
      <c r="AG5">
        <f t="shared" si="1"/>
        <v>426.22</v>
      </c>
      <c r="AJ5" s="11" t="s">
        <v>2069</v>
      </c>
      <c r="AK5" s="11">
        <f>AVERAGE(O:O)</f>
        <v>1.0130299999999999</v>
      </c>
    </row>
    <row r="6" spans="1:37" x14ac:dyDescent="0.25">
      <c r="A6" s="2" t="s">
        <v>68</v>
      </c>
      <c r="B6" s="2">
        <v>33</v>
      </c>
      <c r="C6" s="2" t="s">
        <v>29</v>
      </c>
      <c r="D6" s="2" t="s">
        <v>30</v>
      </c>
      <c r="E6" s="2" t="s">
        <v>69</v>
      </c>
      <c r="F6" s="2" t="s">
        <v>45</v>
      </c>
      <c r="G6" s="2" t="s">
        <v>30</v>
      </c>
      <c r="H6" s="2" t="s">
        <v>70</v>
      </c>
      <c r="I6" s="2" t="s">
        <v>71</v>
      </c>
      <c r="J6" s="2">
        <v>211.7</v>
      </c>
      <c r="K6" s="2">
        <v>6</v>
      </c>
      <c r="L6" s="2" t="s">
        <v>35</v>
      </c>
      <c r="M6" s="2">
        <v>3</v>
      </c>
      <c r="N6" s="2">
        <v>4</v>
      </c>
      <c r="O6" s="2">
        <v>0</v>
      </c>
      <c r="P6" s="2" t="s">
        <v>49</v>
      </c>
      <c r="Q6" s="2" t="s">
        <v>50</v>
      </c>
      <c r="R6" s="2">
        <v>2</v>
      </c>
      <c r="S6" s="2">
        <v>10</v>
      </c>
      <c r="T6" s="2" t="s">
        <v>36</v>
      </c>
      <c r="U6" s="2" t="s">
        <v>60</v>
      </c>
      <c r="V6" s="2" t="s">
        <v>61</v>
      </c>
      <c r="W6" s="3">
        <v>45321</v>
      </c>
      <c r="X6" s="2" t="b">
        <v>0</v>
      </c>
      <c r="Y6" s="2" t="b">
        <v>0</v>
      </c>
      <c r="Z6" s="2" t="s">
        <v>52</v>
      </c>
      <c r="AA6" s="2" t="s">
        <v>41</v>
      </c>
      <c r="AB6" s="2">
        <v>4</v>
      </c>
      <c r="AC6" s="2">
        <f>SUMIF(N:N,Ecommerce_Consumer_Behavior_Analysis_Data3[[#This Row],[Brand_Loyalty]],M:M)</f>
        <v>597</v>
      </c>
      <c r="AD6" s="2">
        <f t="shared" si="2"/>
        <v>1881</v>
      </c>
      <c r="AE6" s="2">
        <f t="shared" si="0"/>
        <v>211.7</v>
      </c>
      <c r="AG6">
        <f t="shared" si="1"/>
        <v>487.95</v>
      </c>
      <c r="AJ6" s="11" t="s">
        <v>2077</v>
      </c>
      <c r="AK6" s="11">
        <f>MIN(J:J)</f>
        <v>50.71</v>
      </c>
    </row>
    <row r="7" spans="1:37" x14ac:dyDescent="0.25">
      <c r="A7" s="2" t="s">
        <v>72</v>
      </c>
      <c r="B7" s="2">
        <v>45</v>
      </c>
      <c r="C7" s="2" t="s">
        <v>43</v>
      </c>
      <c r="D7" s="2" t="s">
        <v>30</v>
      </c>
      <c r="E7" s="2" t="s">
        <v>31</v>
      </c>
      <c r="F7" s="2" t="s">
        <v>56</v>
      </c>
      <c r="G7" s="2" t="s">
        <v>44</v>
      </c>
      <c r="H7" s="2" t="s">
        <v>73</v>
      </c>
      <c r="I7" s="2" t="s">
        <v>58</v>
      </c>
      <c r="J7" s="2">
        <v>487.95</v>
      </c>
      <c r="K7" s="2">
        <v>8</v>
      </c>
      <c r="L7" s="2" t="s">
        <v>35</v>
      </c>
      <c r="M7" s="2">
        <v>3</v>
      </c>
      <c r="N7" s="2">
        <v>3</v>
      </c>
      <c r="O7" s="2">
        <v>0</v>
      </c>
      <c r="P7" s="2" t="s">
        <v>44</v>
      </c>
      <c r="Q7" s="2" t="s">
        <v>50</v>
      </c>
      <c r="R7" s="2">
        <v>2</v>
      </c>
      <c r="S7" s="2">
        <v>3</v>
      </c>
      <c r="T7" s="2" t="s">
        <v>36</v>
      </c>
      <c r="U7" s="2" t="s">
        <v>38</v>
      </c>
      <c r="V7" s="2" t="s">
        <v>61</v>
      </c>
      <c r="W7" s="3">
        <v>45370</v>
      </c>
      <c r="X7" s="2" t="b">
        <v>0</v>
      </c>
      <c r="Y7" s="2" t="b">
        <v>0</v>
      </c>
      <c r="Z7" s="2" t="s">
        <v>74</v>
      </c>
      <c r="AA7" s="2" t="s">
        <v>41</v>
      </c>
      <c r="AB7" s="2">
        <v>7</v>
      </c>
      <c r="AC7" s="2">
        <f>SUMIF(N:N,Ecommerce_Consumer_Behavior_Analysis_Data3[[#This Row],[Brand_Loyalty]],M:M)</f>
        <v>597</v>
      </c>
      <c r="AD7" s="2">
        <f t="shared" si="2"/>
        <v>1857</v>
      </c>
      <c r="AE7" s="2">
        <f t="shared" si="0"/>
        <v>101.31</v>
      </c>
      <c r="AG7">
        <f t="shared" si="1"/>
        <v>211.7</v>
      </c>
      <c r="AJ7" s="11" t="s">
        <v>2078</v>
      </c>
      <c r="AK7" s="11">
        <f>MAX(J:J)</f>
        <v>498.33</v>
      </c>
    </row>
    <row r="8" spans="1:37" x14ac:dyDescent="0.25">
      <c r="A8" s="2" t="s">
        <v>75</v>
      </c>
      <c r="B8" s="2">
        <v>21</v>
      </c>
      <c r="C8" s="2" t="s">
        <v>29</v>
      </c>
      <c r="D8" s="2" t="s">
        <v>30</v>
      </c>
      <c r="E8" s="2" t="s">
        <v>76</v>
      </c>
      <c r="F8" s="2" t="s">
        <v>45</v>
      </c>
      <c r="G8" s="2" t="s">
        <v>30</v>
      </c>
      <c r="H8" s="2" t="s">
        <v>77</v>
      </c>
      <c r="I8" s="2" t="s">
        <v>71</v>
      </c>
      <c r="J8" s="2">
        <v>486.4</v>
      </c>
      <c r="K8" s="2">
        <v>12</v>
      </c>
      <c r="L8" s="2" t="s">
        <v>78</v>
      </c>
      <c r="M8" s="2">
        <v>2</v>
      </c>
      <c r="N8" s="2">
        <v>5</v>
      </c>
      <c r="O8" s="2">
        <v>1</v>
      </c>
      <c r="P8" s="2" t="s">
        <v>44</v>
      </c>
      <c r="Q8" s="2" t="s">
        <v>37</v>
      </c>
      <c r="R8" s="2">
        <v>0</v>
      </c>
      <c r="S8" s="2">
        <v>9</v>
      </c>
      <c r="T8" s="2" t="s">
        <v>59</v>
      </c>
      <c r="U8" s="2" t="s">
        <v>79</v>
      </c>
      <c r="V8" s="2" t="s">
        <v>61</v>
      </c>
      <c r="W8" s="3">
        <v>45366</v>
      </c>
      <c r="X8" s="2" t="b">
        <v>1</v>
      </c>
      <c r="Y8" s="2" t="b">
        <v>0</v>
      </c>
      <c r="Z8" s="2" t="s">
        <v>40</v>
      </c>
      <c r="AA8" s="2" t="s">
        <v>67</v>
      </c>
      <c r="AB8" s="2">
        <v>13</v>
      </c>
      <c r="AC8" s="2">
        <f>SUMIF(N:N,Ecommerce_Consumer_Behavior_Analysis_Data3[[#This Row],[Brand_Loyalty]],M:M)</f>
        <v>582</v>
      </c>
      <c r="AD8" s="2">
        <f t="shared" si="2"/>
        <v>1661</v>
      </c>
      <c r="AE8" s="2">
        <f t="shared" si="0"/>
        <v>101.31</v>
      </c>
      <c r="AG8">
        <f t="shared" si="1"/>
        <v>487.95</v>
      </c>
    </row>
    <row r="9" spans="1:37" x14ac:dyDescent="0.25">
      <c r="A9" s="2" t="s">
        <v>80</v>
      </c>
      <c r="B9" s="2">
        <v>39</v>
      </c>
      <c r="C9" s="2" t="s">
        <v>43</v>
      </c>
      <c r="D9" s="2" t="s">
        <v>30</v>
      </c>
      <c r="E9" s="2" t="s">
        <v>55</v>
      </c>
      <c r="F9" s="2" t="s">
        <v>45</v>
      </c>
      <c r="G9" s="2" t="s">
        <v>30</v>
      </c>
      <c r="H9" s="2" t="s">
        <v>81</v>
      </c>
      <c r="I9" s="2" t="s">
        <v>82</v>
      </c>
      <c r="J9" s="2">
        <v>218.06</v>
      </c>
      <c r="K9" s="2">
        <v>6</v>
      </c>
      <c r="L9" s="2" t="s">
        <v>78</v>
      </c>
      <c r="M9" s="2">
        <v>5</v>
      </c>
      <c r="N9" s="2">
        <v>4</v>
      </c>
      <c r="O9" s="2">
        <v>1</v>
      </c>
      <c r="P9" s="2" t="s">
        <v>59</v>
      </c>
      <c r="Q9" s="2" t="s">
        <v>37</v>
      </c>
      <c r="R9" s="2">
        <v>2</v>
      </c>
      <c r="S9" s="2">
        <v>9</v>
      </c>
      <c r="T9" s="2" t="s">
        <v>36</v>
      </c>
      <c r="U9" s="2" t="s">
        <v>79</v>
      </c>
      <c r="V9" s="2" t="s">
        <v>39</v>
      </c>
      <c r="W9" s="3">
        <v>45368</v>
      </c>
      <c r="X9" s="2" t="b">
        <v>0</v>
      </c>
      <c r="Y9" s="2" t="b">
        <v>1</v>
      </c>
      <c r="Z9" s="2" t="s">
        <v>62</v>
      </c>
      <c r="AA9" s="2" t="s">
        <v>41</v>
      </c>
      <c r="AB9" s="2">
        <v>13</v>
      </c>
      <c r="AC9" s="2">
        <f>SUMIF(N:N,Ecommerce_Consumer_Behavior_Analysis_Data3[[#This Row],[Brand_Loyalty]],M:M)</f>
        <v>641</v>
      </c>
      <c r="AD9" s="2">
        <f t="shared" si="2"/>
        <v>1661</v>
      </c>
      <c r="AE9" s="2">
        <f t="shared" si="0"/>
        <v>211.7</v>
      </c>
      <c r="AG9">
        <f t="shared" si="1"/>
        <v>486.4</v>
      </c>
    </row>
    <row r="10" spans="1:37" x14ac:dyDescent="0.25">
      <c r="A10" s="2" t="s">
        <v>83</v>
      </c>
      <c r="B10" s="2">
        <v>24</v>
      </c>
      <c r="C10" s="2" t="s">
        <v>29</v>
      </c>
      <c r="D10" s="2" t="s">
        <v>44</v>
      </c>
      <c r="E10" s="2" t="s">
        <v>76</v>
      </c>
      <c r="F10" s="2" t="s">
        <v>56</v>
      </c>
      <c r="G10" s="2" t="s">
        <v>30</v>
      </c>
      <c r="H10" s="2" t="s">
        <v>84</v>
      </c>
      <c r="I10" s="2" t="s">
        <v>58</v>
      </c>
      <c r="J10" s="2">
        <v>201.96</v>
      </c>
      <c r="K10" s="2">
        <v>8</v>
      </c>
      <c r="L10" s="2" t="s">
        <v>48</v>
      </c>
      <c r="M10" s="2">
        <v>3</v>
      </c>
      <c r="N10" s="2">
        <v>5</v>
      </c>
      <c r="O10" s="2">
        <v>0</v>
      </c>
      <c r="P10" s="2" t="s">
        <v>59</v>
      </c>
      <c r="Q10" s="2" t="s">
        <v>85</v>
      </c>
      <c r="R10" s="2">
        <v>1</v>
      </c>
      <c r="S10" s="2">
        <v>2</v>
      </c>
      <c r="T10" s="2" t="s">
        <v>44</v>
      </c>
      <c r="U10" s="2" t="s">
        <v>79</v>
      </c>
      <c r="V10" s="2" t="s">
        <v>86</v>
      </c>
      <c r="W10" s="3">
        <v>45453</v>
      </c>
      <c r="X10" s="2" t="b">
        <v>0</v>
      </c>
      <c r="Y10" s="2" t="b">
        <v>0</v>
      </c>
      <c r="Z10" s="2" t="s">
        <v>40</v>
      </c>
      <c r="AA10" s="2" t="s">
        <v>53</v>
      </c>
      <c r="AB10" s="2">
        <v>7</v>
      </c>
      <c r="AC10" s="2">
        <f>SUMIF(N:N,Ecommerce_Consumer_Behavior_Analysis_Data3[[#This Row],[Brand_Loyalty]],M:M)</f>
        <v>597</v>
      </c>
      <c r="AD10" s="2">
        <f t="shared" si="2"/>
        <v>1857</v>
      </c>
      <c r="AE10" s="2">
        <f t="shared" si="0"/>
        <v>101.31</v>
      </c>
      <c r="AG10">
        <f t="shared" si="1"/>
        <v>418.83</v>
      </c>
    </row>
    <row r="11" spans="1:37" x14ac:dyDescent="0.25">
      <c r="A11" s="2" t="s">
        <v>87</v>
      </c>
      <c r="B11" s="2">
        <v>25</v>
      </c>
      <c r="C11" s="2" t="s">
        <v>88</v>
      </c>
      <c r="D11" s="2" t="s">
        <v>44</v>
      </c>
      <c r="E11" s="2" t="s">
        <v>31</v>
      </c>
      <c r="F11" s="2" t="s">
        <v>32</v>
      </c>
      <c r="G11" s="2" t="s">
        <v>44</v>
      </c>
      <c r="H11" s="2" t="s">
        <v>89</v>
      </c>
      <c r="I11" s="2" t="s">
        <v>90</v>
      </c>
      <c r="J11" s="2">
        <v>418.83</v>
      </c>
      <c r="K11" s="2">
        <v>7</v>
      </c>
      <c r="L11" s="2" t="s">
        <v>78</v>
      </c>
      <c r="M11" s="2">
        <v>2</v>
      </c>
      <c r="N11" s="2">
        <v>5</v>
      </c>
      <c r="O11" s="2">
        <v>1</v>
      </c>
      <c r="P11" s="2" t="s">
        <v>36</v>
      </c>
      <c r="Q11" s="2" t="s">
        <v>37</v>
      </c>
      <c r="R11" s="2">
        <v>1</v>
      </c>
      <c r="S11" s="2">
        <v>5</v>
      </c>
      <c r="T11" s="2" t="s">
        <v>49</v>
      </c>
      <c r="U11" s="2" t="s">
        <v>38</v>
      </c>
      <c r="V11" s="2" t="s">
        <v>51</v>
      </c>
      <c r="W11" s="3">
        <v>45572</v>
      </c>
      <c r="X11" s="2" t="b">
        <v>1</v>
      </c>
      <c r="Y11" s="2" t="b">
        <v>0</v>
      </c>
      <c r="Z11" s="2" t="s">
        <v>40</v>
      </c>
      <c r="AA11" s="2" t="s">
        <v>41</v>
      </c>
      <c r="AB11" s="2">
        <v>13</v>
      </c>
      <c r="AC11" s="2">
        <f>SUMIF(N:N,Ecommerce_Consumer_Behavior_Analysis_Data3[[#This Row],[Brand_Loyalty]],M:M)</f>
        <v>582</v>
      </c>
      <c r="AD11" s="2">
        <f t="shared" si="2"/>
        <v>1661</v>
      </c>
      <c r="AE11" s="2">
        <f t="shared" si="0"/>
        <v>389.7</v>
      </c>
      <c r="AG11">
        <f t="shared" si="1"/>
        <v>389.7</v>
      </c>
    </row>
    <row r="12" spans="1:37" x14ac:dyDescent="0.25">
      <c r="A12" s="2" t="s">
        <v>91</v>
      </c>
      <c r="B12" s="2">
        <v>33</v>
      </c>
      <c r="C12" s="2" t="s">
        <v>43</v>
      </c>
      <c r="D12" s="2" t="s">
        <v>30</v>
      </c>
      <c r="E12" s="2" t="s">
        <v>76</v>
      </c>
      <c r="F12" s="2" t="s">
        <v>32</v>
      </c>
      <c r="G12" s="2" t="s">
        <v>30</v>
      </c>
      <c r="H12" s="2" t="s">
        <v>92</v>
      </c>
      <c r="I12" s="2" t="s">
        <v>93</v>
      </c>
      <c r="J12" s="2">
        <v>389.7</v>
      </c>
      <c r="K12" s="2">
        <v>12</v>
      </c>
      <c r="L12" s="2" t="s">
        <v>48</v>
      </c>
      <c r="M12" s="2">
        <v>1</v>
      </c>
      <c r="N12" s="2">
        <v>4</v>
      </c>
      <c r="O12" s="2">
        <v>0.5</v>
      </c>
      <c r="P12" s="2" t="s">
        <v>59</v>
      </c>
      <c r="Q12" s="2" t="s">
        <v>50</v>
      </c>
      <c r="R12" s="2">
        <v>0</v>
      </c>
      <c r="S12" s="2">
        <v>4</v>
      </c>
      <c r="T12" s="2" t="s">
        <v>44</v>
      </c>
      <c r="U12" s="2" t="s">
        <v>79</v>
      </c>
      <c r="V12" s="2" t="s">
        <v>51</v>
      </c>
      <c r="W12" s="3">
        <v>45475</v>
      </c>
      <c r="X12" s="2" t="b">
        <v>1</v>
      </c>
      <c r="Y12" s="2" t="b">
        <v>0</v>
      </c>
      <c r="Z12" s="2" t="s">
        <v>74</v>
      </c>
      <c r="AA12" s="2" t="s">
        <v>67</v>
      </c>
      <c r="AB12" s="2">
        <v>12</v>
      </c>
      <c r="AC12" s="2">
        <f>SUMIF(N:N,Ecommerce_Consumer_Behavior_Analysis_Data3[[#This Row],[Brand_Loyalty]],M:M)</f>
        <v>603</v>
      </c>
      <c r="AD12" s="2">
        <f t="shared" si="2"/>
        <v>1881</v>
      </c>
      <c r="AE12" s="2">
        <f t="shared" si="0"/>
        <v>101.31</v>
      </c>
      <c r="AG12">
        <f t="shared" si="1"/>
        <v>238.93</v>
      </c>
    </row>
    <row r="13" spans="1:37" x14ac:dyDescent="0.25">
      <c r="A13" s="2" t="s">
        <v>94</v>
      </c>
      <c r="B13" s="2">
        <v>38</v>
      </c>
      <c r="C13" s="2" t="s">
        <v>29</v>
      </c>
      <c r="D13" s="2" t="s">
        <v>44</v>
      </c>
      <c r="E13" s="2" t="s">
        <v>69</v>
      </c>
      <c r="F13" s="2" t="s">
        <v>32</v>
      </c>
      <c r="G13" s="2" t="s">
        <v>30</v>
      </c>
      <c r="H13" s="2" t="s">
        <v>95</v>
      </c>
      <c r="I13" s="2" t="s">
        <v>90</v>
      </c>
      <c r="J13" s="2">
        <v>238.93</v>
      </c>
      <c r="K13" s="2">
        <v>5</v>
      </c>
      <c r="L13" s="2" t="s">
        <v>78</v>
      </c>
      <c r="M13" s="2">
        <v>4</v>
      </c>
      <c r="N13" s="2">
        <v>3</v>
      </c>
      <c r="O13" s="2">
        <v>1</v>
      </c>
      <c r="P13" s="2" t="s">
        <v>49</v>
      </c>
      <c r="Q13" s="2" t="s">
        <v>85</v>
      </c>
      <c r="R13" s="2">
        <v>0</v>
      </c>
      <c r="S13" s="2">
        <v>10</v>
      </c>
      <c r="T13" s="2" t="s">
        <v>44</v>
      </c>
      <c r="U13" s="2" t="s">
        <v>38</v>
      </c>
      <c r="V13" s="2" t="s">
        <v>86</v>
      </c>
      <c r="W13" s="3">
        <v>45653</v>
      </c>
      <c r="X13" s="2" t="b">
        <v>1</v>
      </c>
      <c r="Y13" s="2" t="b">
        <v>0</v>
      </c>
      <c r="Z13" s="2" t="s">
        <v>74</v>
      </c>
      <c r="AA13" s="2" t="s">
        <v>41</v>
      </c>
      <c r="AB13" s="2">
        <v>1</v>
      </c>
      <c r="AC13" s="2">
        <f>SUMIF(N:N,Ecommerce_Consumer_Behavior_Analysis_Data3[[#This Row],[Brand_Loyalty]],M:M)</f>
        <v>603</v>
      </c>
      <c r="AD13" s="2">
        <f t="shared" si="2"/>
        <v>1881</v>
      </c>
      <c r="AE13" s="2">
        <f t="shared" si="0"/>
        <v>333.8</v>
      </c>
      <c r="AG13">
        <f t="shared" si="1"/>
        <v>389.7</v>
      </c>
    </row>
    <row r="14" spans="1:37" x14ac:dyDescent="0.25">
      <c r="A14" s="2" t="s">
        <v>96</v>
      </c>
      <c r="B14" s="2">
        <v>34</v>
      </c>
      <c r="C14" s="2" t="s">
        <v>43</v>
      </c>
      <c r="D14" s="2" t="s">
        <v>30</v>
      </c>
      <c r="E14" s="2" t="s">
        <v>55</v>
      </c>
      <c r="F14" s="2" t="s">
        <v>32</v>
      </c>
      <c r="G14" s="2" t="s">
        <v>44</v>
      </c>
      <c r="H14" s="2" t="s">
        <v>97</v>
      </c>
      <c r="I14" s="2" t="s">
        <v>98</v>
      </c>
      <c r="J14" s="2">
        <v>61.22</v>
      </c>
      <c r="K14" s="2">
        <v>7</v>
      </c>
      <c r="L14" s="2" t="s">
        <v>48</v>
      </c>
      <c r="M14" s="2">
        <v>5</v>
      </c>
      <c r="N14" s="2">
        <v>2</v>
      </c>
      <c r="O14" s="2">
        <v>2</v>
      </c>
      <c r="P14" s="2" t="s">
        <v>59</v>
      </c>
      <c r="Q14" s="2" t="s">
        <v>85</v>
      </c>
      <c r="R14" s="2">
        <v>1</v>
      </c>
      <c r="S14" s="2">
        <v>7</v>
      </c>
      <c r="T14" s="2" t="s">
        <v>44</v>
      </c>
      <c r="U14" s="2" t="s">
        <v>79</v>
      </c>
      <c r="V14" s="2" t="s">
        <v>61</v>
      </c>
      <c r="W14" s="3">
        <v>45509</v>
      </c>
      <c r="X14" s="2" t="b">
        <v>1</v>
      </c>
      <c r="Y14" s="2" t="b">
        <v>1</v>
      </c>
      <c r="Z14" s="2" t="s">
        <v>40</v>
      </c>
      <c r="AA14" s="2" t="s">
        <v>41</v>
      </c>
      <c r="AB14" s="2">
        <v>5</v>
      </c>
      <c r="AC14" s="2">
        <f>SUMIF(N:N,Ecommerce_Consumer_Behavior_Analysis_Data3[[#This Row],[Brand_Loyalty]],M:M)</f>
        <v>641</v>
      </c>
      <c r="AD14" s="2">
        <f t="shared" si="2"/>
        <v>1857</v>
      </c>
      <c r="AE14" s="2">
        <f t="shared" si="0"/>
        <v>211.7</v>
      </c>
      <c r="AG14">
        <f t="shared" si="1"/>
        <v>61.22</v>
      </c>
    </row>
    <row r="15" spans="1:37" x14ac:dyDescent="0.25">
      <c r="A15" s="2" t="s">
        <v>99</v>
      </c>
      <c r="B15" s="2">
        <v>32</v>
      </c>
      <c r="C15" s="2" t="s">
        <v>43</v>
      </c>
      <c r="D15" s="2" t="s">
        <v>44</v>
      </c>
      <c r="E15" s="2" t="s">
        <v>31</v>
      </c>
      <c r="F15" s="2" t="s">
        <v>45</v>
      </c>
      <c r="G15" s="2" t="s">
        <v>30</v>
      </c>
      <c r="H15" s="2" t="s">
        <v>100</v>
      </c>
      <c r="I15" s="2" t="s">
        <v>101</v>
      </c>
      <c r="J15" s="2">
        <v>79.81</v>
      </c>
      <c r="K15" s="2">
        <v>4</v>
      </c>
      <c r="L15" s="2" t="s">
        <v>35</v>
      </c>
      <c r="M15" s="2">
        <v>5</v>
      </c>
      <c r="N15" s="2">
        <v>5</v>
      </c>
      <c r="O15" s="2">
        <v>0</v>
      </c>
      <c r="P15" s="2" t="s">
        <v>44</v>
      </c>
      <c r="Q15" s="2" t="s">
        <v>50</v>
      </c>
      <c r="R15" s="2">
        <v>0</v>
      </c>
      <c r="S15" s="2">
        <v>9</v>
      </c>
      <c r="T15" s="2" t="s">
        <v>44</v>
      </c>
      <c r="U15" s="2" t="s">
        <v>60</v>
      </c>
      <c r="V15" s="2" t="s">
        <v>61</v>
      </c>
      <c r="W15" s="3">
        <v>45489</v>
      </c>
      <c r="X15" s="2" t="b">
        <v>0</v>
      </c>
      <c r="Y15" s="2" t="b">
        <v>1</v>
      </c>
      <c r="Z15" s="2" t="s">
        <v>52</v>
      </c>
      <c r="AA15" s="2" t="s">
        <v>53</v>
      </c>
      <c r="AB15" s="2">
        <v>14</v>
      </c>
      <c r="AC15" s="2">
        <f>SUMIF(N:N,Ecommerce_Consumer_Behavior_Analysis_Data3[[#This Row],[Brand_Loyalty]],M:M)</f>
        <v>641</v>
      </c>
      <c r="AD15" s="2">
        <f t="shared" si="2"/>
        <v>1857</v>
      </c>
      <c r="AE15" s="2">
        <f t="shared" si="0"/>
        <v>389.7</v>
      </c>
      <c r="AG15">
        <f t="shared" si="1"/>
        <v>58.51</v>
      </c>
    </row>
    <row r="16" spans="1:37" x14ac:dyDescent="0.25">
      <c r="A16" s="2" t="s">
        <v>102</v>
      </c>
      <c r="B16" s="2">
        <v>30</v>
      </c>
      <c r="C16" s="2" t="s">
        <v>29</v>
      </c>
      <c r="D16" s="2" t="s">
        <v>44</v>
      </c>
      <c r="E16" s="2" t="s">
        <v>69</v>
      </c>
      <c r="F16" s="2" t="s">
        <v>45</v>
      </c>
      <c r="G16" s="2" t="s">
        <v>44</v>
      </c>
      <c r="H16" s="2" t="s">
        <v>103</v>
      </c>
      <c r="I16" s="2" t="s">
        <v>104</v>
      </c>
      <c r="J16" s="2">
        <v>58.51</v>
      </c>
      <c r="K16" s="2">
        <v>2</v>
      </c>
      <c r="L16" s="2" t="s">
        <v>78</v>
      </c>
      <c r="M16" s="2">
        <v>4</v>
      </c>
      <c r="N16" s="2">
        <v>4</v>
      </c>
      <c r="O16" s="2">
        <v>0.5</v>
      </c>
      <c r="P16" s="2" t="s">
        <v>36</v>
      </c>
      <c r="Q16" s="2" t="s">
        <v>50</v>
      </c>
      <c r="R16" s="2">
        <v>0</v>
      </c>
      <c r="S16" s="2">
        <v>4</v>
      </c>
      <c r="T16" s="2" t="s">
        <v>49</v>
      </c>
      <c r="U16" s="2" t="s">
        <v>79</v>
      </c>
      <c r="V16" s="2" t="s">
        <v>51</v>
      </c>
      <c r="W16" s="3">
        <v>45640</v>
      </c>
      <c r="X16" s="2" t="b">
        <v>1</v>
      </c>
      <c r="Y16" s="2" t="b">
        <v>1</v>
      </c>
      <c r="Z16" s="2" t="s">
        <v>74</v>
      </c>
      <c r="AA16" s="2" t="s">
        <v>41</v>
      </c>
      <c r="AB16" s="2">
        <v>14</v>
      </c>
      <c r="AC16" s="2">
        <f>SUMIF(N:N,Ecommerce_Consumer_Behavior_Analysis_Data3[[#This Row],[Brand_Loyalty]],M:M)</f>
        <v>603</v>
      </c>
      <c r="AD16" s="2">
        <f t="shared" si="2"/>
        <v>1881</v>
      </c>
      <c r="AE16" s="2">
        <f t="shared" si="0"/>
        <v>211.7</v>
      </c>
      <c r="AG16">
        <f t="shared" si="1"/>
        <v>79.81</v>
      </c>
    </row>
    <row r="17" spans="1:33" x14ac:dyDescent="0.25">
      <c r="A17" s="2" t="s">
        <v>105</v>
      </c>
      <c r="B17" s="2">
        <v>40</v>
      </c>
      <c r="C17" s="2" t="s">
        <v>43</v>
      </c>
      <c r="D17" s="2" t="s">
        <v>44</v>
      </c>
      <c r="E17" s="2" t="s">
        <v>76</v>
      </c>
      <c r="F17" s="2" t="s">
        <v>56</v>
      </c>
      <c r="G17" s="2" t="s">
        <v>44</v>
      </c>
      <c r="H17" s="2" t="s">
        <v>106</v>
      </c>
      <c r="I17" s="2" t="s">
        <v>107</v>
      </c>
      <c r="J17" s="2">
        <v>109.29</v>
      </c>
      <c r="K17" s="2">
        <v>3</v>
      </c>
      <c r="L17" s="2" t="s">
        <v>78</v>
      </c>
      <c r="M17" s="2">
        <v>3</v>
      </c>
      <c r="N17" s="2">
        <v>4</v>
      </c>
      <c r="O17" s="2">
        <v>0</v>
      </c>
      <c r="P17" s="2" t="s">
        <v>49</v>
      </c>
      <c r="Q17" s="2" t="s">
        <v>37</v>
      </c>
      <c r="R17" s="2">
        <v>2</v>
      </c>
      <c r="S17" s="2">
        <v>2</v>
      </c>
      <c r="T17" s="2" t="s">
        <v>44</v>
      </c>
      <c r="U17" s="2" t="s">
        <v>79</v>
      </c>
      <c r="V17" s="2" t="s">
        <v>61</v>
      </c>
      <c r="W17" s="3">
        <v>45515</v>
      </c>
      <c r="X17" s="2" t="b">
        <v>0</v>
      </c>
      <c r="Y17" s="2" t="b">
        <v>1</v>
      </c>
      <c r="Z17" s="2" t="s">
        <v>52</v>
      </c>
      <c r="AA17" s="2" t="s">
        <v>67</v>
      </c>
      <c r="AB17" s="2">
        <v>11</v>
      </c>
      <c r="AC17" s="2">
        <f>SUMIF(N:N,Ecommerce_Consumer_Behavior_Analysis_Data3[[#This Row],[Brand_Loyalty]],M:M)</f>
        <v>597</v>
      </c>
      <c r="AD17" s="2">
        <f t="shared" si="2"/>
        <v>1857</v>
      </c>
      <c r="AE17" s="2">
        <f t="shared" si="0"/>
        <v>333.8</v>
      </c>
      <c r="AG17">
        <f t="shared" si="1"/>
        <v>109.29</v>
      </c>
    </row>
    <row r="18" spans="1:33" x14ac:dyDescent="0.25">
      <c r="A18" s="2" t="s">
        <v>108</v>
      </c>
      <c r="B18" s="2">
        <v>37</v>
      </c>
      <c r="C18" s="2" t="s">
        <v>43</v>
      </c>
      <c r="D18" s="2" t="s">
        <v>44</v>
      </c>
      <c r="E18" s="2" t="s">
        <v>55</v>
      </c>
      <c r="F18" s="2" t="s">
        <v>32</v>
      </c>
      <c r="G18" s="2" t="s">
        <v>44</v>
      </c>
      <c r="H18" s="2" t="s">
        <v>109</v>
      </c>
      <c r="I18" s="2" t="s">
        <v>71</v>
      </c>
      <c r="J18" s="2">
        <v>356.45</v>
      </c>
      <c r="K18" s="2">
        <v>6</v>
      </c>
      <c r="L18" s="2" t="s">
        <v>35</v>
      </c>
      <c r="M18" s="2">
        <v>5</v>
      </c>
      <c r="N18" s="2">
        <v>5</v>
      </c>
      <c r="O18" s="2">
        <v>2</v>
      </c>
      <c r="P18" s="2" t="s">
        <v>59</v>
      </c>
      <c r="Q18" s="2" t="s">
        <v>85</v>
      </c>
      <c r="R18" s="2">
        <v>0</v>
      </c>
      <c r="S18" s="2">
        <v>7</v>
      </c>
      <c r="T18" s="2" t="s">
        <v>49</v>
      </c>
      <c r="U18" s="2" t="s">
        <v>60</v>
      </c>
      <c r="V18" s="2" t="s">
        <v>39</v>
      </c>
      <c r="W18" s="3">
        <v>45583</v>
      </c>
      <c r="X18" s="2" t="b">
        <v>0</v>
      </c>
      <c r="Y18" s="2" t="b">
        <v>1</v>
      </c>
      <c r="Z18" s="2" t="s">
        <v>74</v>
      </c>
      <c r="AA18" s="2" t="s">
        <v>53</v>
      </c>
      <c r="AB18" s="2">
        <v>8</v>
      </c>
      <c r="AC18" s="2">
        <f>SUMIF(N:N,Ecommerce_Consumer_Behavior_Analysis_Data3[[#This Row],[Brand_Loyalty]],M:M)</f>
        <v>641</v>
      </c>
      <c r="AD18" s="2">
        <f t="shared" si="2"/>
        <v>1857</v>
      </c>
      <c r="AE18" s="2">
        <f t="shared" si="0"/>
        <v>211.7</v>
      </c>
      <c r="AG18">
        <f t="shared" si="1"/>
        <v>236.99</v>
      </c>
    </row>
    <row r="19" spans="1:33" x14ac:dyDescent="0.25">
      <c r="A19" s="2" t="s">
        <v>110</v>
      </c>
      <c r="B19" s="2">
        <v>38</v>
      </c>
      <c r="C19" s="2" t="s">
        <v>29</v>
      </c>
      <c r="D19" s="2" t="s">
        <v>30</v>
      </c>
      <c r="E19" s="2" t="s">
        <v>76</v>
      </c>
      <c r="F19" s="2" t="s">
        <v>32</v>
      </c>
      <c r="G19" s="2" t="s">
        <v>44</v>
      </c>
      <c r="H19" s="2" t="s">
        <v>111</v>
      </c>
      <c r="I19" s="2" t="s">
        <v>93</v>
      </c>
      <c r="J19" s="2">
        <v>236.99</v>
      </c>
      <c r="K19" s="2">
        <v>10</v>
      </c>
      <c r="L19" s="2" t="s">
        <v>35</v>
      </c>
      <c r="M19" s="2">
        <v>2</v>
      </c>
      <c r="N19" s="2">
        <v>4</v>
      </c>
      <c r="O19" s="2">
        <v>0</v>
      </c>
      <c r="P19" s="2" t="s">
        <v>44</v>
      </c>
      <c r="Q19" s="2" t="s">
        <v>85</v>
      </c>
      <c r="R19" s="2">
        <v>0</v>
      </c>
      <c r="S19" s="2">
        <v>8</v>
      </c>
      <c r="T19" s="2" t="s">
        <v>36</v>
      </c>
      <c r="U19" s="2" t="s">
        <v>38</v>
      </c>
      <c r="V19" s="2" t="s">
        <v>51</v>
      </c>
      <c r="W19" s="3">
        <v>45635</v>
      </c>
      <c r="X19" s="2" t="b">
        <v>1</v>
      </c>
      <c r="Y19" s="2" t="b">
        <v>1</v>
      </c>
      <c r="Z19" s="2" t="s">
        <v>62</v>
      </c>
      <c r="AA19" s="2" t="s">
        <v>41</v>
      </c>
      <c r="AB19" s="2">
        <v>13</v>
      </c>
      <c r="AC19" s="2">
        <f>SUMIF(N:N,Ecommerce_Consumer_Behavior_Analysis_Data3[[#This Row],[Brand_Loyalty]],M:M)</f>
        <v>582</v>
      </c>
      <c r="AD19" s="2">
        <f t="shared" si="2"/>
        <v>1661</v>
      </c>
      <c r="AE19" s="2">
        <f t="shared" si="0"/>
        <v>333.8</v>
      </c>
      <c r="AG19">
        <f t="shared" si="1"/>
        <v>356.45</v>
      </c>
    </row>
    <row r="20" spans="1:33" x14ac:dyDescent="0.25">
      <c r="A20" s="2" t="s">
        <v>112</v>
      </c>
      <c r="B20" s="2">
        <v>36</v>
      </c>
      <c r="C20" s="2" t="s">
        <v>43</v>
      </c>
      <c r="D20" s="2" t="s">
        <v>30</v>
      </c>
      <c r="E20" s="2" t="s">
        <v>69</v>
      </c>
      <c r="F20" s="2" t="s">
        <v>32</v>
      </c>
      <c r="G20" s="2" t="s">
        <v>44</v>
      </c>
      <c r="H20" s="2" t="s">
        <v>113</v>
      </c>
      <c r="I20" s="2" t="s">
        <v>114</v>
      </c>
      <c r="J20" s="2">
        <v>454.39</v>
      </c>
      <c r="K20" s="2">
        <v>10</v>
      </c>
      <c r="L20" s="2" t="s">
        <v>48</v>
      </c>
      <c r="M20" s="2">
        <v>2</v>
      </c>
      <c r="N20" s="2">
        <v>4</v>
      </c>
      <c r="O20" s="2">
        <v>2</v>
      </c>
      <c r="P20" s="2" t="s">
        <v>49</v>
      </c>
      <c r="Q20" s="2" t="s">
        <v>50</v>
      </c>
      <c r="R20" s="2">
        <v>0</v>
      </c>
      <c r="S20" s="2">
        <v>3</v>
      </c>
      <c r="T20" s="2" t="s">
        <v>36</v>
      </c>
      <c r="U20" s="2" t="s">
        <v>79</v>
      </c>
      <c r="V20" s="2" t="s">
        <v>66</v>
      </c>
      <c r="W20" s="3">
        <v>45496</v>
      </c>
      <c r="X20" s="2" t="b">
        <v>0</v>
      </c>
      <c r="Y20" s="2" t="b">
        <v>1</v>
      </c>
      <c r="Z20" s="2" t="s">
        <v>62</v>
      </c>
      <c r="AA20" s="2" t="s">
        <v>53</v>
      </c>
      <c r="AB20" s="2">
        <v>3</v>
      </c>
      <c r="AC20" s="2">
        <f>SUMIF(N:N,Ecommerce_Consumer_Behavior_Analysis_Data3[[#This Row],[Brand_Loyalty]],M:M)</f>
        <v>582</v>
      </c>
      <c r="AD20" s="2">
        <f t="shared" si="2"/>
        <v>1857</v>
      </c>
      <c r="AE20" s="2">
        <f t="shared" si="0"/>
        <v>101.31</v>
      </c>
      <c r="AG20">
        <f t="shared" si="1"/>
        <v>236.99</v>
      </c>
    </row>
    <row r="21" spans="1:33" x14ac:dyDescent="0.25">
      <c r="A21" s="2" t="s">
        <v>115</v>
      </c>
      <c r="B21" s="2">
        <v>29</v>
      </c>
      <c r="C21" s="2" t="s">
        <v>29</v>
      </c>
      <c r="D21" s="2" t="s">
        <v>44</v>
      </c>
      <c r="E21" s="2" t="s">
        <v>69</v>
      </c>
      <c r="F21" s="2" t="s">
        <v>32</v>
      </c>
      <c r="G21" s="2" t="s">
        <v>30</v>
      </c>
      <c r="H21" s="2" t="s">
        <v>116</v>
      </c>
      <c r="I21" s="2" t="s">
        <v>117</v>
      </c>
      <c r="J21" s="2">
        <v>490.75</v>
      </c>
      <c r="K21" s="2">
        <v>10</v>
      </c>
      <c r="L21" s="2" t="s">
        <v>48</v>
      </c>
      <c r="M21" s="2">
        <v>2</v>
      </c>
      <c r="N21" s="2">
        <v>4</v>
      </c>
      <c r="O21" s="2">
        <v>1</v>
      </c>
      <c r="P21" s="2" t="s">
        <v>36</v>
      </c>
      <c r="Q21" s="2" t="s">
        <v>85</v>
      </c>
      <c r="R21" s="2">
        <v>1</v>
      </c>
      <c r="S21" s="2">
        <v>4</v>
      </c>
      <c r="T21" s="2" t="s">
        <v>59</v>
      </c>
      <c r="U21" s="2" t="s">
        <v>60</v>
      </c>
      <c r="V21" s="2" t="s">
        <v>61</v>
      </c>
      <c r="W21" s="3">
        <v>45481</v>
      </c>
      <c r="X21" s="2" t="b">
        <v>0</v>
      </c>
      <c r="Y21" s="2" t="b">
        <v>0</v>
      </c>
      <c r="Z21" s="2" t="s">
        <v>52</v>
      </c>
      <c r="AA21" s="2" t="s">
        <v>53</v>
      </c>
      <c r="AB21" s="2">
        <v>13</v>
      </c>
      <c r="AC21" s="2">
        <f>SUMIF(N:N,Ecommerce_Consumer_Behavior_Analysis_Data3[[#This Row],[Brand_Loyalty]],M:M)</f>
        <v>582</v>
      </c>
      <c r="AD21" s="2">
        <f t="shared" si="2"/>
        <v>1857</v>
      </c>
      <c r="AE21" s="2">
        <f t="shared" si="0"/>
        <v>211.7</v>
      </c>
      <c r="AG21">
        <f t="shared" si="1"/>
        <v>490.75</v>
      </c>
    </row>
    <row r="22" spans="1:33" x14ac:dyDescent="0.25">
      <c r="A22" s="2" t="s">
        <v>118</v>
      </c>
      <c r="B22" s="2">
        <v>21</v>
      </c>
      <c r="C22" s="2" t="s">
        <v>29</v>
      </c>
      <c r="D22" s="2" t="s">
        <v>30</v>
      </c>
      <c r="E22" s="2" t="s">
        <v>69</v>
      </c>
      <c r="F22" s="2" t="s">
        <v>45</v>
      </c>
      <c r="G22" s="2" t="s">
        <v>30</v>
      </c>
      <c r="H22" s="2" t="s">
        <v>119</v>
      </c>
      <c r="I22" s="2" t="s">
        <v>120</v>
      </c>
      <c r="J22" s="2">
        <v>463.07</v>
      </c>
      <c r="K22" s="2">
        <v>7</v>
      </c>
      <c r="L22" s="2" t="s">
        <v>35</v>
      </c>
      <c r="M22" s="2">
        <v>4</v>
      </c>
      <c r="N22" s="2">
        <v>2</v>
      </c>
      <c r="O22" s="2">
        <v>0</v>
      </c>
      <c r="P22" s="2" t="s">
        <v>36</v>
      </c>
      <c r="Q22" s="2" t="s">
        <v>85</v>
      </c>
      <c r="R22" s="2">
        <v>1</v>
      </c>
      <c r="S22" s="2">
        <v>2</v>
      </c>
      <c r="T22" s="2" t="s">
        <v>49</v>
      </c>
      <c r="U22" s="2" t="s">
        <v>60</v>
      </c>
      <c r="V22" s="2" t="s">
        <v>51</v>
      </c>
      <c r="W22" s="3">
        <v>45496</v>
      </c>
      <c r="X22" s="2" t="b">
        <v>1</v>
      </c>
      <c r="Y22" s="2" t="b">
        <v>0</v>
      </c>
      <c r="Z22" s="2" t="s">
        <v>52</v>
      </c>
      <c r="AA22" s="2" t="s">
        <v>41</v>
      </c>
      <c r="AB22" s="2">
        <v>11</v>
      </c>
      <c r="AC22" s="2">
        <f>SUMIF(N:N,Ecommerce_Consumer_Behavior_Analysis_Data3[[#This Row],[Brand_Loyalty]],M:M)</f>
        <v>603</v>
      </c>
      <c r="AD22" s="2">
        <f t="shared" si="2"/>
        <v>1857</v>
      </c>
      <c r="AE22" s="2">
        <f t="shared" si="0"/>
        <v>211.7</v>
      </c>
      <c r="AG22">
        <f t="shared" si="1"/>
        <v>490.75</v>
      </c>
    </row>
    <row r="23" spans="1:33" x14ac:dyDescent="0.25">
      <c r="A23" s="2" t="s">
        <v>121</v>
      </c>
      <c r="B23" s="2">
        <v>36</v>
      </c>
      <c r="C23" s="2" t="s">
        <v>29</v>
      </c>
      <c r="D23" s="2" t="s">
        <v>44</v>
      </c>
      <c r="E23" s="2" t="s">
        <v>31</v>
      </c>
      <c r="F23" s="2" t="s">
        <v>56</v>
      </c>
      <c r="G23" s="2" t="s">
        <v>44</v>
      </c>
      <c r="H23" s="2" t="s">
        <v>122</v>
      </c>
      <c r="I23" s="2" t="s">
        <v>123</v>
      </c>
      <c r="J23" s="2">
        <v>56.74</v>
      </c>
      <c r="K23" s="2">
        <v>5</v>
      </c>
      <c r="L23" s="2" t="s">
        <v>78</v>
      </c>
      <c r="M23" s="2">
        <v>5</v>
      </c>
      <c r="N23" s="2">
        <v>1</v>
      </c>
      <c r="O23" s="2">
        <v>0</v>
      </c>
      <c r="P23" s="2" t="s">
        <v>49</v>
      </c>
      <c r="Q23" s="2" t="s">
        <v>85</v>
      </c>
      <c r="R23" s="2">
        <v>0</v>
      </c>
      <c r="S23" s="2">
        <v>6</v>
      </c>
      <c r="T23" s="2" t="s">
        <v>36</v>
      </c>
      <c r="U23" s="2" t="s">
        <v>60</v>
      </c>
      <c r="V23" s="2" t="s">
        <v>66</v>
      </c>
      <c r="W23" s="3">
        <v>45504</v>
      </c>
      <c r="X23" s="2" t="b">
        <v>1</v>
      </c>
      <c r="Y23" s="2" t="b">
        <v>0</v>
      </c>
      <c r="Z23" s="2" t="s">
        <v>62</v>
      </c>
      <c r="AA23" s="2" t="s">
        <v>67</v>
      </c>
      <c r="AB23" s="2">
        <v>7</v>
      </c>
      <c r="AC23" s="2">
        <f>SUMIF(N:N,Ecommerce_Consumer_Behavior_Analysis_Data3[[#This Row],[Brand_Loyalty]],M:M)</f>
        <v>641</v>
      </c>
      <c r="AD23" s="2">
        <f t="shared" si="2"/>
        <v>1881</v>
      </c>
      <c r="AE23" s="2">
        <f t="shared" si="0"/>
        <v>371.32</v>
      </c>
      <c r="AG23">
        <f t="shared" si="1"/>
        <v>371.32</v>
      </c>
    </row>
    <row r="24" spans="1:33" x14ac:dyDescent="0.25">
      <c r="A24" s="2" t="s">
        <v>124</v>
      </c>
      <c r="B24" s="2">
        <v>38</v>
      </c>
      <c r="C24" s="2" t="s">
        <v>43</v>
      </c>
      <c r="D24" s="2" t="s">
        <v>44</v>
      </c>
      <c r="E24" s="2" t="s">
        <v>76</v>
      </c>
      <c r="F24" s="2" t="s">
        <v>32</v>
      </c>
      <c r="G24" s="2" t="s">
        <v>30</v>
      </c>
      <c r="H24" s="2" t="s">
        <v>125</v>
      </c>
      <c r="I24" s="2" t="s">
        <v>126</v>
      </c>
      <c r="J24" s="2">
        <v>371.32</v>
      </c>
      <c r="K24" s="2">
        <v>7</v>
      </c>
      <c r="L24" s="2" t="s">
        <v>48</v>
      </c>
      <c r="M24" s="2">
        <v>4</v>
      </c>
      <c r="N24" s="2">
        <v>4</v>
      </c>
      <c r="O24" s="2">
        <v>0.7</v>
      </c>
      <c r="P24" s="2" t="s">
        <v>49</v>
      </c>
      <c r="Q24" s="2" t="s">
        <v>50</v>
      </c>
      <c r="R24" s="2">
        <v>2</v>
      </c>
      <c r="S24" s="2">
        <v>1</v>
      </c>
      <c r="T24" s="2" t="s">
        <v>36</v>
      </c>
      <c r="U24" s="2" t="s">
        <v>38</v>
      </c>
      <c r="V24" s="2" t="s">
        <v>61</v>
      </c>
      <c r="W24" s="3">
        <v>45347</v>
      </c>
      <c r="X24" s="2" t="b">
        <v>1</v>
      </c>
      <c r="Y24" s="2" t="b">
        <v>1</v>
      </c>
      <c r="Z24" s="2" t="s">
        <v>62</v>
      </c>
      <c r="AA24" s="2" t="s">
        <v>53</v>
      </c>
      <c r="AB24" s="2">
        <v>6</v>
      </c>
      <c r="AC24" s="2">
        <f>SUMIF(N:N,Ecommerce_Consumer_Behavior_Analysis_Data3[[#This Row],[Brand_Loyalty]],M:M)</f>
        <v>603</v>
      </c>
      <c r="AD24" s="2">
        <f t="shared" si="2"/>
        <v>1881</v>
      </c>
      <c r="AE24" s="2">
        <f t="shared" si="0"/>
        <v>101.31</v>
      </c>
      <c r="AG24">
        <f t="shared" si="1"/>
        <v>56.74</v>
      </c>
    </row>
    <row r="25" spans="1:33" x14ac:dyDescent="0.25">
      <c r="A25" s="2" t="s">
        <v>127</v>
      </c>
      <c r="B25" s="2">
        <v>37</v>
      </c>
      <c r="C25" s="2" t="s">
        <v>29</v>
      </c>
      <c r="D25" s="2" t="s">
        <v>30</v>
      </c>
      <c r="E25" s="2" t="s">
        <v>55</v>
      </c>
      <c r="F25" s="2" t="s">
        <v>32</v>
      </c>
      <c r="G25" s="2" t="s">
        <v>30</v>
      </c>
      <c r="H25" s="2" t="s">
        <v>128</v>
      </c>
      <c r="I25" s="2" t="s">
        <v>120</v>
      </c>
      <c r="J25" s="2">
        <v>461</v>
      </c>
      <c r="K25" s="2">
        <v>7</v>
      </c>
      <c r="L25" s="2" t="s">
        <v>78</v>
      </c>
      <c r="M25" s="2">
        <v>2</v>
      </c>
      <c r="N25" s="2">
        <v>4</v>
      </c>
      <c r="O25" s="2">
        <v>1</v>
      </c>
      <c r="P25" s="2" t="s">
        <v>44</v>
      </c>
      <c r="Q25" s="2" t="s">
        <v>50</v>
      </c>
      <c r="R25" s="2">
        <v>0</v>
      </c>
      <c r="S25" s="2">
        <v>8</v>
      </c>
      <c r="T25" s="2" t="s">
        <v>59</v>
      </c>
      <c r="U25" s="2" t="s">
        <v>38</v>
      </c>
      <c r="V25" s="2" t="s">
        <v>86</v>
      </c>
      <c r="W25" s="3">
        <v>45483</v>
      </c>
      <c r="X25" s="2" t="b">
        <v>0</v>
      </c>
      <c r="Y25" s="2" t="b">
        <v>1</v>
      </c>
      <c r="Z25" s="2" t="s">
        <v>52</v>
      </c>
      <c r="AA25" s="2" t="s">
        <v>53</v>
      </c>
      <c r="AB25" s="2">
        <v>9</v>
      </c>
      <c r="AC25" s="2">
        <f>SUMIF(N:N,Ecommerce_Consumer_Behavior_Analysis_Data3[[#This Row],[Brand_Loyalty]],M:M)</f>
        <v>582</v>
      </c>
      <c r="AD25" s="2">
        <f t="shared" si="2"/>
        <v>1857</v>
      </c>
      <c r="AE25" s="2">
        <f t="shared" si="0"/>
        <v>101.31</v>
      </c>
      <c r="AG25">
        <f t="shared" si="1"/>
        <v>461</v>
      </c>
    </row>
    <row r="26" spans="1:33" x14ac:dyDescent="0.25">
      <c r="A26" s="2" t="s">
        <v>129</v>
      </c>
      <c r="B26" s="2">
        <v>33</v>
      </c>
      <c r="C26" s="2" t="s">
        <v>29</v>
      </c>
      <c r="D26" s="2" t="s">
        <v>44</v>
      </c>
      <c r="E26" s="2" t="s">
        <v>31</v>
      </c>
      <c r="F26" s="2" t="s">
        <v>32</v>
      </c>
      <c r="G26" s="2" t="s">
        <v>44</v>
      </c>
      <c r="H26" s="2" t="s">
        <v>130</v>
      </c>
      <c r="I26" s="2" t="s">
        <v>47</v>
      </c>
      <c r="J26" s="2">
        <v>253.37</v>
      </c>
      <c r="K26" s="2">
        <v>6</v>
      </c>
      <c r="L26" s="2" t="s">
        <v>48</v>
      </c>
      <c r="M26" s="2">
        <v>4</v>
      </c>
      <c r="N26" s="2">
        <v>1</v>
      </c>
      <c r="O26" s="2">
        <v>1</v>
      </c>
      <c r="P26" s="2" t="s">
        <v>36</v>
      </c>
      <c r="Q26" s="2" t="s">
        <v>85</v>
      </c>
      <c r="R26" s="2">
        <v>2</v>
      </c>
      <c r="S26" s="2">
        <v>10</v>
      </c>
      <c r="T26" s="2" t="s">
        <v>44</v>
      </c>
      <c r="U26" s="2" t="s">
        <v>38</v>
      </c>
      <c r="V26" s="2" t="s">
        <v>66</v>
      </c>
      <c r="W26" s="3">
        <v>45651</v>
      </c>
      <c r="X26" s="2" t="b">
        <v>1</v>
      </c>
      <c r="Y26" s="2" t="b">
        <v>0</v>
      </c>
      <c r="Z26" s="2" t="s">
        <v>62</v>
      </c>
      <c r="AA26" s="2" t="s">
        <v>53</v>
      </c>
      <c r="AB26" s="2">
        <v>8</v>
      </c>
      <c r="AC26" s="2">
        <f>SUMIF(N:N,Ecommerce_Consumer_Behavior_Analysis_Data3[[#This Row],[Brand_Loyalty]],M:M)</f>
        <v>603</v>
      </c>
      <c r="AD26" s="2">
        <f t="shared" si="2"/>
        <v>1661</v>
      </c>
      <c r="AE26" s="2">
        <f t="shared" si="0"/>
        <v>333.8</v>
      </c>
      <c r="AG26">
        <f t="shared" si="1"/>
        <v>136.53</v>
      </c>
    </row>
    <row r="27" spans="1:33" x14ac:dyDescent="0.25">
      <c r="A27" s="2" t="s">
        <v>131</v>
      </c>
      <c r="B27" s="2">
        <v>37</v>
      </c>
      <c r="C27" s="2" t="s">
        <v>43</v>
      </c>
      <c r="D27" s="2" t="s">
        <v>44</v>
      </c>
      <c r="E27" s="2" t="s">
        <v>69</v>
      </c>
      <c r="F27" s="2" t="s">
        <v>45</v>
      </c>
      <c r="G27" s="2" t="s">
        <v>44</v>
      </c>
      <c r="H27" s="2" t="s">
        <v>132</v>
      </c>
      <c r="I27" s="2" t="s">
        <v>114</v>
      </c>
      <c r="J27" s="2">
        <v>136.53</v>
      </c>
      <c r="K27" s="2">
        <v>3</v>
      </c>
      <c r="L27" s="2" t="s">
        <v>35</v>
      </c>
      <c r="M27" s="2">
        <v>2</v>
      </c>
      <c r="N27" s="2">
        <v>4</v>
      </c>
      <c r="O27" s="2">
        <v>2</v>
      </c>
      <c r="P27" s="2" t="s">
        <v>44</v>
      </c>
      <c r="Q27" s="2" t="s">
        <v>50</v>
      </c>
      <c r="R27" s="2">
        <v>1</v>
      </c>
      <c r="S27" s="2">
        <v>3</v>
      </c>
      <c r="T27" s="2" t="s">
        <v>44</v>
      </c>
      <c r="U27" s="2" t="s">
        <v>60</v>
      </c>
      <c r="V27" s="2" t="s">
        <v>51</v>
      </c>
      <c r="W27" s="3">
        <v>45443</v>
      </c>
      <c r="X27" s="2" t="b">
        <v>1</v>
      </c>
      <c r="Y27" s="2" t="b">
        <v>1</v>
      </c>
      <c r="Z27" s="2" t="s">
        <v>74</v>
      </c>
      <c r="AA27" s="2" t="s">
        <v>53</v>
      </c>
      <c r="AB27" s="2">
        <v>10</v>
      </c>
      <c r="AC27" s="2">
        <f>SUMIF(N:N,Ecommerce_Consumer_Behavior_Analysis_Data3[[#This Row],[Brand_Loyalty]],M:M)</f>
        <v>582</v>
      </c>
      <c r="AD27" s="2">
        <f t="shared" si="2"/>
        <v>1857</v>
      </c>
      <c r="AE27" s="2">
        <f t="shared" si="0"/>
        <v>211.7</v>
      </c>
      <c r="AG27">
        <f t="shared" si="1"/>
        <v>253.37</v>
      </c>
    </row>
    <row r="28" spans="1:33" x14ac:dyDescent="0.25">
      <c r="A28" s="2" t="s">
        <v>133</v>
      </c>
      <c r="B28" s="2">
        <v>31</v>
      </c>
      <c r="C28" s="2" t="s">
        <v>29</v>
      </c>
      <c r="D28" s="2" t="s">
        <v>30</v>
      </c>
      <c r="E28" s="2" t="s">
        <v>55</v>
      </c>
      <c r="F28" s="2" t="s">
        <v>56</v>
      </c>
      <c r="G28" s="2" t="s">
        <v>30</v>
      </c>
      <c r="H28" s="2" t="s">
        <v>134</v>
      </c>
      <c r="I28" s="2" t="s">
        <v>135</v>
      </c>
      <c r="J28" s="2">
        <v>489.05</v>
      </c>
      <c r="K28" s="2">
        <v>10</v>
      </c>
      <c r="L28" s="2" t="s">
        <v>78</v>
      </c>
      <c r="M28" s="2">
        <v>5</v>
      </c>
      <c r="N28" s="2">
        <v>3</v>
      </c>
      <c r="O28" s="2">
        <v>0</v>
      </c>
      <c r="P28" s="2" t="s">
        <v>44</v>
      </c>
      <c r="Q28" s="2" t="s">
        <v>37</v>
      </c>
      <c r="R28" s="2">
        <v>2</v>
      </c>
      <c r="S28" s="2">
        <v>2</v>
      </c>
      <c r="T28" s="2" t="s">
        <v>44</v>
      </c>
      <c r="U28" s="2" t="s">
        <v>79</v>
      </c>
      <c r="V28" s="2" t="s">
        <v>51</v>
      </c>
      <c r="W28" s="3">
        <v>45539</v>
      </c>
      <c r="X28" s="2" t="b">
        <v>1</v>
      </c>
      <c r="Y28" s="2" t="b">
        <v>1</v>
      </c>
      <c r="Z28" s="2" t="s">
        <v>74</v>
      </c>
      <c r="AA28" s="2" t="s">
        <v>53</v>
      </c>
      <c r="AB28" s="2">
        <v>7</v>
      </c>
      <c r="AC28" s="2">
        <f>SUMIF(N:N,Ecommerce_Consumer_Behavior_Analysis_Data3[[#This Row],[Brand_Loyalty]],M:M)</f>
        <v>641</v>
      </c>
      <c r="AD28" s="2">
        <f t="shared" si="2"/>
        <v>1661</v>
      </c>
      <c r="AE28" s="2">
        <f t="shared" si="0"/>
        <v>101.31</v>
      </c>
      <c r="AG28">
        <f t="shared" si="1"/>
        <v>136.53</v>
      </c>
    </row>
    <row r="29" spans="1:33" x14ac:dyDescent="0.25">
      <c r="A29" s="2" t="s">
        <v>136</v>
      </c>
      <c r="B29" s="2">
        <v>50</v>
      </c>
      <c r="C29" s="2" t="s">
        <v>43</v>
      </c>
      <c r="D29" s="2" t="s">
        <v>44</v>
      </c>
      <c r="E29" s="2" t="s">
        <v>55</v>
      </c>
      <c r="F29" s="2" t="s">
        <v>56</v>
      </c>
      <c r="G29" s="2" t="s">
        <v>44</v>
      </c>
      <c r="H29" s="2" t="s">
        <v>137</v>
      </c>
      <c r="I29" s="2" t="s">
        <v>117</v>
      </c>
      <c r="J29" s="2">
        <v>81.91</v>
      </c>
      <c r="K29" s="2">
        <v>10</v>
      </c>
      <c r="L29" s="2" t="s">
        <v>48</v>
      </c>
      <c r="M29" s="2">
        <v>3</v>
      </c>
      <c r="N29" s="2">
        <v>4</v>
      </c>
      <c r="O29" s="2">
        <v>1</v>
      </c>
      <c r="P29" s="2" t="s">
        <v>49</v>
      </c>
      <c r="Q29" s="2" t="s">
        <v>85</v>
      </c>
      <c r="R29" s="2">
        <v>0</v>
      </c>
      <c r="S29" s="2">
        <v>4</v>
      </c>
      <c r="T29" s="2" t="s">
        <v>36</v>
      </c>
      <c r="U29" s="2" t="s">
        <v>79</v>
      </c>
      <c r="V29" s="2" t="s">
        <v>61</v>
      </c>
      <c r="W29" s="3">
        <v>45497</v>
      </c>
      <c r="X29" s="2" t="b">
        <v>0</v>
      </c>
      <c r="Y29" s="2" t="b">
        <v>1</v>
      </c>
      <c r="Z29" s="2" t="s">
        <v>40</v>
      </c>
      <c r="AA29" s="2" t="s">
        <v>67</v>
      </c>
      <c r="AB29" s="2">
        <v>2</v>
      </c>
      <c r="AC29" s="2">
        <f>SUMIF(N:N,Ecommerce_Consumer_Behavior_Analysis_Data3[[#This Row],[Brand_Loyalty]],M:M)</f>
        <v>597</v>
      </c>
      <c r="AD29" s="2">
        <f t="shared" si="2"/>
        <v>1881</v>
      </c>
      <c r="AE29" s="2">
        <f t="shared" si="0"/>
        <v>101.31</v>
      </c>
      <c r="AG29">
        <f t="shared" si="1"/>
        <v>81.91</v>
      </c>
    </row>
    <row r="30" spans="1:33" x14ac:dyDescent="0.25">
      <c r="A30" s="2" t="s">
        <v>138</v>
      </c>
      <c r="B30" s="2">
        <v>50</v>
      </c>
      <c r="C30" s="2" t="s">
        <v>43</v>
      </c>
      <c r="D30" s="2" t="s">
        <v>30</v>
      </c>
      <c r="E30" s="2" t="s">
        <v>31</v>
      </c>
      <c r="F30" s="2" t="s">
        <v>32</v>
      </c>
      <c r="G30" s="2" t="s">
        <v>30</v>
      </c>
      <c r="H30" s="2" t="s">
        <v>139</v>
      </c>
      <c r="I30" s="2" t="s">
        <v>135</v>
      </c>
      <c r="J30" s="2">
        <v>135.80000000000001</v>
      </c>
      <c r="K30" s="2">
        <v>2</v>
      </c>
      <c r="L30" s="2" t="s">
        <v>48</v>
      </c>
      <c r="M30" s="2">
        <v>2</v>
      </c>
      <c r="N30" s="2">
        <v>5</v>
      </c>
      <c r="O30" s="2">
        <v>1</v>
      </c>
      <c r="P30" s="2" t="s">
        <v>59</v>
      </c>
      <c r="Q30" s="2" t="s">
        <v>37</v>
      </c>
      <c r="R30" s="2">
        <v>1</v>
      </c>
      <c r="S30" s="2">
        <v>2</v>
      </c>
      <c r="T30" s="2" t="s">
        <v>44</v>
      </c>
      <c r="U30" s="2" t="s">
        <v>79</v>
      </c>
      <c r="V30" s="2" t="s">
        <v>61</v>
      </c>
      <c r="W30" s="3">
        <v>45612</v>
      </c>
      <c r="X30" s="2" t="b">
        <v>0</v>
      </c>
      <c r="Y30" s="2" t="b">
        <v>1</v>
      </c>
      <c r="Z30" s="2" t="s">
        <v>74</v>
      </c>
      <c r="AA30" s="2" t="s">
        <v>41</v>
      </c>
      <c r="AB30" s="2">
        <v>9</v>
      </c>
      <c r="AC30" s="2">
        <f>SUMIF(N:N,Ecommerce_Consumer_Behavior_Analysis_Data3[[#This Row],[Brand_Loyalty]],M:M)</f>
        <v>582</v>
      </c>
      <c r="AD30" s="2">
        <f t="shared" si="2"/>
        <v>1661</v>
      </c>
      <c r="AE30" s="2">
        <f t="shared" si="0"/>
        <v>101.31</v>
      </c>
      <c r="AG30">
        <f t="shared" si="1"/>
        <v>382.24</v>
      </c>
    </row>
    <row r="31" spans="1:33" x14ac:dyDescent="0.25">
      <c r="A31" s="2" t="s">
        <v>140</v>
      </c>
      <c r="B31" s="2">
        <v>45</v>
      </c>
      <c r="C31" s="2" t="s">
        <v>29</v>
      </c>
      <c r="D31" s="2" t="s">
        <v>30</v>
      </c>
      <c r="E31" s="2" t="s">
        <v>69</v>
      </c>
      <c r="F31" s="2" t="s">
        <v>45</v>
      </c>
      <c r="G31" s="2" t="s">
        <v>30</v>
      </c>
      <c r="H31" s="2" t="s">
        <v>141</v>
      </c>
      <c r="I31" s="2" t="s">
        <v>142</v>
      </c>
      <c r="J31" s="2">
        <v>382.24</v>
      </c>
      <c r="K31" s="2">
        <v>12</v>
      </c>
      <c r="L31" s="2" t="s">
        <v>48</v>
      </c>
      <c r="M31" s="2">
        <v>1</v>
      </c>
      <c r="N31" s="2">
        <v>5</v>
      </c>
      <c r="O31" s="2">
        <v>1</v>
      </c>
      <c r="P31" s="2" t="s">
        <v>44</v>
      </c>
      <c r="Q31" s="2" t="s">
        <v>85</v>
      </c>
      <c r="R31" s="2">
        <v>1</v>
      </c>
      <c r="S31" s="2">
        <v>4</v>
      </c>
      <c r="T31" s="2" t="s">
        <v>44</v>
      </c>
      <c r="U31" s="2" t="s">
        <v>38</v>
      </c>
      <c r="V31" s="2" t="s">
        <v>51</v>
      </c>
      <c r="W31" s="3">
        <v>45479</v>
      </c>
      <c r="X31" s="2" t="b">
        <v>1</v>
      </c>
      <c r="Y31" s="2" t="b">
        <v>1</v>
      </c>
      <c r="Z31" s="2" t="s">
        <v>74</v>
      </c>
      <c r="AA31" s="2" t="s">
        <v>53</v>
      </c>
      <c r="AB31" s="2">
        <v>3</v>
      </c>
      <c r="AC31" s="2">
        <f>SUMIF(N:N,Ecommerce_Consumer_Behavior_Analysis_Data3[[#This Row],[Brand_Loyalty]],M:M)</f>
        <v>603</v>
      </c>
      <c r="AD31" s="2">
        <f t="shared" si="2"/>
        <v>1857</v>
      </c>
      <c r="AE31" s="2">
        <f t="shared" si="0"/>
        <v>211.7</v>
      </c>
      <c r="AG31">
        <f t="shared" si="1"/>
        <v>382.24</v>
      </c>
    </row>
    <row r="32" spans="1:33" x14ac:dyDescent="0.25">
      <c r="A32" s="2" t="s">
        <v>143</v>
      </c>
      <c r="B32" s="2">
        <v>33</v>
      </c>
      <c r="C32" s="2" t="s">
        <v>29</v>
      </c>
      <c r="D32" s="2" t="s">
        <v>44</v>
      </c>
      <c r="E32" s="2" t="s">
        <v>31</v>
      </c>
      <c r="F32" s="2" t="s">
        <v>32</v>
      </c>
      <c r="G32" s="2" t="s">
        <v>30</v>
      </c>
      <c r="H32" s="2" t="s">
        <v>144</v>
      </c>
      <c r="I32" s="2" t="s">
        <v>34</v>
      </c>
      <c r="J32" s="2">
        <v>354.7</v>
      </c>
      <c r="K32" s="2">
        <v>5</v>
      </c>
      <c r="L32" s="2" t="s">
        <v>78</v>
      </c>
      <c r="M32" s="2">
        <v>4</v>
      </c>
      <c r="N32" s="2">
        <v>2</v>
      </c>
      <c r="O32" s="2">
        <v>0</v>
      </c>
      <c r="P32" s="2" t="s">
        <v>36</v>
      </c>
      <c r="Q32" s="2" t="s">
        <v>85</v>
      </c>
      <c r="R32" s="2">
        <v>2</v>
      </c>
      <c r="S32" s="2">
        <v>7</v>
      </c>
      <c r="T32" s="2" t="s">
        <v>36</v>
      </c>
      <c r="U32" s="2" t="s">
        <v>60</v>
      </c>
      <c r="V32" s="2" t="s">
        <v>66</v>
      </c>
      <c r="W32" s="3">
        <v>45332</v>
      </c>
      <c r="X32" s="2" t="b">
        <v>1</v>
      </c>
      <c r="Y32" s="2" t="b">
        <v>0</v>
      </c>
      <c r="Z32" s="2" t="s">
        <v>74</v>
      </c>
      <c r="AA32" s="2" t="s">
        <v>67</v>
      </c>
      <c r="AB32" s="2">
        <v>12</v>
      </c>
      <c r="AC32" s="2">
        <f>SUMIF(N:N,Ecommerce_Consumer_Behavior_Analysis_Data3[[#This Row],[Brand_Loyalty]],M:M)</f>
        <v>603</v>
      </c>
      <c r="AD32" s="2">
        <f t="shared" si="2"/>
        <v>1881</v>
      </c>
      <c r="AE32" s="2">
        <f t="shared" si="0"/>
        <v>101.31</v>
      </c>
      <c r="AG32">
        <f t="shared" si="1"/>
        <v>433.82</v>
      </c>
    </row>
    <row r="33" spans="1:33" x14ac:dyDescent="0.25">
      <c r="A33" s="2" t="s">
        <v>145</v>
      </c>
      <c r="B33" s="2">
        <v>24</v>
      </c>
      <c r="C33" s="2" t="s">
        <v>43</v>
      </c>
      <c r="D33" s="2" t="s">
        <v>44</v>
      </c>
      <c r="E33" s="2" t="s">
        <v>76</v>
      </c>
      <c r="F33" s="2" t="s">
        <v>32</v>
      </c>
      <c r="G33" s="2" t="s">
        <v>44</v>
      </c>
      <c r="H33" s="2" t="s">
        <v>146</v>
      </c>
      <c r="I33" s="2" t="s">
        <v>93</v>
      </c>
      <c r="J33" s="2">
        <v>433.82</v>
      </c>
      <c r="K33" s="2">
        <v>6</v>
      </c>
      <c r="L33" s="2" t="s">
        <v>78</v>
      </c>
      <c r="M33" s="2">
        <v>3</v>
      </c>
      <c r="N33" s="2">
        <v>2</v>
      </c>
      <c r="O33" s="2">
        <v>1</v>
      </c>
      <c r="P33" s="2" t="s">
        <v>49</v>
      </c>
      <c r="Q33" s="2" t="s">
        <v>37</v>
      </c>
      <c r="R33" s="2">
        <v>0</v>
      </c>
      <c r="S33" s="2">
        <v>8</v>
      </c>
      <c r="T33" s="2" t="s">
        <v>49</v>
      </c>
      <c r="U33" s="2" t="s">
        <v>79</v>
      </c>
      <c r="V33" s="2" t="s">
        <v>66</v>
      </c>
      <c r="W33" s="3">
        <v>45472</v>
      </c>
      <c r="X33" s="2" t="b">
        <v>0</v>
      </c>
      <c r="Y33" s="2" t="b">
        <v>1</v>
      </c>
      <c r="Z33" s="2" t="s">
        <v>74</v>
      </c>
      <c r="AA33" s="2" t="s">
        <v>67</v>
      </c>
      <c r="AB33" s="2">
        <v>10</v>
      </c>
      <c r="AC33" s="2">
        <f>SUMIF(N:N,Ecommerce_Consumer_Behavior_Analysis_Data3[[#This Row],[Brand_Loyalty]],M:M)</f>
        <v>597</v>
      </c>
      <c r="AD33" s="2">
        <f t="shared" si="2"/>
        <v>1881</v>
      </c>
      <c r="AE33" s="2">
        <f t="shared" si="0"/>
        <v>101.31</v>
      </c>
      <c r="AG33">
        <f t="shared" si="1"/>
        <v>282.13</v>
      </c>
    </row>
    <row r="34" spans="1:33" x14ac:dyDescent="0.25">
      <c r="A34" s="2" t="s">
        <v>147</v>
      </c>
      <c r="B34" s="2">
        <v>39</v>
      </c>
      <c r="C34" s="2" t="s">
        <v>148</v>
      </c>
      <c r="D34" s="2" t="s">
        <v>44</v>
      </c>
      <c r="E34" s="2" t="s">
        <v>31</v>
      </c>
      <c r="F34" s="2" t="s">
        <v>32</v>
      </c>
      <c r="G34" s="2" t="s">
        <v>30</v>
      </c>
      <c r="H34" s="2" t="s">
        <v>149</v>
      </c>
      <c r="I34" s="2" t="s">
        <v>93</v>
      </c>
      <c r="J34" s="2">
        <v>282.13</v>
      </c>
      <c r="K34" s="2">
        <v>5</v>
      </c>
      <c r="L34" s="2" t="s">
        <v>35</v>
      </c>
      <c r="M34" s="2">
        <v>4</v>
      </c>
      <c r="N34" s="2">
        <v>5</v>
      </c>
      <c r="O34" s="2">
        <v>1</v>
      </c>
      <c r="P34" s="2" t="s">
        <v>36</v>
      </c>
      <c r="Q34" s="2" t="s">
        <v>37</v>
      </c>
      <c r="R34" s="2">
        <v>1</v>
      </c>
      <c r="S34" s="2">
        <v>2</v>
      </c>
      <c r="T34" s="2" t="s">
        <v>36</v>
      </c>
      <c r="U34" s="2" t="s">
        <v>38</v>
      </c>
      <c r="V34" s="2" t="s">
        <v>66</v>
      </c>
      <c r="W34" s="3">
        <v>45317</v>
      </c>
      <c r="X34" s="2" t="b">
        <v>1</v>
      </c>
      <c r="Y34" s="2" t="b">
        <v>0</v>
      </c>
      <c r="Z34" s="2" t="s">
        <v>40</v>
      </c>
      <c r="AA34" s="2" t="s">
        <v>53</v>
      </c>
      <c r="AB34" s="2">
        <v>9</v>
      </c>
      <c r="AC34" s="2">
        <f>SUMIF(N:N,Ecommerce_Consumer_Behavior_Analysis_Data3[[#This Row],[Brand_Loyalty]],M:M)</f>
        <v>603</v>
      </c>
      <c r="AD34" s="2">
        <f t="shared" si="2"/>
        <v>1661</v>
      </c>
      <c r="AE34" s="2">
        <f t="shared" si="0"/>
        <v>211.7</v>
      </c>
      <c r="AG34">
        <f t="shared" si="1"/>
        <v>433.82</v>
      </c>
    </row>
    <row r="35" spans="1:33" x14ac:dyDescent="0.25">
      <c r="A35" s="2" t="s">
        <v>150</v>
      </c>
      <c r="B35" s="2">
        <v>48</v>
      </c>
      <c r="C35" s="2" t="s">
        <v>43</v>
      </c>
      <c r="D35" s="2" t="s">
        <v>44</v>
      </c>
      <c r="E35" s="2" t="s">
        <v>69</v>
      </c>
      <c r="F35" s="2" t="s">
        <v>45</v>
      </c>
      <c r="G35" s="2" t="s">
        <v>30</v>
      </c>
      <c r="H35" s="2" t="s">
        <v>151</v>
      </c>
      <c r="I35" s="2" t="s">
        <v>93</v>
      </c>
      <c r="J35" s="2">
        <v>454.38</v>
      </c>
      <c r="K35" s="2">
        <v>10</v>
      </c>
      <c r="L35" s="2" t="s">
        <v>78</v>
      </c>
      <c r="M35" s="2">
        <v>3</v>
      </c>
      <c r="N35" s="2">
        <v>4</v>
      </c>
      <c r="O35" s="2">
        <v>0</v>
      </c>
      <c r="P35" s="2" t="s">
        <v>36</v>
      </c>
      <c r="Q35" s="2" t="s">
        <v>37</v>
      </c>
      <c r="R35" s="2">
        <v>0</v>
      </c>
      <c r="S35" s="2">
        <v>10</v>
      </c>
      <c r="T35" s="2" t="s">
        <v>49</v>
      </c>
      <c r="U35" s="2" t="s">
        <v>60</v>
      </c>
      <c r="V35" s="2" t="s">
        <v>51</v>
      </c>
      <c r="W35" s="3">
        <v>45458</v>
      </c>
      <c r="X35" s="2" t="b">
        <v>1</v>
      </c>
      <c r="Y35" s="2" t="b">
        <v>0</v>
      </c>
      <c r="Z35" s="2" t="s">
        <v>62</v>
      </c>
      <c r="AA35" s="2" t="s">
        <v>41</v>
      </c>
      <c r="AB35" s="2">
        <v>7</v>
      </c>
      <c r="AC35" s="2">
        <f>SUMIF(N:N,Ecommerce_Consumer_Behavior_Analysis_Data3[[#This Row],[Brand_Loyalty]],M:M)</f>
        <v>597</v>
      </c>
      <c r="AD35" s="2">
        <f t="shared" si="2"/>
        <v>1857</v>
      </c>
      <c r="AE35" s="2">
        <f t="shared" si="0"/>
        <v>101.31</v>
      </c>
      <c r="AG35">
        <f t="shared" si="1"/>
        <v>454.38</v>
      </c>
    </row>
    <row r="36" spans="1:33" x14ac:dyDescent="0.25">
      <c r="A36" s="2" t="s">
        <v>152</v>
      </c>
      <c r="B36" s="2">
        <v>25</v>
      </c>
      <c r="C36" s="2" t="s">
        <v>43</v>
      </c>
      <c r="D36" s="2" t="s">
        <v>30</v>
      </c>
      <c r="E36" s="2" t="s">
        <v>31</v>
      </c>
      <c r="F36" s="2" t="s">
        <v>45</v>
      </c>
      <c r="G36" s="2" t="s">
        <v>44</v>
      </c>
      <c r="H36" s="2" t="s">
        <v>153</v>
      </c>
      <c r="I36" s="2" t="s">
        <v>93</v>
      </c>
      <c r="J36" s="2">
        <v>138.88</v>
      </c>
      <c r="K36" s="2">
        <v>7</v>
      </c>
      <c r="L36" s="2" t="s">
        <v>48</v>
      </c>
      <c r="M36" s="2">
        <v>2</v>
      </c>
      <c r="N36" s="2">
        <v>4</v>
      </c>
      <c r="O36" s="2">
        <v>1</v>
      </c>
      <c r="P36" s="2" t="s">
        <v>36</v>
      </c>
      <c r="Q36" s="2" t="s">
        <v>50</v>
      </c>
      <c r="R36" s="2">
        <v>1</v>
      </c>
      <c r="S36" s="2">
        <v>3</v>
      </c>
      <c r="T36" s="2" t="s">
        <v>36</v>
      </c>
      <c r="U36" s="2" t="s">
        <v>38</v>
      </c>
      <c r="V36" s="2" t="s">
        <v>86</v>
      </c>
      <c r="W36" s="3">
        <v>45451</v>
      </c>
      <c r="X36" s="2" t="b">
        <v>1</v>
      </c>
      <c r="Y36" s="2" t="b">
        <v>0</v>
      </c>
      <c r="Z36" s="2" t="s">
        <v>74</v>
      </c>
      <c r="AA36" s="2" t="s">
        <v>41</v>
      </c>
      <c r="AB36" s="2">
        <v>4</v>
      </c>
      <c r="AC36" s="2">
        <f>SUMIF(N:N,Ecommerce_Consumer_Behavior_Analysis_Data3[[#This Row],[Brand_Loyalty]],M:M)</f>
        <v>582</v>
      </c>
      <c r="AD36" s="2">
        <f t="shared" si="2"/>
        <v>1881</v>
      </c>
      <c r="AE36" s="2">
        <f t="shared" si="0"/>
        <v>101.31</v>
      </c>
      <c r="AG36">
        <f t="shared" si="1"/>
        <v>52.34</v>
      </c>
    </row>
    <row r="37" spans="1:33" x14ac:dyDescent="0.25">
      <c r="A37" s="2" t="s">
        <v>154</v>
      </c>
      <c r="B37" s="2">
        <v>30</v>
      </c>
      <c r="C37" s="2" t="s">
        <v>29</v>
      </c>
      <c r="D37" s="2" t="s">
        <v>44</v>
      </c>
      <c r="E37" s="2" t="s">
        <v>55</v>
      </c>
      <c r="F37" s="2" t="s">
        <v>32</v>
      </c>
      <c r="G37" s="2" t="s">
        <v>44</v>
      </c>
      <c r="H37" s="2" t="s">
        <v>155</v>
      </c>
      <c r="I37" s="2" t="s">
        <v>82</v>
      </c>
      <c r="J37" s="2">
        <v>52.34</v>
      </c>
      <c r="K37" s="2">
        <v>6</v>
      </c>
      <c r="L37" s="2" t="s">
        <v>48</v>
      </c>
      <c r="M37" s="2">
        <v>3</v>
      </c>
      <c r="N37" s="2">
        <v>4</v>
      </c>
      <c r="O37" s="2">
        <v>1</v>
      </c>
      <c r="P37" s="2" t="s">
        <v>59</v>
      </c>
      <c r="Q37" s="2" t="s">
        <v>37</v>
      </c>
      <c r="R37" s="2">
        <v>1</v>
      </c>
      <c r="S37" s="2">
        <v>5</v>
      </c>
      <c r="T37" s="2" t="s">
        <v>49</v>
      </c>
      <c r="U37" s="2" t="s">
        <v>38</v>
      </c>
      <c r="V37" s="2" t="s">
        <v>51</v>
      </c>
      <c r="W37" s="3">
        <v>45433</v>
      </c>
      <c r="X37" s="2" t="b">
        <v>1</v>
      </c>
      <c r="Y37" s="2" t="b">
        <v>1</v>
      </c>
      <c r="Z37" s="2" t="s">
        <v>74</v>
      </c>
      <c r="AA37" s="2" t="s">
        <v>67</v>
      </c>
      <c r="AB37" s="2">
        <v>13</v>
      </c>
      <c r="AC37" s="2">
        <f>SUMIF(N:N,Ecommerce_Consumer_Behavior_Analysis_Data3[[#This Row],[Brand_Loyalty]],M:M)</f>
        <v>597</v>
      </c>
      <c r="AD37" s="2">
        <f t="shared" si="2"/>
        <v>1857</v>
      </c>
      <c r="AE37" s="2">
        <f t="shared" si="0"/>
        <v>211.7</v>
      </c>
      <c r="AG37">
        <f t="shared" si="1"/>
        <v>138.88</v>
      </c>
    </row>
    <row r="38" spans="1:33" x14ac:dyDescent="0.25">
      <c r="A38" s="2" t="s">
        <v>156</v>
      </c>
      <c r="B38" s="2">
        <v>34</v>
      </c>
      <c r="C38" s="2" t="s">
        <v>43</v>
      </c>
      <c r="D38" s="2" t="s">
        <v>30</v>
      </c>
      <c r="E38" s="2" t="s">
        <v>55</v>
      </c>
      <c r="F38" s="2" t="s">
        <v>32</v>
      </c>
      <c r="G38" s="2" t="s">
        <v>44</v>
      </c>
      <c r="H38" s="2" t="s">
        <v>157</v>
      </c>
      <c r="I38" s="2" t="s">
        <v>158</v>
      </c>
      <c r="J38" s="2">
        <v>338.2</v>
      </c>
      <c r="K38" s="2">
        <v>7</v>
      </c>
      <c r="L38" s="2" t="s">
        <v>78</v>
      </c>
      <c r="M38" s="2">
        <v>3</v>
      </c>
      <c r="N38" s="2">
        <v>5</v>
      </c>
      <c r="O38" s="2">
        <v>0</v>
      </c>
      <c r="P38" s="2" t="s">
        <v>36</v>
      </c>
      <c r="Q38" s="2" t="s">
        <v>50</v>
      </c>
      <c r="R38" s="2">
        <v>1</v>
      </c>
      <c r="S38" s="2">
        <v>9</v>
      </c>
      <c r="T38" s="2" t="s">
        <v>49</v>
      </c>
      <c r="U38" s="2" t="s">
        <v>38</v>
      </c>
      <c r="V38" s="2" t="s">
        <v>66</v>
      </c>
      <c r="W38" s="3">
        <v>45536</v>
      </c>
      <c r="X38" s="2" t="b">
        <v>1</v>
      </c>
      <c r="Y38" s="2" t="b">
        <v>0</v>
      </c>
      <c r="Z38" s="2" t="s">
        <v>52</v>
      </c>
      <c r="AA38" s="2" t="s">
        <v>53</v>
      </c>
      <c r="AB38" s="2">
        <v>7</v>
      </c>
      <c r="AC38" s="2">
        <f>SUMIF(N:N,Ecommerce_Consumer_Behavior_Analysis_Data3[[#This Row],[Brand_Loyalty]],M:M)</f>
        <v>597</v>
      </c>
      <c r="AD38" s="2">
        <f t="shared" si="2"/>
        <v>1881</v>
      </c>
      <c r="AE38" s="2">
        <f t="shared" si="0"/>
        <v>101.31</v>
      </c>
      <c r="AG38">
        <f t="shared" si="1"/>
        <v>52.34</v>
      </c>
    </row>
    <row r="39" spans="1:33" x14ac:dyDescent="0.25">
      <c r="A39" s="2" t="s">
        <v>159</v>
      </c>
      <c r="B39" s="2">
        <v>21</v>
      </c>
      <c r="C39" s="2" t="s">
        <v>29</v>
      </c>
      <c r="D39" s="2" t="s">
        <v>30</v>
      </c>
      <c r="E39" s="2" t="s">
        <v>69</v>
      </c>
      <c r="F39" s="2" t="s">
        <v>45</v>
      </c>
      <c r="G39" s="2" t="s">
        <v>30</v>
      </c>
      <c r="H39" s="2" t="s">
        <v>160</v>
      </c>
      <c r="I39" s="2" t="s">
        <v>126</v>
      </c>
      <c r="J39" s="2">
        <v>263.14999999999998</v>
      </c>
      <c r="K39" s="2">
        <v>3</v>
      </c>
      <c r="L39" s="2" t="s">
        <v>48</v>
      </c>
      <c r="M39" s="2">
        <v>1</v>
      </c>
      <c r="N39" s="2">
        <v>5</v>
      </c>
      <c r="O39" s="2">
        <v>1</v>
      </c>
      <c r="P39" s="2" t="s">
        <v>44</v>
      </c>
      <c r="Q39" s="2" t="s">
        <v>37</v>
      </c>
      <c r="R39" s="2">
        <v>1</v>
      </c>
      <c r="S39" s="2">
        <v>10</v>
      </c>
      <c r="T39" s="2" t="s">
        <v>44</v>
      </c>
      <c r="U39" s="2" t="s">
        <v>38</v>
      </c>
      <c r="V39" s="2" t="s">
        <v>66</v>
      </c>
      <c r="W39" s="3">
        <v>45355</v>
      </c>
      <c r="X39" s="2" t="b">
        <v>1</v>
      </c>
      <c r="Y39" s="2" t="b">
        <v>0</v>
      </c>
      <c r="Z39" s="2" t="s">
        <v>62</v>
      </c>
      <c r="AA39" s="2" t="s">
        <v>67</v>
      </c>
      <c r="AB39" s="2">
        <v>10</v>
      </c>
      <c r="AC39" s="2">
        <f>SUMIF(N:N,Ecommerce_Consumer_Behavior_Analysis_Data3[[#This Row],[Brand_Loyalty]],M:M)</f>
        <v>603</v>
      </c>
      <c r="AD39" s="2">
        <f t="shared" si="2"/>
        <v>1881</v>
      </c>
      <c r="AE39" s="2">
        <f t="shared" si="0"/>
        <v>333.8</v>
      </c>
      <c r="AG39">
        <f t="shared" si="1"/>
        <v>263.14999999999998</v>
      </c>
    </row>
    <row r="40" spans="1:33" x14ac:dyDescent="0.25">
      <c r="A40" s="2" t="s">
        <v>161</v>
      </c>
      <c r="B40" s="2">
        <v>36</v>
      </c>
      <c r="C40" s="2" t="s">
        <v>29</v>
      </c>
      <c r="D40" s="2" t="s">
        <v>30</v>
      </c>
      <c r="E40" s="2" t="s">
        <v>31</v>
      </c>
      <c r="F40" s="2" t="s">
        <v>56</v>
      </c>
      <c r="G40" s="2" t="s">
        <v>30</v>
      </c>
      <c r="H40" s="2" t="s">
        <v>162</v>
      </c>
      <c r="I40" s="2" t="s">
        <v>120</v>
      </c>
      <c r="J40" s="2">
        <v>371.58</v>
      </c>
      <c r="K40" s="2">
        <v>2</v>
      </c>
      <c r="L40" s="2" t="s">
        <v>35</v>
      </c>
      <c r="M40" s="2">
        <v>2</v>
      </c>
      <c r="N40" s="2">
        <v>1</v>
      </c>
      <c r="O40" s="2">
        <v>2</v>
      </c>
      <c r="P40" s="2" t="s">
        <v>44</v>
      </c>
      <c r="Q40" s="2" t="s">
        <v>50</v>
      </c>
      <c r="R40" s="2">
        <v>0</v>
      </c>
      <c r="S40" s="2">
        <v>10</v>
      </c>
      <c r="T40" s="2" t="s">
        <v>36</v>
      </c>
      <c r="U40" s="2" t="s">
        <v>60</v>
      </c>
      <c r="V40" s="2" t="s">
        <v>86</v>
      </c>
      <c r="W40" s="3">
        <v>45548</v>
      </c>
      <c r="X40" s="2" t="b">
        <v>1</v>
      </c>
      <c r="Y40" s="2" t="b">
        <v>1</v>
      </c>
      <c r="Z40" s="2" t="s">
        <v>52</v>
      </c>
      <c r="AA40" s="2" t="s">
        <v>41</v>
      </c>
      <c r="AB40" s="2">
        <v>11</v>
      </c>
      <c r="AC40" s="2">
        <f>SUMIF(N:N,Ecommerce_Consumer_Behavior_Analysis_Data3[[#This Row],[Brand_Loyalty]],M:M)</f>
        <v>582</v>
      </c>
      <c r="AD40" s="2">
        <f t="shared" si="2"/>
        <v>1881</v>
      </c>
      <c r="AE40" s="2">
        <f t="shared" si="0"/>
        <v>333.8</v>
      </c>
      <c r="AG40">
        <f t="shared" si="1"/>
        <v>353.4</v>
      </c>
    </row>
    <row r="41" spans="1:33" x14ac:dyDescent="0.25">
      <c r="A41" s="2" t="s">
        <v>163</v>
      </c>
      <c r="B41" s="2">
        <v>30</v>
      </c>
      <c r="C41" s="2" t="s">
        <v>43</v>
      </c>
      <c r="D41" s="2" t="s">
        <v>30</v>
      </c>
      <c r="E41" s="2" t="s">
        <v>69</v>
      </c>
      <c r="F41" s="2" t="s">
        <v>32</v>
      </c>
      <c r="G41" s="2" t="s">
        <v>30</v>
      </c>
      <c r="H41" s="2" t="s">
        <v>164</v>
      </c>
      <c r="I41" s="2" t="s">
        <v>104</v>
      </c>
      <c r="J41" s="2">
        <v>353.4</v>
      </c>
      <c r="K41" s="2">
        <v>2</v>
      </c>
      <c r="L41" s="2" t="s">
        <v>78</v>
      </c>
      <c r="M41" s="2">
        <v>2</v>
      </c>
      <c r="N41" s="2">
        <v>3</v>
      </c>
      <c r="O41" s="2">
        <v>2</v>
      </c>
      <c r="P41" s="2" t="s">
        <v>49</v>
      </c>
      <c r="Q41" s="2" t="s">
        <v>85</v>
      </c>
      <c r="R41" s="2">
        <v>0</v>
      </c>
      <c r="S41" s="2">
        <v>1</v>
      </c>
      <c r="T41" s="2" t="s">
        <v>59</v>
      </c>
      <c r="U41" s="2" t="s">
        <v>38</v>
      </c>
      <c r="V41" s="2" t="s">
        <v>39</v>
      </c>
      <c r="W41" s="3">
        <v>45632</v>
      </c>
      <c r="X41" s="2" t="b">
        <v>0</v>
      </c>
      <c r="Y41" s="2" t="b">
        <v>1</v>
      </c>
      <c r="Z41" s="2" t="s">
        <v>62</v>
      </c>
      <c r="AA41" s="2" t="s">
        <v>41</v>
      </c>
      <c r="AB41" s="2">
        <v>3</v>
      </c>
      <c r="AC41" s="2">
        <f>SUMIF(N:N,Ecommerce_Consumer_Behavior_Analysis_Data3[[#This Row],[Brand_Loyalty]],M:M)</f>
        <v>582</v>
      </c>
      <c r="AD41" s="2">
        <f t="shared" si="2"/>
        <v>1881</v>
      </c>
      <c r="AE41" s="2">
        <f t="shared" si="0"/>
        <v>211.7</v>
      </c>
      <c r="AG41">
        <f t="shared" si="1"/>
        <v>371.58</v>
      </c>
    </row>
    <row r="42" spans="1:33" x14ac:dyDescent="0.25">
      <c r="A42" s="2" t="s">
        <v>165</v>
      </c>
      <c r="B42" s="2">
        <v>46</v>
      </c>
      <c r="C42" s="2" t="s">
        <v>29</v>
      </c>
      <c r="D42" s="2" t="s">
        <v>30</v>
      </c>
      <c r="E42" s="2" t="s">
        <v>76</v>
      </c>
      <c r="F42" s="2" t="s">
        <v>45</v>
      </c>
      <c r="G42" s="2" t="s">
        <v>44</v>
      </c>
      <c r="H42" s="2" t="s">
        <v>166</v>
      </c>
      <c r="I42" s="2" t="s">
        <v>120</v>
      </c>
      <c r="J42" s="2">
        <v>329.41</v>
      </c>
      <c r="K42" s="2">
        <v>5</v>
      </c>
      <c r="L42" s="2" t="s">
        <v>48</v>
      </c>
      <c r="M42" s="2">
        <v>5</v>
      </c>
      <c r="N42" s="2">
        <v>3</v>
      </c>
      <c r="O42" s="2">
        <v>0</v>
      </c>
      <c r="P42" s="2" t="s">
        <v>49</v>
      </c>
      <c r="Q42" s="2" t="s">
        <v>37</v>
      </c>
      <c r="R42" s="2">
        <v>1</v>
      </c>
      <c r="S42" s="2">
        <v>1</v>
      </c>
      <c r="T42" s="2" t="s">
        <v>44</v>
      </c>
      <c r="U42" s="2" t="s">
        <v>79</v>
      </c>
      <c r="V42" s="2" t="s">
        <v>86</v>
      </c>
      <c r="W42" s="3">
        <v>45586</v>
      </c>
      <c r="X42" s="2" t="b">
        <v>1</v>
      </c>
      <c r="Y42" s="2" t="b">
        <v>1</v>
      </c>
      <c r="Z42" s="2" t="s">
        <v>40</v>
      </c>
      <c r="AA42" s="2" t="s">
        <v>41</v>
      </c>
      <c r="AB42" s="2">
        <v>2</v>
      </c>
      <c r="AC42" s="2">
        <f>SUMIF(N:N,Ecommerce_Consumer_Behavior_Analysis_Data3[[#This Row],[Brand_Loyalty]],M:M)</f>
        <v>641</v>
      </c>
      <c r="AD42" s="2">
        <f t="shared" si="2"/>
        <v>1857</v>
      </c>
      <c r="AE42" s="2">
        <f t="shared" si="0"/>
        <v>101.31</v>
      </c>
      <c r="AG42">
        <f t="shared" si="1"/>
        <v>329.41</v>
      </c>
    </row>
    <row r="43" spans="1:33" x14ac:dyDescent="0.25">
      <c r="A43" s="2" t="s">
        <v>167</v>
      </c>
      <c r="B43" s="2">
        <v>46</v>
      </c>
      <c r="C43" s="2" t="s">
        <v>29</v>
      </c>
      <c r="D43" s="2" t="s">
        <v>30</v>
      </c>
      <c r="E43" s="2" t="s">
        <v>31</v>
      </c>
      <c r="F43" s="2" t="s">
        <v>56</v>
      </c>
      <c r="G43" s="2" t="s">
        <v>30</v>
      </c>
      <c r="H43" s="2" t="s">
        <v>168</v>
      </c>
      <c r="I43" s="2" t="s">
        <v>47</v>
      </c>
      <c r="J43" s="2">
        <v>54.46</v>
      </c>
      <c r="K43" s="2">
        <v>5</v>
      </c>
      <c r="L43" s="2" t="s">
        <v>78</v>
      </c>
      <c r="M43" s="2">
        <v>4</v>
      </c>
      <c r="N43" s="2">
        <v>5</v>
      </c>
      <c r="O43" s="2">
        <v>1</v>
      </c>
      <c r="P43" s="2" t="s">
        <v>44</v>
      </c>
      <c r="Q43" s="2" t="s">
        <v>50</v>
      </c>
      <c r="R43" s="2">
        <v>1</v>
      </c>
      <c r="S43" s="2">
        <v>1</v>
      </c>
      <c r="T43" s="2" t="s">
        <v>59</v>
      </c>
      <c r="U43" s="2" t="s">
        <v>38</v>
      </c>
      <c r="V43" s="2" t="s">
        <v>66</v>
      </c>
      <c r="W43" s="3">
        <v>45613</v>
      </c>
      <c r="X43" s="2" t="b">
        <v>0</v>
      </c>
      <c r="Y43" s="2" t="b">
        <v>0</v>
      </c>
      <c r="Z43" s="2" t="s">
        <v>62</v>
      </c>
      <c r="AA43" s="2" t="s">
        <v>53</v>
      </c>
      <c r="AB43" s="2">
        <v>1</v>
      </c>
      <c r="AC43" s="2">
        <f>SUMIF(N:N,Ecommerce_Consumer_Behavior_Analysis_Data3[[#This Row],[Brand_Loyalty]],M:M)</f>
        <v>603</v>
      </c>
      <c r="AD43" s="2">
        <f t="shared" si="2"/>
        <v>1857</v>
      </c>
      <c r="AE43" s="2">
        <f t="shared" si="0"/>
        <v>211.7</v>
      </c>
      <c r="AG43">
        <f t="shared" si="1"/>
        <v>257.12</v>
      </c>
    </row>
    <row r="44" spans="1:33" x14ac:dyDescent="0.25">
      <c r="A44" s="2" t="s">
        <v>169</v>
      </c>
      <c r="B44" s="2">
        <v>43</v>
      </c>
      <c r="C44" s="2" t="s">
        <v>43</v>
      </c>
      <c r="D44" s="2" t="s">
        <v>44</v>
      </c>
      <c r="E44" s="2" t="s">
        <v>69</v>
      </c>
      <c r="F44" s="2" t="s">
        <v>56</v>
      </c>
      <c r="G44" s="2" t="s">
        <v>30</v>
      </c>
      <c r="H44" s="2" t="s">
        <v>170</v>
      </c>
      <c r="I44" s="2" t="s">
        <v>82</v>
      </c>
      <c r="J44" s="2">
        <v>257.12</v>
      </c>
      <c r="K44" s="2">
        <v>8</v>
      </c>
      <c r="L44" s="2" t="s">
        <v>78</v>
      </c>
      <c r="M44" s="2">
        <v>2</v>
      </c>
      <c r="N44" s="2">
        <v>1</v>
      </c>
      <c r="O44" s="2">
        <v>0</v>
      </c>
      <c r="P44" s="2" t="s">
        <v>44</v>
      </c>
      <c r="Q44" s="2" t="s">
        <v>50</v>
      </c>
      <c r="R44" s="2">
        <v>2</v>
      </c>
      <c r="S44" s="2">
        <v>1</v>
      </c>
      <c r="T44" s="2" t="s">
        <v>44</v>
      </c>
      <c r="U44" s="2" t="s">
        <v>60</v>
      </c>
      <c r="V44" s="2" t="s">
        <v>66</v>
      </c>
      <c r="W44" s="3">
        <v>45497</v>
      </c>
      <c r="X44" s="2" t="b">
        <v>1</v>
      </c>
      <c r="Y44" s="2" t="b">
        <v>0</v>
      </c>
      <c r="Z44" s="2" t="s">
        <v>62</v>
      </c>
      <c r="AA44" s="2" t="s">
        <v>41</v>
      </c>
      <c r="AB44" s="2">
        <v>11</v>
      </c>
      <c r="AC44" s="2">
        <f>SUMIF(N:N,Ecommerce_Consumer_Behavior_Analysis_Data3[[#This Row],[Brand_Loyalty]],M:M)</f>
        <v>582</v>
      </c>
      <c r="AD44" s="2">
        <f t="shared" si="2"/>
        <v>1881</v>
      </c>
      <c r="AE44" s="2">
        <f t="shared" si="0"/>
        <v>101.31</v>
      </c>
      <c r="AG44">
        <f t="shared" si="1"/>
        <v>257.12</v>
      </c>
    </row>
    <row r="45" spans="1:33" x14ac:dyDescent="0.25">
      <c r="A45" s="2" t="s">
        <v>171</v>
      </c>
      <c r="B45" s="2">
        <v>43</v>
      </c>
      <c r="C45" s="2" t="s">
        <v>43</v>
      </c>
      <c r="D45" s="2" t="s">
        <v>44</v>
      </c>
      <c r="E45" s="2" t="s">
        <v>76</v>
      </c>
      <c r="F45" s="2" t="s">
        <v>32</v>
      </c>
      <c r="G45" s="2" t="s">
        <v>30</v>
      </c>
      <c r="H45" s="2" t="s">
        <v>172</v>
      </c>
      <c r="I45" s="2" t="s">
        <v>135</v>
      </c>
      <c r="J45" s="2">
        <v>293.04000000000002</v>
      </c>
      <c r="K45" s="2">
        <v>11</v>
      </c>
      <c r="L45" s="2" t="s">
        <v>48</v>
      </c>
      <c r="M45" s="2">
        <v>4</v>
      </c>
      <c r="N45" s="2">
        <v>2</v>
      </c>
      <c r="O45" s="2">
        <v>1</v>
      </c>
      <c r="P45" s="2" t="s">
        <v>36</v>
      </c>
      <c r="Q45" s="2" t="s">
        <v>85</v>
      </c>
      <c r="R45" s="2">
        <v>1</v>
      </c>
      <c r="S45" s="2">
        <v>3</v>
      </c>
      <c r="T45" s="2" t="s">
        <v>59</v>
      </c>
      <c r="U45" s="2" t="s">
        <v>79</v>
      </c>
      <c r="V45" s="2" t="s">
        <v>51</v>
      </c>
      <c r="W45" s="3">
        <v>45354</v>
      </c>
      <c r="X45" s="2" t="b">
        <v>1</v>
      </c>
      <c r="Y45" s="2" t="b">
        <v>0</v>
      </c>
      <c r="Z45" s="2" t="s">
        <v>74</v>
      </c>
      <c r="AA45" s="2" t="s">
        <v>53</v>
      </c>
      <c r="AB45" s="2">
        <v>6</v>
      </c>
      <c r="AC45" s="2">
        <f>SUMIF(N:N,Ecommerce_Consumer_Behavior_Analysis_Data3[[#This Row],[Brand_Loyalty]],M:M)</f>
        <v>603</v>
      </c>
      <c r="AD45" s="2" t="e" cm="1" vm="1">
        <f t="array" aca="1" ref="AD45" ca="1">SUMIFS(Y:Y,Ecommerce_Consumer_Behavior_Analysis_Data3[[#This Row],[Payment_Method]],V:V)</f>
        <v>#VALUE!</v>
      </c>
      <c r="AE45" s="2">
        <f t="shared" si="0"/>
        <v>333.8</v>
      </c>
      <c r="AG45">
        <f t="shared" si="1"/>
        <v>257.12</v>
      </c>
    </row>
    <row r="46" spans="1:33" x14ac:dyDescent="0.25">
      <c r="A46" s="2" t="s">
        <v>173</v>
      </c>
      <c r="B46" s="2">
        <v>34</v>
      </c>
      <c r="C46" s="2" t="s">
        <v>43</v>
      </c>
      <c r="D46" s="2" t="s">
        <v>44</v>
      </c>
      <c r="E46" s="2" t="s">
        <v>55</v>
      </c>
      <c r="F46" s="2" t="s">
        <v>56</v>
      </c>
      <c r="G46" s="2" t="s">
        <v>44</v>
      </c>
      <c r="H46" s="2" t="s">
        <v>174</v>
      </c>
      <c r="I46" s="2" t="s">
        <v>82</v>
      </c>
      <c r="J46" s="2">
        <v>110.4</v>
      </c>
      <c r="K46" s="2">
        <v>12</v>
      </c>
      <c r="L46" s="2" t="s">
        <v>35</v>
      </c>
      <c r="M46" s="2">
        <v>5</v>
      </c>
      <c r="N46" s="2">
        <v>1</v>
      </c>
      <c r="O46" s="2">
        <v>2</v>
      </c>
      <c r="P46" s="2" t="s">
        <v>36</v>
      </c>
      <c r="Q46" s="2" t="s">
        <v>37</v>
      </c>
      <c r="R46" s="2">
        <v>1</v>
      </c>
      <c r="S46" s="2">
        <v>3</v>
      </c>
      <c r="T46" s="2" t="s">
        <v>49</v>
      </c>
      <c r="U46" s="2" t="s">
        <v>38</v>
      </c>
      <c r="V46" s="2" t="s">
        <v>61</v>
      </c>
      <c r="W46" s="3">
        <v>45609</v>
      </c>
      <c r="X46" s="2" t="b">
        <v>0</v>
      </c>
      <c r="Y46" s="2" t="b">
        <v>0</v>
      </c>
      <c r="Z46" s="2" t="s">
        <v>40</v>
      </c>
      <c r="AA46" s="2" t="s">
        <v>53</v>
      </c>
      <c r="AB46" s="2">
        <v>12</v>
      </c>
      <c r="AC46" s="2">
        <f>SUMIF(N:N,Ecommerce_Consumer_Behavior_Analysis_Data3[[#This Row],[Brand_Loyalty]],M:M)</f>
        <v>641</v>
      </c>
      <c r="AD46" s="2" t="e" cm="1" vm="1">
        <f t="array" aca="1" ref="AD46" ca="1">SUMIFS(Y:Y,Ecommerce_Consumer_Behavior_Analysis_Data3[[#This Row],[Payment_Method]],V:V)</f>
        <v>#VALUE!</v>
      </c>
      <c r="AE46" s="2">
        <f t="shared" si="0"/>
        <v>211.7</v>
      </c>
      <c r="AG46">
        <f t="shared" si="1"/>
        <v>76.27</v>
      </c>
    </row>
    <row r="47" spans="1:33" x14ac:dyDescent="0.25">
      <c r="A47" s="2" t="s">
        <v>175</v>
      </c>
      <c r="B47" s="2">
        <v>42</v>
      </c>
      <c r="C47" s="2" t="s">
        <v>29</v>
      </c>
      <c r="D47" s="2" t="s">
        <v>30</v>
      </c>
      <c r="E47" s="2" t="s">
        <v>31</v>
      </c>
      <c r="F47" s="2" t="s">
        <v>56</v>
      </c>
      <c r="G47" s="2" t="s">
        <v>44</v>
      </c>
      <c r="H47" s="2" t="s">
        <v>176</v>
      </c>
      <c r="I47" s="2" t="s">
        <v>93</v>
      </c>
      <c r="J47" s="2">
        <v>76.27</v>
      </c>
      <c r="K47" s="2">
        <v>4</v>
      </c>
      <c r="L47" s="2" t="s">
        <v>48</v>
      </c>
      <c r="M47" s="2">
        <v>2</v>
      </c>
      <c r="N47" s="2">
        <v>3</v>
      </c>
      <c r="O47" s="2">
        <v>0</v>
      </c>
      <c r="P47" s="2" t="s">
        <v>36</v>
      </c>
      <c r="Q47" s="2" t="s">
        <v>50</v>
      </c>
      <c r="R47" s="2">
        <v>0</v>
      </c>
      <c r="S47" s="2">
        <v>8</v>
      </c>
      <c r="T47" s="2" t="s">
        <v>49</v>
      </c>
      <c r="U47" s="2" t="s">
        <v>60</v>
      </c>
      <c r="V47" s="2" t="s">
        <v>39</v>
      </c>
      <c r="W47" s="3">
        <v>45650</v>
      </c>
      <c r="X47" s="2" t="b">
        <v>1</v>
      </c>
      <c r="Y47" s="2" t="b">
        <v>0</v>
      </c>
      <c r="Z47" s="2" t="s">
        <v>52</v>
      </c>
      <c r="AA47" s="2" t="s">
        <v>53</v>
      </c>
      <c r="AB47" s="2">
        <v>10</v>
      </c>
      <c r="AC47" s="2">
        <f>SUMIF(N:N,Ecommerce_Consumer_Behavior_Analysis_Data3[[#This Row],[Brand_Loyalty]],M:M)</f>
        <v>582</v>
      </c>
      <c r="AD47" s="2" t="e" cm="1" vm="1">
        <f t="array" aca="1" ref="AD47" ca="1">SUMIFS(Y:Y,Ecommerce_Consumer_Behavior_Analysis_Data3[[#This Row],[Payment_Method]],V:V)</f>
        <v>#VALUE!</v>
      </c>
      <c r="AE47" s="2">
        <f t="shared" si="0"/>
        <v>101.31</v>
      </c>
      <c r="AG47">
        <f t="shared" si="1"/>
        <v>76.27</v>
      </c>
    </row>
    <row r="48" spans="1:33" x14ac:dyDescent="0.25">
      <c r="A48" s="2" t="s">
        <v>177</v>
      </c>
      <c r="B48" s="2">
        <v>40</v>
      </c>
      <c r="C48" s="2" t="s">
        <v>29</v>
      </c>
      <c r="D48" s="2" t="s">
        <v>44</v>
      </c>
      <c r="E48" s="2" t="s">
        <v>69</v>
      </c>
      <c r="F48" s="2" t="s">
        <v>32</v>
      </c>
      <c r="G48" s="2" t="s">
        <v>30</v>
      </c>
      <c r="H48" s="2" t="s">
        <v>178</v>
      </c>
      <c r="I48" s="2" t="s">
        <v>126</v>
      </c>
      <c r="J48" s="2">
        <v>392.08</v>
      </c>
      <c r="K48" s="2">
        <v>6</v>
      </c>
      <c r="L48" s="2" t="s">
        <v>78</v>
      </c>
      <c r="M48" s="2">
        <v>2</v>
      </c>
      <c r="N48" s="2">
        <v>5</v>
      </c>
      <c r="O48" s="2">
        <v>1</v>
      </c>
      <c r="P48" s="2" t="s">
        <v>36</v>
      </c>
      <c r="Q48" s="2" t="s">
        <v>85</v>
      </c>
      <c r="R48" s="2">
        <v>2</v>
      </c>
      <c r="S48" s="2">
        <v>7</v>
      </c>
      <c r="T48" s="2" t="s">
        <v>44</v>
      </c>
      <c r="U48" s="2" t="s">
        <v>38</v>
      </c>
      <c r="V48" s="2" t="s">
        <v>66</v>
      </c>
      <c r="W48" s="3">
        <v>45508</v>
      </c>
      <c r="X48" s="2" t="b">
        <v>1</v>
      </c>
      <c r="Y48" s="2" t="b">
        <v>1</v>
      </c>
      <c r="Z48" s="2" t="s">
        <v>40</v>
      </c>
      <c r="AA48" s="2" t="s">
        <v>67</v>
      </c>
      <c r="AB48" s="2">
        <v>6</v>
      </c>
      <c r="AC48" s="2">
        <f>SUMIF(N:N,Ecommerce_Consumer_Behavior_Analysis_Data3[[#This Row],[Brand_Loyalty]],M:M)</f>
        <v>582</v>
      </c>
      <c r="AD48" s="2" t="e" cm="1" vm="1">
        <f t="array" aca="1" ref="AD48" ca="1">SUMIFS(Y:Y,Ecommerce_Consumer_Behavior_Analysis_Data3[[#This Row],[Payment_Method]],V:V)</f>
        <v>#VALUE!</v>
      </c>
      <c r="AE48" s="2">
        <f t="shared" si="0"/>
        <v>211.7</v>
      </c>
      <c r="AG48">
        <f t="shared" si="1"/>
        <v>76.27</v>
      </c>
    </row>
    <row r="49" spans="1:33" x14ac:dyDescent="0.25">
      <c r="A49" s="2" t="s">
        <v>179</v>
      </c>
      <c r="B49" s="2">
        <v>25</v>
      </c>
      <c r="C49" s="2" t="s">
        <v>29</v>
      </c>
      <c r="D49" s="2" t="s">
        <v>44</v>
      </c>
      <c r="E49" s="2" t="s">
        <v>31</v>
      </c>
      <c r="F49" s="2" t="s">
        <v>32</v>
      </c>
      <c r="G49" s="2" t="s">
        <v>44</v>
      </c>
      <c r="H49" s="2" t="s">
        <v>180</v>
      </c>
      <c r="I49" s="2" t="s">
        <v>126</v>
      </c>
      <c r="J49" s="2">
        <v>51.22</v>
      </c>
      <c r="K49" s="2">
        <v>6</v>
      </c>
      <c r="L49" s="2" t="s">
        <v>78</v>
      </c>
      <c r="M49" s="2">
        <v>2</v>
      </c>
      <c r="N49" s="2">
        <v>1</v>
      </c>
      <c r="O49" s="2">
        <v>0</v>
      </c>
      <c r="P49" s="2" t="s">
        <v>36</v>
      </c>
      <c r="Q49" s="2" t="s">
        <v>85</v>
      </c>
      <c r="R49" s="2">
        <v>1</v>
      </c>
      <c r="S49" s="2">
        <v>5</v>
      </c>
      <c r="T49" s="2" t="s">
        <v>49</v>
      </c>
      <c r="U49" s="2" t="s">
        <v>38</v>
      </c>
      <c r="V49" s="2" t="s">
        <v>86</v>
      </c>
      <c r="W49" s="3">
        <v>45529</v>
      </c>
      <c r="X49" s="2" t="b">
        <v>1</v>
      </c>
      <c r="Y49" s="2" t="b">
        <v>1</v>
      </c>
      <c r="Z49" s="2" t="s">
        <v>74</v>
      </c>
      <c r="AA49" s="2" t="s">
        <v>53</v>
      </c>
      <c r="AB49" s="2">
        <v>5</v>
      </c>
      <c r="AC49" s="2">
        <f>SUMIF(N:N,Ecommerce_Consumer_Behavior_Analysis_Data3[[#This Row],[Brand_Loyalty]],M:M)</f>
        <v>582</v>
      </c>
      <c r="AD49" s="2" t="e" cm="1" vm="1">
        <f t="array" aca="1" ref="AD49" ca="1">SUMIFS(Y:Y,Ecommerce_Consumer_Behavior_Analysis_Data3[[#This Row],[Payment_Method]],V:V)</f>
        <v>#VALUE!</v>
      </c>
      <c r="AE49" s="2">
        <f t="shared" si="0"/>
        <v>211.7</v>
      </c>
      <c r="AG49">
        <f t="shared" si="1"/>
        <v>227.57</v>
      </c>
    </row>
    <row r="50" spans="1:33" x14ac:dyDescent="0.25">
      <c r="A50" s="2" t="s">
        <v>181</v>
      </c>
      <c r="B50" s="2">
        <v>38</v>
      </c>
      <c r="C50" s="2" t="s">
        <v>43</v>
      </c>
      <c r="D50" s="2" t="s">
        <v>30</v>
      </c>
      <c r="E50" s="2" t="s">
        <v>76</v>
      </c>
      <c r="F50" s="2" t="s">
        <v>32</v>
      </c>
      <c r="G50" s="2" t="s">
        <v>44</v>
      </c>
      <c r="H50" s="2" t="s">
        <v>182</v>
      </c>
      <c r="I50" s="2" t="s">
        <v>183</v>
      </c>
      <c r="J50" s="2">
        <v>227.57</v>
      </c>
      <c r="K50" s="2">
        <v>2</v>
      </c>
      <c r="L50" s="2" t="s">
        <v>78</v>
      </c>
      <c r="M50" s="2">
        <v>1</v>
      </c>
      <c r="N50" s="2">
        <v>2</v>
      </c>
      <c r="O50" s="2">
        <v>0</v>
      </c>
      <c r="P50" s="2" t="s">
        <v>44</v>
      </c>
      <c r="Q50" s="2" t="s">
        <v>37</v>
      </c>
      <c r="R50" s="2">
        <v>1</v>
      </c>
      <c r="S50" s="2">
        <v>6</v>
      </c>
      <c r="T50" s="2" t="s">
        <v>36</v>
      </c>
      <c r="U50" s="2" t="s">
        <v>38</v>
      </c>
      <c r="V50" s="2" t="s">
        <v>51</v>
      </c>
      <c r="W50" s="3">
        <v>45521</v>
      </c>
      <c r="X50" s="2" t="b">
        <v>0</v>
      </c>
      <c r="Y50" s="2" t="b">
        <v>1</v>
      </c>
      <c r="Z50" s="2" t="s">
        <v>52</v>
      </c>
      <c r="AA50" s="2" t="s">
        <v>41</v>
      </c>
      <c r="AB50" s="2">
        <v>14</v>
      </c>
      <c r="AC50" s="2">
        <f>SUMIF(N:N,Ecommerce_Consumer_Behavior_Analysis_Data3[[#This Row],[Brand_Loyalty]],M:M)</f>
        <v>603</v>
      </c>
      <c r="AD50" s="2" t="e" cm="1" vm="1">
        <f t="array" aca="1" ref="AD50" ca="1">SUMIFS(Y:Y,Ecommerce_Consumer_Behavior_Analysis_Data3[[#This Row],[Payment_Method]],V:V)</f>
        <v>#VALUE!</v>
      </c>
      <c r="AE50" s="2">
        <f t="shared" si="0"/>
        <v>211.7</v>
      </c>
      <c r="AG50">
        <f t="shared" si="1"/>
        <v>51.22</v>
      </c>
    </row>
    <row r="51" spans="1:33" x14ac:dyDescent="0.25">
      <c r="A51" s="2" t="s">
        <v>184</v>
      </c>
      <c r="B51" s="2">
        <v>46</v>
      </c>
      <c r="C51" s="2" t="s">
        <v>29</v>
      </c>
      <c r="D51" s="2" t="s">
        <v>30</v>
      </c>
      <c r="E51" s="2" t="s">
        <v>69</v>
      </c>
      <c r="F51" s="2" t="s">
        <v>32</v>
      </c>
      <c r="G51" s="2" t="s">
        <v>30</v>
      </c>
      <c r="H51" s="2" t="s">
        <v>185</v>
      </c>
      <c r="I51" s="2" t="s">
        <v>158</v>
      </c>
      <c r="J51" s="2">
        <v>378.87</v>
      </c>
      <c r="K51" s="2">
        <v>7</v>
      </c>
      <c r="L51" s="2" t="s">
        <v>78</v>
      </c>
      <c r="M51" s="2">
        <v>1</v>
      </c>
      <c r="N51" s="2">
        <v>2</v>
      </c>
      <c r="O51" s="2">
        <v>0</v>
      </c>
      <c r="P51" s="2" t="s">
        <v>36</v>
      </c>
      <c r="Q51" s="2" t="s">
        <v>85</v>
      </c>
      <c r="R51" s="2">
        <v>1</v>
      </c>
      <c r="S51" s="2">
        <v>2</v>
      </c>
      <c r="T51" s="2" t="s">
        <v>59</v>
      </c>
      <c r="U51" s="2" t="s">
        <v>38</v>
      </c>
      <c r="V51" s="2" t="s">
        <v>51</v>
      </c>
      <c r="W51" s="3">
        <v>45383</v>
      </c>
      <c r="X51" s="2" t="b">
        <v>1</v>
      </c>
      <c r="Y51" s="2" t="b">
        <v>0</v>
      </c>
      <c r="Z51" s="2" t="s">
        <v>74</v>
      </c>
      <c r="AA51" s="2" t="s">
        <v>41</v>
      </c>
      <c r="AB51" s="2">
        <v>5</v>
      </c>
      <c r="AC51" s="2">
        <f>SUMIF(N:N,Ecommerce_Consumer_Behavior_Analysis_Data3[[#This Row],[Brand_Loyalty]],M:M)</f>
        <v>603</v>
      </c>
      <c r="AD51" s="2" t="e" cm="1" vm="1">
        <f t="array" aca="1" ref="AD51" ca="1">SUMIFS(Y:Y,Ecommerce_Consumer_Behavior_Analysis_Data3[[#This Row],[Payment_Method]],V:V)</f>
        <v>#VALUE!</v>
      </c>
      <c r="AE51" s="2">
        <f t="shared" si="0"/>
        <v>333.8</v>
      </c>
      <c r="AG51">
        <f t="shared" si="1"/>
        <v>378.87</v>
      </c>
    </row>
    <row r="52" spans="1:33" x14ac:dyDescent="0.25">
      <c r="A52" s="2" t="s">
        <v>186</v>
      </c>
      <c r="B52" s="2">
        <v>24</v>
      </c>
      <c r="C52" s="2" t="s">
        <v>29</v>
      </c>
      <c r="D52" s="2" t="s">
        <v>30</v>
      </c>
      <c r="E52" s="2" t="s">
        <v>69</v>
      </c>
      <c r="F52" s="2" t="s">
        <v>45</v>
      </c>
      <c r="G52" s="2" t="s">
        <v>44</v>
      </c>
      <c r="H52" s="2" t="s">
        <v>187</v>
      </c>
      <c r="I52" s="2" t="s">
        <v>188</v>
      </c>
      <c r="J52" s="2">
        <v>423.92</v>
      </c>
      <c r="K52" s="2">
        <v>8</v>
      </c>
      <c r="L52" s="2" t="s">
        <v>35</v>
      </c>
      <c r="M52" s="2">
        <v>3</v>
      </c>
      <c r="N52" s="2">
        <v>1</v>
      </c>
      <c r="O52" s="2">
        <v>2</v>
      </c>
      <c r="P52" s="2" t="s">
        <v>59</v>
      </c>
      <c r="Q52" s="2" t="s">
        <v>37</v>
      </c>
      <c r="R52" s="2">
        <v>0</v>
      </c>
      <c r="S52" s="2">
        <v>9</v>
      </c>
      <c r="T52" s="2" t="s">
        <v>44</v>
      </c>
      <c r="U52" s="2" t="s">
        <v>38</v>
      </c>
      <c r="V52" s="2" t="s">
        <v>39</v>
      </c>
      <c r="W52" s="3">
        <v>45528</v>
      </c>
      <c r="X52" s="2" t="b">
        <v>0</v>
      </c>
      <c r="Y52" s="2" t="b">
        <v>1</v>
      </c>
      <c r="Z52" s="2" t="s">
        <v>40</v>
      </c>
      <c r="AA52" s="2" t="s">
        <v>53</v>
      </c>
      <c r="AB52" s="2">
        <v>8</v>
      </c>
      <c r="AC52" s="2">
        <f>SUMIF(N:N,Ecommerce_Consumer_Behavior_Analysis_Data3[[#This Row],[Brand_Loyalty]],M:M)</f>
        <v>597</v>
      </c>
      <c r="AD52" s="2" t="e" cm="1" vm="1">
        <f t="array" aca="1" ref="AD52" ca="1">SUMIFS(Y:Y,Ecommerce_Consumer_Behavior_Analysis_Data3[[#This Row],[Payment_Method]],V:V)</f>
        <v>#VALUE!</v>
      </c>
      <c r="AE52" s="2">
        <f t="shared" si="0"/>
        <v>211.7</v>
      </c>
      <c r="AG52">
        <f t="shared" si="1"/>
        <v>111.24</v>
      </c>
    </row>
    <row r="53" spans="1:33" x14ac:dyDescent="0.25">
      <c r="A53" s="2" t="s">
        <v>189</v>
      </c>
      <c r="B53" s="2">
        <v>43</v>
      </c>
      <c r="C53" s="2" t="s">
        <v>190</v>
      </c>
      <c r="D53" s="2" t="s">
        <v>44</v>
      </c>
      <c r="E53" s="2" t="s">
        <v>69</v>
      </c>
      <c r="F53" s="2" t="s">
        <v>56</v>
      </c>
      <c r="G53" s="2" t="s">
        <v>30</v>
      </c>
      <c r="H53" s="2" t="s">
        <v>191</v>
      </c>
      <c r="I53" s="2" t="s">
        <v>135</v>
      </c>
      <c r="J53" s="2">
        <v>111.24</v>
      </c>
      <c r="K53" s="2">
        <v>9</v>
      </c>
      <c r="L53" s="2" t="s">
        <v>35</v>
      </c>
      <c r="M53" s="2">
        <v>5</v>
      </c>
      <c r="N53" s="2">
        <v>2</v>
      </c>
      <c r="O53" s="2">
        <v>0</v>
      </c>
      <c r="P53" s="2" t="s">
        <v>49</v>
      </c>
      <c r="Q53" s="2" t="s">
        <v>37</v>
      </c>
      <c r="R53" s="2">
        <v>0</v>
      </c>
      <c r="S53" s="2">
        <v>2</v>
      </c>
      <c r="T53" s="2" t="s">
        <v>44</v>
      </c>
      <c r="U53" s="2" t="s">
        <v>60</v>
      </c>
      <c r="V53" s="2" t="s">
        <v>39</v>
      </c>
      <c r="W53" s="3">
        <v>45510</v>
      </c>
      <c r="X53" s="2" t="b">
        <v>1</v>
      </c>
      <c r="Y53" s="2" t="b">
        <v>0</v>
      </c>
      <c r="Z53" s="2" t="s">
        <v>40</v>
      </c>
      <c r="AA53" s="2" t="s">
        <v>41</v>
      </c>
      <c r="AB53" s="2">
        <v>12</v>
      </c>
      <c r="AC53" s="2">
        <f>SUMIF(N:N,Ecommerce_Consumer_Behavior_Analysis_Data3[[#This Row],[Brand_Loyalty]],M:M)</f>
        <v>641</v>
      </c>
      <c r="AD53" s="2" t="e" cm="1" vm="1">
        <f t="array" aca="1" ref="AD53" ca="1">SUMIFS(Y:Y,Ecommerce_Consumer_Behavior_Analysis_Data3[[#This Row],[Payment_Method]],V:V)</f>
        <v>#VALUE!</v>
      </c>
      <c r="AE53" s="2">
        <f t="shared" si="0"/>
        <v>101.31</v>
      </c>
      <c r="AG53">
        <f t="shared" si="1"/>
        <v>423.92</v>
      </c>
    </row>
    <row r="54" spans="1:33" x14ac:dyDescent="0.25">
      <c r="A54" s="2" t="s">
        <v>192</v>
      </c>
      <c r="B54" s="2">
        <v>37</v>
      </c>
      <c r="C54" s="2" t="s">
        <v>29</v>
      </c>
      <c r="D54" s="2" t="s">
        <v>30</v>
      </c>
      <c r="E54" s="2" t="s">
        <v>55</v>
      </c>
      <c r="F54" s="2" t="s">
        <v>32</v>
      </c>
      <c r="G54" s="2" t="s">
        <v>30</v>
      </c>
      <c r="H54" s="2" t="s">
        <v>193</v>
      </c>
      <c r="I54" s="2" t="s">
        <v>194</v>
      </c>
      <c r="J54" s="2">
        <v>299.31</v>
      </c>
      <c r="K54" s="2">
        <v>7</v>
      </c>
      <c r="L54" s="2" t="s">
        <v>35</v>
      </c>
      <c r="M54" s="2">
        <v>2</v>
      </c>
      <c r="N54" s="2">
        <v>4</v>
      </c>
      <c r="O54" s="2">
        <v>1</v>
      </c>
      <c r="P54" s="2" t="s">
        <v>49</v>
      </c>
      <c r="Q54" s="2" t="s">
        <v>85</v>
      </c>
      <c r="R54" s="2">
        <v>2</v>
      </c>
      <c r="S54" s="2">
        <v>3</v>
      </c>
      <c r="T54" s="2" t="s">
        <v>36</v>
      </c>
      <c r="U54" s="2" t="s">
        <v>79</v>
      </c>
      <c r="V54" s="2" t="s">
        <v>61</v>
      </c>
      <c r="W54" s="3">
        <v>45323</v>
      </c>
      <c r="X54" s="2" t="b">
        <v>1</v>
      </c>
      <c r="Y54" s="2" t="b">
        <v>0</v>
      </c>
      <c r="Z54" s="2" t="s">
        <v>40</v>
      </c>
      <c r="AA54" s="2" t="s">
        <v>67</v>
      </c>
      <c r="AB54" s="2">
        <v>3</v>
      </c>
      <c r="AC54" s="2">
        <f>SUMIF(N:N,Ecommerce_Consumer_Behavior_Analysis_Data3[[#This Row],[Brand_Loyalty]],M:M)</f>
        <v>582</v>
      </c>
      <c r="AD54" s="2" t="e" cm="1" vm="1">
        <f t="array" aca="1" ref="AD54" ca="1">SUMIFS(Y:Y,Ecommerce_Consumer_Behavior_Analysis_Data3[[#This Row],[Payment_Method]],V:V)</f>
        <v>#VALUE!</v>
      </c>
      <c r="AE54" s="2">
        <f t="shared" si="0"/>
        <v>101.31</v>
      </c>
      <c r="AG54">
        <f t="shared" si="1"/>
        <v>169.28</v>
      </c>
    </row>
    <row r="55" spans="1:33" x14ac:dyDescent="0.25">
      <c r="A55" s="2" t="s">
        <v>195</v>
      </c>
      <c r="B55" s="2">
        <v>42</v>
      </c>
      <c r="C55" s="2" t="s">
        <v>43</v>
      </c>
      <c r="D55" s="2" t="s">
        <v>30</v>
      </c>
      <c r="E55" s="2" t="s">
        <v>69</v>
      </c>
      <c r="F55" s="2" t="s">
        <v>56</v>
      </c>
      <c r="G55" s="2" t="s">
        <v>30</v>
      </c>
      <c r="H55" s="2" t="s">
        <v>196</v>
      </c>
      <c r="I55" s="2" t="s">
        <v>101</v>
      </c>
      <c r="J55" s="2">
        <v>169.28</v>
      </c>
      <c r="K55" s="2">
        <v>7</v>
      </c>
      <c r="L55" s="2" t="s">
        <v>35</v>
      </c>
      <c r="M55" s="2">
        <v>4</v>
      </c>
      <c r="N55" s="2">
        <v>4</v>
      </c>
      <c r="O55" s="2">
        <v>1</v>
      </c>
      <c r="P55" s="2" t="s">
        <v>36</v>
      </c>
      <c r="Q55" s="2" t="s">
        <v>37</v>
      </c>
      <c r="R55" s="2">
        <v>2</v>
      </c>
      <c r="S55" s="2">
        <v>1</v>
      </c>
      <c r="T55" s="2" t="s">
        <v>59</v>
      </c>
      <c r="U55" s="2" t="s">
        <v>38</v>
      </c>
      <c r="V55" s="2" t="s">
        <v>86</v>
      </c>
      <c r="W55" s="3">
        <v>45460</v>
      </c>
      <c r="X55" s="2" t="b">
        <v>1</v>
      </c>
      <c r="Y55" s="2" t="b">
        <v>1</v>
      </c>
      <c r="Z55" s="2" t="s">
        <v>62</v>
      </c>
      <c r="AA55" s="2" t="s">
        <v>41</v>
      </c>
      <c r="AB55" s="2">
        <v>6</v>
      </c>
      <c r="AC55" s="2">
        <f>SUMIF(N:N,Ecommerce_Consumer_Behavior_Analysis_Data3[[#This Row],[Brand_Loyalty]],M:M)</f>
        <v>603</v>
      </c>
      <c r="AD55" s="2" t="e" cm="1" vm="1">
        <f t="array" aca="1" ref="AD55" ca="1">SUMIFS(Y:Y,Ecommerce_Consumer_Behavior_Analysis_Data3[[#This Row],[Payment_Method]],V:V)</f>
        <v>#VALUE!</v>
      </c>
      <c r="AE55" s="2">
        <f t="shared" si="0"/>
        <v>389.7</v>
      </c>
      <c r="AG55">
        <f t="shared" si="1"/>
        <v>169.28</v>
      </c>
    </row>
    <row r="56" spans="1:33" x14ac:dyDescent="0.25">
      <c r="A56" s="2" t="s">
        <v>197</v>
      </c>
      <c r="B56" s="2">
        <v>29</v>
      </c>
      <c r="C56" s="2" t="s">
        <v>43</v>
      </c>
      <c r="D56" s="2" t="s">
        <v>30</v>
      </c>
      <c r="E56" s="2" t="s">
        <v>69</v>
      </c>
      <c r="F56" s="2" t="s">
        <v>45</v>
      </c>
      <c r="G56" s="2" t="s">
        <v>44</v>
      </c>
      <c r="H56" s="2" t="s">
        <v>198</v>
      </c>
      <c r="I56" s="2" t="s">
        <v>58</v>
      </c>
      <c r="J56" s="2">
        <v>449.13</v>
      </c>
      <c r="K56" s="2">
        <v>9</v>
      </c>
      <c r="L56" s="2" t="s">
        <v>48</v>
      </c>
      <c r="M56" s="2">
        <v>2</v>
      </c>
      <c r="N56" s="2">
        <v>1</v>
      </c>
      <c r="O56" s="2">
        <v>0.5</v>
      </c>
      <c r="P56" s="2" t="s">
        <v>49</v>
      </c>
      <c r="Q56" s="2" t="s">
        <v>50</v>
      </c>
      <c r="R56" s="2">
        <v>2</v>
      </c>
      <c r="S56" s="2">
        <v>2</v>
      </c>
      <c r="T56" s="2" t="s">
        <v>59</v>
      </c>
      <c r="U56" s="2" t="s">
        <v>38</v>
      </c>
      <c r="V56" s="2" t="s">
        <v>39</v>
      </c>
      <c r="W56" s="3">
        <v>45455</v>
      </c>
      <c r="X56" s="2" t="b">
        <v>0</v>
      </c>
      <c r="Y56" s="2" t="b">
        <v>0</v>
      </c>
      <c r="Z56" s="2" t="s">
        <v>74</v>
      </c>
      <c r="AA56" s="2" t="s">
        <v>41</v>
      </c>
      <c r="AB56" s="2">
        <v>14</v>
      </c>
      <c r="AC56" s="2">
        <f>SUMIF(N:N,Ecommerce_Consumer_Behavior_Analysis_Data3[[#This Row],[Brand_Loyalty]],M:M)</f>
        <v>582</v>
      </c>
      <c r="AD56" s="2" t="e" cm="1" vm="1">
        <f t="array" aca="1" ref="AD56" ca="1">SUMIFS(Y:Y,Ecommerce_Consumer_Behavior_Analysis_Data3[[#This Row],[Payment_Method]],V:V)</f>
        <v>#VALUE!</v>
      </c>
      <c r="AE56" s="2">
        <f t="shared" si="0"/>
        <v>211.7</v>
      </c>
      <c r="AG56">
        <f t="shared" si="1"/>
        <v>427.48</v>
      </c>
    </row>
    <row r="57" spans="1:33" x14ac:dyDescent="0.25">
      <c r="A57" s="2" t="s">
        <v>199</v>
      </c>
      <c r="B57" s="2">
        <v>35</v>
      </c>
      <c r="C57" s="2" t="s">
        <v>29</v>
      </c>
      <c r="D57" s="2" t="s">
        <v>44</v>
      </c>
      <c r="E57" s="2" t="s">
        <v>31</v>
      </c>
      <c r="F57" s="2" t="s">
        <v>56</v>
      </c>
      <c r="G57" s="2" t="s">
        <v>44</v>
      </c>
      <c r="H57" s="2" t="s">
        <v>200</v>
      </c>
      <c r="I57" s="2" t="s">
        <v>101</v>
      </c>
      <c r="J57" s="2">
        <v>427.48</v>
      </c>
      <c r="K57" s="2">
        <v>6</v>
      </c>
      <c r="L57" s="2" t="s">
        <v>78</v>
      </c>
      <c r="M57" s="2">
        <v>4</v>
      </c>
      <c r="N57" s="2">
        <v>2</v>
      </c>
      <c r="O57" s="2">
        <v>0</v>
      </c>
      <c r="P57" s="2" t="s">
        <v>49</v>
      </c>
      <c r="Q57" s="2" t="s">
        <v>50</v>
      </c>
      <c r="R57" s="2">
        <v>1</v>
      </c>
      <c r="S57" s="2">
        <v>1</v>
      </c>
      <c r="T57" s="2" t="s">
        <v>59</v>
      </c>
      <c r="U57" s="2" t="s">
        <v>60</v>
      </c>
      <c r="V57" s="2" t="s">
        <v>61</v>
      </c>
      <c r="W57" s="3">
        <v>45642</v>
      </c>
      <c r="X57" s="2" t="b">
        <v>1</v>
      </c>
      <c r="Y57" s="2" t="b">
        <v>0</v>
      </c>
      <c r="Z57" s="2" t="s">
        <v>62</v>
      </c>
      <c r="AA57" s="2" t="s">
        <v>53</v>
      </c>
      <c r="AB57" s="2">
        <v>11</v>
      </c>
      <c r="AC57" s="2">
        <f>SUMIF(N:N,Ecommerce_Consumer_Behavior_Analysis_Data3[[#This Row],[Brand_Loyalty]],M:M)</f>
        <v>603</v>
      </c>
      <c r="AD57" s="2" t="e" cm="1" vm="1">
        <f t="array" aca="1" ref="AD57" ca="1">SUMIFS(Y:Y,Ecommerce_Consumer_Behavior_Analysis_Data3[[#This Row],[Payment_Method]],V:V)</f>
        <v>#VALUE!</v>
      </c>
      <c r="AE57" s="2">
        <f t="shared" si="0"/>
        <v>333.8</v>
      </c>
      <c r="AG57">
        <f t="shared" si="1"/>
        <v>427.48</v>
      </c>
    </row>
    <row r="58" spans="1:33" x14ac:dyDescent="0.25">
      <c r="A58" s="2" t="s">
        <v>201</v>
      </c>
      <c r="B58" s="2">
        <v>27</v>
      </c>
      <c r="C58" s="2" t="s">
        <v>29</v>
      </c>
      <c r="D58" s="2" t="s">
        <v>30</v>
      </c>
      <c r="E58" s="2" t="s">
        <v>55</v>
      </c>
      <c r="F58" s="2" t="s">
        <v>45</v>
      </c>
      <c r="G58" s="2" t="s">
        <v>44</v>
      </c>
      <c r="H58" s="2" t="s">
        <v>202</v>
      </c>
      <c r="I58" s="2" t="s">
        <v>90</v>
      </c>
      <c r="J58" s="2">
        <v>171.61</v>
      </c>
      <c r="K58" s="2">
        <v>3</v>
      </c>
      <c r="L58" s="2" t="s">
        <v>78</v>
      </c>
      <c r="M58" s="2">
        <v>3</v>
      </c>
      <c r="N58" s="2">
        <v>1</v>
      </c>
      <c r="O58" s="2">
        <v>2</v>
      </c>
      <c r="P58" s="2" t="s">
        <v>59</v>
      </c>
      <c r="Q58" s="2" t="s">
        <v>85</v>
      </c>
      <c r="R58" s="2">
        <v>1</v>
      </c>
      <c r="S58" s="2">
        <v>6</v>
      </c>
      <c r="T58" s="2" t="s">
        <v>44</v>
      </c>
      <c r="U58" s="2" t="s">
        <v>79</v>
      </c>
      <c r="V58" s="2" t="s">
        <v>39</v>
      </c>
      <c r="W58" s="3">
        <v>45596</v>
      </c>
      <c r="X58" s="2" t="b">
        <v>1</v>
      </c>
      <c r="Y58" s="2" t="b">
        <v>0</v>
      </c>
      <c r="Z58" s="2" t="s">
        <v>74</v>
      </c>
      <c r="AA58" s="2" t="s">
        <v>67</v>
      </c>
      <c r="AB58" s="2">
        <v>8</v>
      </c>
      <c r="AC58" s="2">
        <f>SUMIF(N:N,Ecommerce_Consumer_Behavior_Analysis_Data3[[#This Row],[Brand_Loyalty]],M:M)</f>
        <v>597</v>
      </c>
      <c r="AD58" s="2" t="e" cm="1" vm="1">
        <f t="array" aca="1" ref="AD58" ca="1">SUMIFS(Y:Y,Ecommerce_Consumer_Behavior_Analysis_Data3[[#This Row],[Payment_Method]],V:V)</f>
        <v>#VALUE!</v>
      </c>
      <c r="AE58" s="2">
        <f t="shared" si="0"/>
        <v>333.8</v>
      </c>
      <c r="AG58">
        <f t="shared" si="1"/>
        <v>427.48</v>
      </c>
    </row>
    <row r="59" spans="1:33" x14ac:dyDescent="0.25">
      <c r="A59" s="2" t="s">
        <v>203</v>
      </c>
      <c r="B59" s="2">
        <v>40</v>
      </c>
      <c r="C59" s="2" t="s">
        <v>29</v>
      </c>
      <c r="D59" s="2" t="s">
        <v>44</v>
      </c>
      <c r="E59" s="2" t="s">
        <v>31</v>
      </c>
      <c r="F59" s="2" t="s">
        <v>32</v>
      </c>
      <c r="G59" s="2" t="s">
        <v>44</v>
      </c>
      <c r="H59" s="2" t="s">
        <v>204</v>
      </c>
      <c r="I59" s="2" t="s">
        <v>82</v>
      </c>
      <c r="J59" s="2">
        <v>240.28</v>
      </c>
      <c r="K59" s="2">
        <v>3</v>
      </c>
      <c r="L59" s="2" t="s">
        <v>78</v>
      </c>
      <c r="M59" s="2">
        <v>3</v>
      </c>
      <c r="N59" s="2">
        <v>5</v>
      </c>
      <c r="O59" s="2">
        <v>2</v>
      </c>
      <c r="P59" s="2" t="s">
        <v>44</v>
      </c>
      <c r="Q59" s="2" t="s">
        <v>50</v>
      </c>
      <c r="R59" s="2">
        <v>2</v>
      </c>
      <c r="S59" s="2">
        <v>7</v>
      </c>
      <c r="T59" s="2" t="s">
        <v>49</v>
      </c>
      <c r="U59" s="2" t="s">
        <v>38</v>
      </c>
      <c r="V59" s="2" t="s">
        <v>86</v>
      </c>
      <c r="W59" s="3">
        <v>45633</v>
      </c>
      <c r="X59" s="2" t="b">
        <v>1</v>
      </c>
      <c r="Y59" s="2" t="b">
        <v>1</v>
      </c>
      <c r="Z59" s="2" t="s">
        <v>62</v>
      </c>
      <c r="AA59" s="2" t="s">
        <v>53</v>
      </c>
      <c r="AB59" s="2">
        <v>4</v>
      </c>
      <c r="AC59" s="2">
        <f>SUMIF(N:N,Ecommerce_Consumer_Behavior_Analysis_Data3[[#This Row],[Brand_Loyalty]],M:M)</f>
        <v>597</v>
      </c>
      <c r="AD59" s="2" t="e" cm="1" vm="1">
        <f t="array" aca="1" ref="AD59" ca="1">SUMIFS(Y:Y,Ecommerce_Consumer_Behavior_Analysis_Data3[[#This Row],[Payment_Method]],V:V)</f>
        <v>#VALUE!</v>
      </c>
      <c r="AE59" s="2">
        <f t="shared" si="0"/>
        <v>333.8</v>
      </c>
      <c r="AG59">
        <f t="shared" si="1"/>
        <v>171.61</v>
      </c>
    </row>
    <row r="60" spans="1:33" x14ac:dyDescent="0.25">
      <c r="A60" s="2" t="s">
        <v>205</v>
      </c>
      <c r="B60" s="2">
        <v>34</v>
      </c>
      <c r="C60" s="2" t="s">
        <v>29</v>
      </c>
      <c r="D60" s="2" t="s">
        <v>44</v>
      </c>
      <c r="E60" s="2" t="s">
        <v>55</v>
      </c>
      <c r="F60" s="2" t="s">
        <v>45</v>
      </c>
      <c r="G60" s="2" t="s">
        <v>44</v>
      </c>
      <c r="H60" s="2" t="s">
        <v>206</v>
      </c>
      <c r="I60" s="2" t="s">
        <v>71</v>
      </c>
      <c r="J60" s="2">
        <v>310.17</v>
      </c>
      <c r="K60" s="2">
        <v>6</v>
      </c>
      <c r="L60" s="2" t="s">
        <v>48</v>
      </c>
      <c r="M60" s="2">
        <v>2</v>
      </c>
      <c r="N60" s="2">
        <v>3</v>
      </c>
      <c r="O60" s="2">
        <v>2</v>
      </c>
      <c r="P60" s="2" t="s">
        <v>49</v>
      </c>
      <c r="Q60" s="2" t="s">
        <v>85</v>
      </c>
      <c r="R60" s="2">
        <v>0</v>
      </c>
      <c r="S60" s="2">
        <v>10</v>
      </c>
      <c r="T60" s="2" t="s">
        <v>36</v>
      </c>
      <c r="U60" s="2" t="s">
        <v>60</v>
      </c>
      <c r="V60" s="2" t="s">
        <v>61</v>
      </c>
      <c r="W60" s="3">
        <v>45346</v>
      </c>
      <c r="X60" s="2" t="b">
        <v>0</v>
      </c>
      <c r="Y60" s="2" t="b">
        <v>0</v>
      </c>
      <c r="Z60" s="2" t="s">
        <v>52</v>
      </c>
      <c r="AA60" s="2" t="s">
        <v>41</v>
      </c>
      <c r="AB60" s="2">
        <v>13</v>
      </c>
      <c r="AC60" s="2">
        <f>SUMIF(N:N,Ecommerce_Consumer_Behavior_Analysis_Data3[[#This Row],[Brand_Loyalty]],M:M)</f>
        <v>582</v>
      </c>
      <c r="AD60" s="2" t="e" cm="1" vm="1">
        <f t="array" aca="1" ref="AD60" ca="1">SUMIFS(Y:Y,Ecommerce_Consumer_Behavior_Analysis_Data3[[#This Row],[Payment_Method]],V:V)</f>
        <v>#VALUE!</v>
      </c>
      <c r="AE60" s="2">
        <f t="shared" si="0"/>
        <v>211.7</v>
      </c>
      <c r="AG60">
        <f t="shared" si="1"/>
        <v>240.28</v>
      </c>
    </row>
    <row r="61" spans="1:33" x14ac:dyDescent="0.25">
      <c r="A61" s="2" t="s">
        <v>207</v>
      </c>
      <c r="B61" s="2">
        <v>25</v>
      </c>
      <c r="C61" s="2" t="s">
        <v>29</v>
      </c>
      <c r="D61" s="2" t="s">
        <v>30</v>
      </c>
      <c r="E61" s="2" t="s">
        <v>31</v>
      </c>
      <c r="F61" s="2" t="s">
        <v>32</v>
      </c>
      <c r="G61" s="2" t="s">
        <v>30</v>
      </c>
      <c r="H61" s="2" t="s">
        <v>208</v>
      </c>
      <c r="I61" s="2" t="s">
        <v>107</v>
      </c>
      <c r="J61" s="2">
        <v>166</v>
      </c>
      <c r="K61" s="2">
        <v>10</v>
      </c>
      <c r="L61" s="2" t="s">
        <v>78</v>
      </c>
      <c r="M61" s="2">
        <v>5</v>
      </c>
      <c r="N61" s="2">
        <v>3</v>
      </c>
      <c r="O61" s="2">
        <v>0</v>
      </c>
      <c r="P61" s="2" t="s">
        <v>44</v>
      </c>
      <c r="Q61" s="2" t="s">
        <v>50</v>
      </c>
      <c r="R61" s="2">
        <v>2</v>
      </c>
      <c r="S61" s="2">
        <v>10</v>
      </c>
      <c r="T61" s="2" t="s">
        <v>49</v>
      </c>
      <c r="U61" s="2" t="s">
        <v>60</v>
      </c>
      <c r="V61" s="2" t="s">
        <v>51</v>
      </c>
      <c r="W61" s="3">
        <v>45454</v>
      </c>
      <c r="X61" s="2" t="b">
        <v>0</v>
      </c>
      <c r="Y61" s="2" t="b">
        <v>0</v>
      </c>
      <c r="Z61" s="2" t="s">
        <v>62</v>
      </c>
      <c r="AA61" s="2" t="s">
        <v>67</v>
      </c>
      <c r="AB61" s="2">
        <v>5</v>
      </c>
      <c r="AC61" s="2">
        <f>SUMIF(N:N,Ecommerce_Consumer_Behavior_Analysis_Data3[[#This Row],[Brand_Loyalty]],M:M)</f>
        <v>641</v>
      </c>
      <c r="AD61" s="2" t="e" cm="1" vm="1">
        <f t="array" aca="1" ref="AD61" ca="1">SUMIFS(Y:Y,Ecommerce_Consumer_Behavior_Analysis_Data3[[#This Row],[Payment_Method]],V:V)</f>
        <v>#VALUE!</v>
      </c>
      <c r="AE61" s="2">
        <f t="shared" si="0"/>
        <v>101.31</v>
      </c>
      <c r="AG61">
        <f t="shared" si="1"/>
        <v>362.01</v>
      </c>
    </row>
    <row r="62" spans="1:33" x14ac:dyDescent="0.25">
      <c r="A62" s="2" t="s">
        <v>209</v>
      </c>
      <c r="B62" s="2">
        <v>38</v>
      </c>
      <c r="C62" s="2" t="s">
        <v>43</v>
      </c>
      <c r="D62" s="2" t="s">
        <v>44</v>
      </c>
      <c r="E62" s="2" t="s">
        <v>76</v>
      </c>
      <c r="F62" s="2" t="s">
        <v>32</v>
      </c>
      <c r="G62" s="2" t="s">
        <v>44</v>
      </c>
      <c r="H62" s="2" t="s">
        <v>210</v>
      </c>
      <c r="I62" s="2" t="s">
        <v>123</v>
      </c>
      <c r="J62" s="2">
        <v>362.01</v>
      </c>
      <c r="K62" s="2">
        <v>2</v>
      </c>
      <c r="L62" s="2" t="s">
        <v>48</v>
      </c>
      <c r="M62" s="2">
        <v>2</v>
      </c>
      <c r="N62" s="2">
        <v>4</v>
      </c>
      <c r="O62" s="2">
        <v>1</v>
      </c>
      <c r="P62" s="2" t="s">
        <v>36</v>
      </c>
      <c r="Q62" s="2" t="s">
        <v>37</v>
      </c>
      <c r="R62" s="2">
        <v>2</v>
      </c>
      <c r="S62" s="2">
        <v>1</v>
      </c>
      <c r="T62" s="2" t="s">
        <v>49</v>
      </c>
      <c r="U62" s="2" t="s">
        <v>38</v>
      </c>
      <c r="V62" s="2" t="s">
        <v>61</v>
      </c>
      <c r="W62" s="3">
        <v>45620</v>
      </c>
      <c r="X62" s="2" t="b">
        <v>0</v>
      </c>
      <c r="Y62" s="2" t="b">
        <v>0</v>
      </c>
      <c r="Z62" s="2" t="s">
        <v>62</v>
      </c>
      <c r="AA62" s="2" t="s">
        <v>67</v>
      </c>
      <c r="AB62" s="2">
        <v>1</v>
      </c>
      <c r="AC62" s="2">
        <f>SUMIF(N:N,Ecommerce_Consumer_Behavior_Analysis_Data3[[#This Row],[Brand_Loyalty]],M:M)</f>
        <v>582</v>
      </c>
      <c r="AD62" s="2" t="e" cm="1" vm="1">
        <f t="array" aca="1" ref="AD62" ca="1">SUMIFS(Y:Y,Ecommerce_Consumer_Behavior_Analysis_Data3[[#This Row],[Payment_Method]],V:V)</f>
        <v>#VALUE!</v>
      </c>
      <c r="AE62" s="2">
        <f t="shared" si="0"/>
        <v>333.8</v>
      </c>
      <c r="AG62">
        <f t="shared" si="1"/>
        <v>348.5</v>
      </c>
    </row>
    <row r="63" spans="1:33" x14ac:dyDescent="0.25">
      <c r="A63" s="2" t="s">
        <v>211</v>
      </c>
      <c r="B63" s="2">
        <v>33</v>
      </c>
      <c r="C63" s="2" t="s">
        <v>212</v>
      </c>
      <c r="D63" s="2" t="s">
        <v>44</v>
      </c>
      <c r="E63" s="2" t="s">
        <v>31</v>
      </c>
      <c r="F63" s="2" t="s">
        <v>32</v>
      </c>
      <c r="G63" s="2" t="s">
        <v>30</v>
      </c>
      <c r="H63" s="2" t="s">
        <v>213</v>
      </c>
      <c r="I63" s="2" t="s">
        <v>194</v>
      </c>
      <c r="J63" s="2">
        <v>348.5</v>
      </c>
      <c r="K63" s="2">
        <v>3</v>
      </c>
      <c r="L63" s="2" t="s">
        <v>35</v>
      </c>
      <c r="M63" s="2">
        <v>2</v>
      </c>
      <c r="N63" s="2">
        <v>3</v>
      </c>
      <c r="O63" s="2">
        <v>2</v>
      </c>
      <c r="P63" s="2" t="s">
        <v>36</v>
      </c>
      <c r="Q63" s="2" t="s">
        <v>50</v>
      </c>
      <c r="R63" s="2">
        <v>0</v>
      </c>
      <c r="S63" s="2">
        <v>6</v>
      </c>
      <c r="T63" s="2" t="s">
        <v>49</v>
      </c>
      <c r="U63" s="2" t="s">
        <v>60</v>
      </c>
      <c r="V63" s="2" t="s">
        <v>61</v>
      </c>
      <c r="W63" s="3">
        <v>45482</v>
      </c>
      <c r="X63" s="2" t="b">
        <v>0</v>
      </c>
      <c r="Y63" s="2" t="b">
        <v>0</v>
      </c>
      <c r="Z63" s="2" t="s">
        <v>74</v>
      </c>
      <c r="AA63" s="2" t="s">
        <v>41</v>
      </c>
      <c r="AB63" s="2">
        <v>8</v>
      </c>
      <c r="AC63" s="2">
        <f>SUMIF(N:N,Ecommerce_Consumer_Behavior_Analysis_Data3[[#This Row],[Brand_Loyalty]],M:M)</f>
        <v>582</v>
      </c>
      <c r="AD63" s="2" t="e" cm="1" vm="1">
        <f t="array" aca="1" ref="AD63" ca="1">SUMIFS(Y:Y,Ecommerce_Consumer_Behavior_Analysis_Data3[[#This Row],[Payment_Method]],V:V)</f>
        <v>#VALUE!</v>
      </c>
      <c r="AE63" s="2">
        <f t="shared" si="0"/>
        <v>211.7</v>
      </c>
      <c r="AG63">
        <f t="shared" si="1"/>
        <v>395.97</v>
      </c>
    </row>
    <row r="64" spans="1:33" x14ac:dyDescent="0.25">
      <c r="A64" s="2" t="s">
        <v>214</v>
      </c>
      <c r="B64" s="2">
        <v>32</v>
      </c>
      <c r="C64" s="2" t="s">
        <v>29</v>
      </c>
      <c r="D64" s="2" t="s">
        <v>30</v>
      </c>
      <c r="E64" s="2" t="s">
        <v>31</v>
      </c>
      <c r="F64" s="2" t="s">
        <v>32</v>
      </c>
      <c r="G64" s="2" t="s">
        <v>44</v>
      </c>
      <c r="H64" s="2" t="s">
        <v>215</v>
      </c>
      <c r="I64" s="2" t="s">
        <v>101</v>
      </c>
      <c r="J64" s="2">
        <v>395.97</v>
      </c>
      <c r="K64" s="2">
        <v>9</v>
      </c>
      <c r="L64" s="2" t="s">
        <v>48</v>
      </c>
      <c r="M64" s="2">
        <v>1</v>
      </c>
      <c r="N64" s="2">
        <v>4</v>
      </c>
      <c r="O64" s="2">
        <v>0</v>
      </c>
      <c r="P64" s="2" t="s">
        <v>49</v>
      </c>
      <c r="Q64" s="2" t="s">
        <v>85</v>
      </c>
      <c r="R64" s="2">
        <v>1</v>
      </c>
      <c r="S64" s="2">
        <v>6</v>
      </c>
      <c r="T64" s="2" t="s">
        <v>59</v>
      </c>
      <c r="U64" s="2" t="s">
        <v>38</v>
      </c>
      <c r="V64" s="2" t="s">
        <v>61</v>
      </c>
      <c r="W64" s="3">
        <v>45522</v>
      </c>
      <c r="X64" s="2" t="b">
        <v>1</v>
      </c>
      <c r="Y64" s="2" t="b">
        <v>1</v>
      </c>
      <c r="Z64" s="2" t="s">
        <v>52</v>
      </c>
      <c r="AA64" s="2" t="s">
        <v>53</v>
      </c>
      <c r="AB64" s="2">
        <v>1</v>
      </c>
      <c r="AC64" s="2">
        <f>SUMIF(N:N,Ecommerce_Consumer_Behavior_Analysis_Data3[[#This Row],[Brand_Loyalty]],M:M)</f>
        <v>603</v>
      </c>
      <c r="AD64" s="2" t="e" cm="1" vm="1">
        <f t="array" aca="1" ref="AD64" ca="1">SUMIFS(Y:Y,Ecommerce_Consumer_Behavior_Analysis_Data3[[#This Row],[Payment_Method]],V:V)</f>
        <v>#VALUE!</v>
      </c>
      <c r="AE64" s="2">
        <f t="shared" si="0"/>
        <v>101.31</v>
      </c>
      <c r="AG64">
        <f t="shared" si="1"/>
        <v>395.97</v>
      </c>
    </row>
    <row r="65" spans="1:33" x14ac:dyDescent="0.25">
      <c r="A65" s="2" t="s">
        <v>216</v>
      </c>
      <c r="B65" s="2">
        <v>50</v>
      </c>
      <c r="C65" s="2" t="s">
        <v>29</v>
      </c>
      <c r="D65" s="2" t="s">
        <v>30</v>
      </c>
      <c r="E65" s="2" t="s">
        <v>69</v>
      </c>
      <c r="F65" s="2" t="s">
        <v>45</v>
      </c>
      <c r="G65" s="2" t="s">
        <v>30</v>
      </c>
      <c r="H65" s="2" t="s">
        <v>217</v>
      </c>
      <c r="I65" s="2" t="s">
        <v>90</v>
      </c>
      <c r="J65" s="2">
        <v>474.99</v>
      </c>
      <c r="K65" s="2">
        <v>9</v>
      </c>
      <c r="L65" s="2" t="s">
        <v>78</v>
      </c>
      <c r="M65" s="2">
        <v>2</v>
      </c>
      <c r="N65" s="2">
        <v>4</v>
      </c>
      <c r="O65" s="2">
        <v>1</v>
      </c>
      <c r="P65" s="2" t="s">
        <v>36</v>
      </c>
      <c r="Q65" s="2" t="s">
        <v>37</v>
      </c>
      <c r="R65" s="2">
        <v>0</v>
      </c>
      <c r="S65" s="2">
        <v>8</v>
      </c>
      <c r="T65" s="2" t="s">
        <v>44</v>
      </c>
      <c r="U65" s="2" t="s">
        <v>79</v>
      </c>
      <c r="V65" s="2" t="s">
        <v>39</v>
      </c>
      <c r="W65" s="3">
        <v>45483</v>
      </c>
      <c r="X65" s="2" t="b">
        <v>1</v>
      </c>
      <c r="Y65" s="2" t="b">
        <v>0</v>
      </c>
      <c r="Z65" s="2" t="s">
        <v>74</v>
      </c>
      <c r="AA65" s="2" t="s">
        <v>53</v>
      </c>
      <c r="AB65" s="2">
        <v>5</v>
      </c>
      <c r="AC65" s="2">
        <f>SUMIF(N:N,Ecommerce_Consumer_Behavior_Analysis_Data3[[#This Row],[Brand_Loyalty]],M:M)</f>
        <v>582</v>
      </c>
      <c r="AD65" s="2" t="e" cm="1" vm="1">
        <f t="array" aca="1" ref="AD65" ca="1">SUMIFS(Y:Y,Ecommerce_Consumer_Behavior_Analysis_Data3[[#This Row],[Payment_Method]],V:V)</f>
        <v>#VALUE!</v>
      </c>
      <c r="AE65" s="2">
        <f t="shared" si="0"/>
        <v>211.7</v>
      </c>
      <c r="AG65">
        <f t="shared" si="1"/>
        <v>395.97</v>
      </c>
    </row>
    <row r="66" spans="1:33" x14ac:dyDescent="0.25">
      <c r="A66" s="2" t="s">
        <v>218</v>
      </c>
      <c r="B66" s="2">
        <v>35</v>
      </c>
      <c r="C66" s="2" t="s">
        <v>29</v>
      </c>
      <c r="D66" s="2" t="s">
        <v>30</v>
      </c>
      <c r="E66" s="2" t="s">
        <v>69</v>
      </c>
      <c r="F66" s="2" t="s">
        <v>45</v>
      </c>
      <c r="G66" s="2" t="s">
        <v>30</v>
      </c>
      <c r="H66" s="2" t="s">
        <v>219</v>
      </c>
      <c r="I66" s="2" t="s">
        <v>98</v>
      </c>
      <c r="J66" s="2">
        <v>286.43</v>
      </c>
      <c r="K66" s="2">
        <v>4</v>
      </c>
      <c r="L66" s="2" t="s">
        <v>35</v>
      </c>
      <c r="M66" s="2">
        <v>1</v>
      </c>
      <c r="N66" s="2">
        <v>3</v>
      </c>
      <c r="O66" s="2">
        <v>0</v>
      </c>
      <c r="P66" s="2" t="s">
        <v>44</v>
      </c>
      <c r="Q66" s="2" t="s">
        <v>85</v>
      </c>
      <c r="R66" s="2">
        <v>2</v>
      </c>
      <c r="S66" s="2">
        <v>3</v>
      </c>
      <c r="T66" s="2" t="s">
        <v>36</v>
      </c>
      <c r="U66" s="2" t="s">
        <v>79</v>
      </c>
      <c r="V66" s="2" t="s">
        <v>86</v>
      </c>
      <c r="W66" s="3">
        <v>45485</v>
      </c>
      <c r="X66" s="2" t="b">
        <v>1</v>
      </c>
      <c r="Y66" s="2" t="b">
        <v>0</v>
      </c>
      <c r="Z66" s="2" t="s">
        <v>52</v>
      </c>
      <c r="AA66" s="2" t="s">
        <v>67</v>
      </c>
      <c r="AB66" s="2">
        <v>14</v>
      </c>
      <c r="AC66" s="2">
        <f>SUMIF(N:N,Ecommerce_Consumer_Behavior_Analysis_Data3[[#This Row],[Brand_Loyalty]],M:M)</f>
        <v>603</v>
      </c>
      <c r="AD66" s="2" t="e" cm="1" vm="1">
        <f t="array" aca="1" ref="AD66" ca="1">SUMIFS(Y:Y,Ecommerce_Consumer_Behavior_Analysis_Data3[[#This Row],[Payment_Method]],V:V)</f>
        <v>#VALUE!</v>
      </c>
      <c r="AE66" s="2">
        <f t="shared" ref="AE66:AE129" si="3">INDEX(J:J,MATCH(O67,O:O,0))</f>
        <v>211.7</v>
      </c>
      <c r="AG66">
        <f t="shared" si="1"/>
        <v>333.32</v>
      </c>
    </row>
    <row r="67" spans="1:33" x14ac:dyDescent="0.25">
      <c r="A67" s="2" t="s">
        <v>220</v>
      </c>
      <c r="B67" s="2">
        <v>19</v>
      </c>
      <c r="C67" s="2" t="s">
        <v>148</v>
      </c>
      <c r="D67" s="2" t="s">
        <v>44</v>
      </c>
      <c r="E67" s="2" t="s">
        <v>69</v>
      </c>
      <c r="F67" s="2" t="s">
        <v>45</v>
      </c>
      <c r="G67" s="2" t="s">
        <v>44</v>
      </c>
      <c r="H67" s="2" t="s">
        <v>221</v>
      </c>
      <c r="I67" s="2" t="s">
        <v>104</v>
      </c>
      <c r="J67" s="2">
        <v>333.32</v>
      </c>
      <c r="K67" s="2">
        <v>8</v>
      </c>
      <c r="L67" s="2" t="s">
        <v>78</v>
      </c>
      <c r="M67" s="2">
        <v>1</v>
      </c>
      <c r="N67" s="2">
        <v>5</v>
      </c>
      <c r="O67" s="2">
        <v>0</v>
      </c>
      <c r="P67" s="2" t="s">
        <v>59</v>
      </c>
      <c r="Q67" s="2" t="s">
        <v>85</v>
      </c>
      <c r="R67" s="2">
        <v>0</v>
      </c>
      <c r="S67" s="2">
        <v>3</v>
      </c>
      <c r="T67" s="2" t="s">
        <v>44</v>
      </c>
      <c r="U67" s="2" t="s">
        <v>60</v>
      </c>
      <c r="V67" s="2" t="s">
        <v>39</v>
      </c>
      <c r="W67" s="3">
        <v>45570</v>
      </c>
      <c r="X67" s="2" t="b">
        <v>1</v>
      </c>
      <c r="Y67" s="2" t="b">
        <v>0</v>
      </c>
      <c r="Z67" s="2" t="s">
        <v>74</v>
      </c>
      <c r="AA67" s="2" t="s">
        <v>41</v>
      </c>
      <c r="AB67" s="2">
        <v>3</v>
      </c>
      <c r="AC67" s="2">
        <f>SUMIF(N:N,Ecommerce_Consumer_Behavior_Analysis_Data3[[#This Row],[Brand_Loyalty]],M:M)</f>
        <v>603</v>
      </c>
      <c r="AD67" s="2" t="e" cm="1" vm="1">
        <f t="array" aca="1" ref="AD67" ca="1">SUMIFS(Y:Y,Ecommerce_Consumer_Behavior_Analysis_Data3[[#This Row],[Payment_Method]],V:V)</f>
        <v>#VALUE!</v>
      </c>
      <c r="AE67" s="2">
        <f t="shared" si="3"/>
        <v>101.31</v>
      </c>
      <c r="AG67">
        <f t="shared" ref="AG67:AG130" si="4">VLOOKUP(C68,C66:Q277,8,0)</f>
        <v>223.47</v>
      </c>
    </row>
    <row r="68" spans="1:33" x14ac:dyDescent="0.25">
      <c r="A68" s="2" t="s">
        <v>222</v>
      </c>
      <c r="B68" s="2">
        <v>46</v>
      </c>
      <c r="C68" s="2" t="s">
        <v>88</v>
      </c>
      <c r="D68" s="2" t="s">
        <v>44</v>
      </c>
      <c r="E68" s="2" t="s">
        <v>55</v>
      </c>
      <c r="F68" s="2" t="s">
        <v>56</v>
      </c>
      <c r="G68" s="2" t="s">
        <v>44</v>
      </c>
      <c r="H68" s="2" t="s">
        <v>223</v>
      </c>
      <c r="I68" s="2" t="s">
        <v>117</v>
      </c>
      <c r="J68" s="2">
        <v>223.47</v>
      </c>
      <c r="K68" s="2">
        <v>9</v>
      </c>
      <c r="L68" s="2" t="s">
        <v>35</v>
      </c>
      <c r="M68" s="2">
        <v>2</v>
      </c>
      <c r="N68" s="2">
        <v>1</v>
      </c>
      <c r="O68" s="2">
        <v>1</v>
      </c>
      <c r="P68" s="2" t="s">
        <v>44</v>
      </c>
      <c r="Q68" s="2" t="s">
        <v>37</v>
      </c>
      <c r="R68" s="2">
        <v>0</v>
      </c>
      <c r="S68" s="2">
        <v>2</v>
      </c>
      <c r="T68" s="2" t="s">
        <v>36</v>
      </c>
      <c r="U68" s="2" t="s">
        <v>38</v>
      </c>
      <c r="V68" s="2" t="s">
        <v>61</v>
      </c>
      <c r="W68" s="3">
        <v>45555</v>
      </c>
      <c r="X68" s="2" t="b">
        <v>1</v>
      </c>
      <c r="Y68" s="2" t="b">
        <v>1</v>
      </c>
      <c r="Z68" s="2" t="s">
        <v>40</v>
      </c>
      <c r="AA68" s="2" t="s">
        <v>53</v>
      </c>
      <c r="AB68" s="2">
        <v>8</v>
      </c>
      <c r="AC68" s="2">
        <f>SUMIF(N:N,Ecommerce_Consumer_Behavior_Analysis_Data3[[#This Row],[Brand_Loyalty]],M:M)</f>
        <v>582</v>
      </c>
      <c r="AD68" s="2" t="e" cm="1" vm="1">
        <f t="array" aca="1" ref="AD68" ca="1">SUMIFS(Y:Y,Ecommerce_Consumer_Behavior_Analysis_Data3[[#This Row],[Payment_Method]],V:V)</f>
        <v>#VALUE!</v>
      </c>
      <c r="AE68" s="2">
        <f t="shared" si="3"/>
        <v>389.7</v>
      </c>
      <c r="AG68">
        <f t="shared" si="4"/>
        <v>414.83</v>
      </c>
    </row>
    <row r="69" spans="1:33" x14ac:dyDescent="0.25">
      <c r="A69" s="2" t="s">
        <v>224</v>
      </c>
      <c r="B69" s="2">
        <v>23</v>
      </c>
      <c r="C69" s="2" t="s">
        <v>43</v>
      </c>
      <c r="D69" s="2" t="s">
        <v>30</v>
      </c>
      <c r="E69" s="2" t="s">
        <v>76</v>
      </c>
      <c r="F69" s="2" t="s">
        <v>56</v>
      </c>
      <c r="G69" s="2" t="s">
        <v>30</v>
      </c>
      <c r="H69" s="2" t="s">
        <v>225</v>
      </c>
      <c r="I69" s="2" t="s">
        <v>90</v>
      </c>
      <c r="J69" s="2">
        <v>414.83</v>
      </c>
      <c r="K69" s="2">
        <v>2</v>
      </c>
      <c r="L69" s="2" t="s">
        <v>35</v>
      </c>
      <c r="M69" s="2">
        <v>2</v>
      </c>
      <c r="N69" s="2">
        <v>4</v>
      </c>
      <c r="O69" s="2">
        <v>0.5</v>
      </c>
      <c r="P69" s="2" t="s">
        <v>44</v>
      </c>
      <c r="Q69" s="2" t="s">
        <v>37</v>
      </c>
      <c r="R69" s="2">
        <v>2</v>
      </c>
      <c r="S69" s="2">
        <v>4</v>
      </c>
      <c r="T69" s="2" t="s">
        <v>44</v>
      </c>
      <c r="U69" s="2" t="s">
        <v>79</v>
      </c>
      <c r="V69" s="2" t="s">
        <v>39</v>
      </c>
      <c r="W69" s="3">
        <v>45489</v>
      </c>
      <c r="X69" s="2" t="b">
        <v>0</v>
      </c>
      <c r="Y69" s="2" t="b">
        <v>0</v>
      </c>
      <c r="Z69" s="2" t="s">
        <v>74</v>
      </c>
      <c r="AA69" s="2" t="s">
        <v>67</v>
      </c>
      <c r="AB69" s="2">
        <v>8</v>
      </c>
      <c r="AC69" s="2">
        <f>SUMIF(N:N,Ecommerce_Consumer_Behavior_Analysis_Data3[[#This Row],[Brand_Loyalty]],M:M)</f>
        <v>582</v>
      </c>
      <c r="AD69" s="2" t="e" cm="1" vm="1">
        <f t="array" aca="1" ref="AD69" ca="1">SUMIFS(Y:Y,Ecommerce_Consumer_Behavior_Analysis_Data3[[#This Row],[Payment_Method]],V:V)</f>
        <v>#VALUE!</v>
      </c>
      <c r="AE69" s="2">
        <f t="shared" si="3"/>
        <v>333.8</v>
      </c>
      <c r="AG69">
        <f t="shared" si="4"/>
        <v>391.38</v>
      </c>
    </row>
    <row r="70" spans="1:33" x14ac:dyDescent="0.25">
      <c r="A70" s="2" t="s">
        <v>226</v>
      </c>
      <c r="B70" s="2">
        <v>34</v>
      </c>
      <c r="C70" s="2" t="s">
        <v>29</v>
      </c>
      <c r="D70" s="2" t="s">
        <v>44</v>
      </c>
      <c r="E70" s="2" t="s">
        <v>69</v>
      </c>
      <c r="F70" s="2" t="s">
        <v>56</v>
      </c>
      <c r="G70" s="2" t="s">
        <v>44</v>
      </c>
      <c r="H70" s="2" t="s">
        <v>227</v>
      </c>
      <c r="I70" s="2" t="s">
        <v>82</v>
      </c>
      <c r="J70" s="2">
        <v>391.38</v>
      </c>
      <c r="K70" s="2">
        <v>5</v>
      </c>
      <c r="L70" s="2" t="s">
        <v>48</v>
      </c>
      <c r="M70" s="2">
        <v>5</v>
      </c>
      <c r="N70" s="2">
        <v>2</v>
      </c>
      <c r="O70" s="2">
        <v>2</v>
      </c>
      <c r="P70" s="2" t="s">
        <v>59</v>
      </c>
      <c r="Q70" s="2" t="s">
        <v>50</v>
      </c>
      <c r="R70" s="2">
        <v>0</v>
      </c>
      <c r="S70" s="2">
        <v>7</v>
      </c>
      <c r="T70" s="2" t="s">
        <v>59</v>
      </c>
      <c r="U70" s="2" t="s">
        <v>38</v>
      </c>
      <c r="V70" s="2" t="s">
        <v>66</v>
      </c>
      <c r="W70" s="3">
        <v>45384</v>
      </c>
      <c r="X70" s="2" t="b">
        <v>0</v>
      </c>
      <c r="Y70" s="2" t="b">
        <v>0</v>
      </c>
      <c r="Z70" s="2" t="s">
        <v>40</v>
      </c>
      <c r="AA70" s="2" t="s">
        <v>41</v>
      </c>
      <c r="AB70" s="2">
        <v>8</v>
      </c>
      <c r="AC70" s="2">
        <f>SUMIF(N:N,Ecommerce_Consumer_Behavior_Analysis_Data3[[#This Row],[Brand_Loyalty]],M:M)</f>
        <v>641</v>
      </c>
      <c r="AD70" s="2" t="e" cm="1" vm="1">
        <f t="array" aca="1" ref="AD70" ca="1">SUMIFS(Y:Y,Ecommerce_Consumer_Behavior_Analysis_Data3[[#This Row],[Payment_Method]],V:V)</f>
        <v>#VALUE!</v>
      </c>
      <c r="AE70" s="2">
        <f t="shared" si="3"/>
        <v>101.31</v>
      </c>
      <c r="AG70">
        <f t="shared" si="4"/>
        <v>414.83</v>
      </c>
    </row>
    <row r="71" spans="1:33" x14ac:dyDescent="0.25">
      <c r="A71" s="2" t="s">
        <v>228</v>
      </c>
      <c r="B71" s="2">
        <v>48</v>
      </c>
      <c r="C71" s="2" t="s">
        <v>43</v>
      </c>
      <c r="D71" s="2" t="s">
        <v>30</v>
      </c>
      <c r="E71" s="2" t="s">
        <v>76</v>
      </c>
      <c r="F71" s="2" t="s">
        <v>32</v>
      </c>
      <c r="G71" s="2" t="s">
        <v>44</v>
      </c>
      <c r="H71" s="2" t="s">
        <v>229</v>
      </c>
      <c r="I71" s="2" t="s">
        <v>71</v>
      </c>
      <c r="J71" s="2">
        <v>368.4</v>
      </c>
      <c r="K71" s="2">
        <v>11</v>
      </c>
      <c r="L71" s="2" t="s">
        <v>78</v>
      </c>
      <c r="M71" s="2">
        <v>2</v>
      </c>
      <c r="N71" s="2">
        <v>5</v>
      </c>
      <c r="O71" s="2">
        <v>1</v>
      </c>
      <c r="P71" s="2" t="s">
        <v>44</v>
      </c>
      <c r="Q71" s="2" t="s">
        <v>50</v>
      </c>
      <c r="R71" s="2">
        <v>0</v>
      </c>
      <c r="S71" s="2">
        <v>3</v>
      </c>
      <c r="T71" s="2" t="s">
        <v>44</v>
      </c>
      <c r="U71" s="2" t="s">
        <v>79</v>
      </c>
      <c r="V71" s="2" t="s">
        <v>39</v>
      </c>
      <c r="W71" s="3">
        <v>45464</v>
      </c>
      <c r="X71" s="2" t="b">
        <v>0</v>
      </c>
      <c r="Y71" s="2" t="b">
        <v>0</v>
      </c>
      <c r="Z71" s="2" t="s">
        <v>40</v>
      </c>
      <c r="AA71" s="2" t="s">
        <v>41</v>
      </c>
      <c r="AB71" s="2">
        <v>13</v>
      </c>
      <c r="AC71" s="2">
        <f>SUMIF(N:N,Ecommerce_Consumer_Behavior_Analysis_Data3[[#This Row],[Brand_Loyalty]],M:M)</f>
        <v>582</v>
      </c>
      <c r="AD71" s="2" t="e" cm="1" vm="1">
        <f t="array" aca="1" ref="AD71" ca="1">SUMIFS(Y:Y,Ecommerce_Consumer_Behavior_Analysis_Data3[[#This Row],[Payment_Method]],V:V)</f>
        <v>#VALUE!</v>
      </c>
      <c r="AE71" s="2">
        <f t="shared" si="3"/>
        <v>333.8</v>
      </c>
      <c r="AG71">
        <f t="shared" si="4"/>
        <v>328.36</v>
      </c>
    </row>
    <row r="72" spans="1:33" x14ac:dyDescent="0.25">
      <c r="A72" s="2" t="s">
        <v>230</v>
      </c>
      <c r="B72" s="2">
        <v>27</v>
      </c>
      <c r="C72" s="2" t="s">
        <v>88</v>
      </c>
      <c r="D72" s="2" t="s">
        <v>30</v>
      </c>
      <c r="E72" s="2" t="s">
        <v>69</v>
      </c>
      <c r="F72" s="2" t="s">
        <v>45</v>
      </c>
      <c r="G72" s="2" t="s">
        <v>30</v>
      </c>
      <c r="H72" s="2" t="s">
        <v>231</v>
      </c>
      <c r="I72" s="2" t="s">
        <v>71</v>
      </c>
      <c r="J72" s="2">
        <v>328.36</v>
      </c>
      <c r="K72" s="2">
        <v>11</v>
      </c>
      <c r="L72" s="2" t="s">
        <v>48</v>
      </c>
      <c r="M72" s="2">
        <v>1</v>
      </c>
      <c r="N72" s="2">
        <v>4</v>
      </c>
      <c r="O72" s="2">
        <v>2</v>
      </c>
      <c r="P72" s="2" t="s">
        <v>44</v>
      </c>
      <c r="Q72" s="2" t="s">
        <v>85</v>
      </c>
      <c r="R72" s="2">
        <v>0</v>
      </c>
      <c r="S72" s="2">
        <v>4</v>
      </c>
      <c r="T72" s="2" t="s">
        <v>36</v>
      </c>
      <c r="U72" s="2" t="s">
        <v>38</v>
      </c>
      <c r="V72" s="2" t="s">
        <v>86</v>
      </c>
      <c r="W72" s="3">
        <v>45362</v>
      </c>
      <c r="X72" s="2" t="b">
        <v>0</v>
      </c>
      <c r="Y72" s="2" t="b">
        <v>1</v>
      </c>
      <c r="Z72" s="2" t="s">
        <v>52</v>
      </c>
      <c r="AA72" s="2" t="s">
        <v>67</v>
      </c>
      <c r="AB72" s="2">
        <v>4</v>
      </c>
      <c r="AC72" s="2">
        <f>SUMIF(N:N,Ecommerce_Consumer_Behavior_Analysis_Data3[[#This Row],[Brand_Loyalty]],M:M)</f>
        <v>603</v>
      </c>
      <c r="AD72" s="2" t="e" cm="1" vm="1">
        <f t="array" aca="1" ref="AD72" ca="1">SUMIFS(Y:Y,Ecommerce_Consumer_Behavior_Analysis_Data3[[#This Row],[Payment_Method]],V:V)</f>
        <v>#VALUE!</v>
      </c>
      <c r="AE72" s="2">
        <f t="shared" si="3"/>
        <v>101.31</v>
      </c>
      <c r="AG72">
        <f t="shared" si="4"/>
        <v>424.39</v>
      </c>
    </row>
    <row r="73" spans="1:33" x14ac:dyDescent="0.25">
      <c r="A73" s="2" t="s">
        <v>232</v>
      </c>
      <c r="B73" s="2">
        <v>37</v>
      </c>
      <c r="C73" s="2" t="s">
        <v>29</v>
      </c>
      <c r="D73" s="2" t="s">
        <v>30</v>
      </c>
      <c r="E73" s="2" t="s">
        <v>76</v>
      </c>
      <c r="F73" s="2" t="s">
        <v>32</v>
      </c>
      <c r="G73" s="2" t="s">
        <v>30</v>
      </c>
      <c r="H73" s="2" t="s">
        <v>233</v>
      </c>
      <c r="I73" s="2" t="s">
        <v>65</v>
      </c>
      <c r="J73" s="2">
        <v>424.39</v>
      </c>
      <c r="K73" s="2">
        <v>9</v>
      </c>
      <c r="L73" s="2" t="s">
        <v>35</v>
      </c>
      <c r="M73" s="2">
        <v>3</v>
      </c>
      <c r="N73" s="2">
        <v>1</v>
      </c>
      <c r="O73" s="2">
        <v>1</v>
      </c>
      <c r="P73" s="2" t="s">
        <v>44</v>
      </c>
      <c r="Q73" s="2" t="s">
        <v>37</v>
      </c>
      <c r="R73" s="2">
        <v>0</v>
      </c>
      <c r="S73" s="2">
        <v>7</v>
      </c>
      <c r="T73" s="2" t="s">
        <v>59</v>
      </c>
      <c r="U73" s="2" t="s">
        <v>60</v>
      </c>
      <c r="V73" s="2" t="s">
        <v>39</v>
      </c>
      <c r="W73" s="3">
        <v>45348</v>
      </c>
      <c r="X73" s="2" t="b">
        <v>1</v>
      </c>
      <c r="Y73" s="2" t="b">
        <v>0</v>
      </c>
      <c r="Z73" s="2" t="s">
        <v>52</v>
      </c>
      <c r="AA73" s="2" t="s">
        <v>41</v>
      </c>
      <c r="AB73" s="2">
        <v>13</v>
      </c>
      <c r="AC73" s="2">
        <f>SUMIF(N:N,Ecommerce_Consumer_Behavior_Analysis_Data3[[#This Row],[Brand_Loyalty]],M:M)</f>
        <v>597</v>
      </c>
      <c r="AD73" s="2" t="e" cm="1" vm="1">
        <f t="array" aca="1" ref="AD73" ca="1">SUMIFS(Y:Y,Ecommerce_Consumer_Behavior_Analysis_Data3[[#This Row],[Payment_Method]],V:V)</f>
        <v>#VALUE!</v>
      </c>
      <c r="AE73" s="2">
        <f t="shared" si="3"/>
        <v>211.7</v>
      </c>
      <c r="AG73">
        <f t="shared" si="4"/>
        <v>197.12</v>
      </c>
    </row>
    <row r="74" spans="1:33" x14ac:dyDescent="0.25">
      <c r="A74" s="2" t="s">
        <v>234</v>
      </c>
      <c r="B74" s="2">
        <v>47</v>
      </c>
      <c r="C74" s="2" t="s">
        <v>43</v>
      </c>
      <c r="D74" s="2" t="s">
        <v>44</v>
      </c>
      <c r="E74" s="2" t="s">
        <v>31</v>
      </c>
      <c r="F74" s="2" t="s">
        <v>45</v>
      </c>
      <c r="G74" s="2" t="s">
        <v>44</v>
      </c>
      <c r="H74" s="2" t="s">
        <v>235</v>
      </c>
      <c r="I74" s="2" t="s">
        <v>142</v>
      </c>
      <c r="J74" s="2">
        <v>197.12</v>
      </c>
      <c r="K74" s="2">
        <v>10</v>
      </c>
      <c r="L74" s="2" t="s">
        <v>48</v>
      </c>
      <c r="M74" s="2">
        <v>4</v>
      </c>
      <c r="N74" s="2">
        <v>4</v>
      </c>
      <c r="O74" s="2">
        <v>0</v>
      </c>
      <c r="P74" s="2" t="s">
        <v>59</v>
      </c>
      <c r="Q74" s="2" t="s">
        <v>37</v>
      </c>
      <c r="R74" s="2">
        <v>1</v>
      </c>
      <c r="S74" s="2">
        <v>1</v>
      </c>
      <c r="T74" s="2" t="s">
        <v>49</v>
      </c>
      <c r="U74" s="2" t="s">
        <v>38</v>
      </c>
      <c r="V74" s="2" t="s">
        <v>66</v>
      </c>
      <c r="W74" s="3">
        <v>45457</v>
      </c>
      <c r="X74" s="2" t="b">
        <v>1</v>
      </c>
      <c r="Y74" s="2" t="b">
        <v>1</v>
      </c>
      <c r="Z74" s="2" t="s">
        <v>52</v>
      </c>
      <c r="AA74" s="2" t="s">
        <v>53</v>
      </c>
      <c r="AB74" s="2">
        <v>10</v>
      </c>
      <c r="AC74" s="2">
        <f>SUMIF(N:N,Ecommerce_Consumer_Behavior_Analysis_Data3[[#This Row],[Brand_Loyalty]],M:M)</f>
        <v>603</v>
      </c>
      <c r="AD74" s="2" t="e" cm="1" vm="1">
        <f t="array" aca="1" ref="AD74" ca="1">SUMIFS(Y:Y,Ecommerce_Consumer_Behavior_Analysis_Data3[[#This Row],[Payment_Method]],V:V)</f>
        <v>#VALUE!</v>
      </c>
      <c r="AE74" s="2">
        <f t="shared" si="3"/>
        <v>101.31</v>
      </c>
      <c r="AG74">
        <f t="shared" si="4"/>
        <v>197.12</v>
      </c>
    </row>
    <row r="75" spans="1:33" x14ac:dyDescent="0.25">
      <c r="A75" s="2" t="s">
        <v>236</v>
      </c>
      <c r="B75" s="2">
        <v>45</v>
      </c>
      <c r="C75" s="2" t="s">
        <v>43</v>
      </c>
      <c r="D75" s="2" t="s">
        <v>44</v>
      </c>
      <c r="E75" s="2" t="s">
        <v>55</v>
      </c>
      <c r="F75" s="2" t="s">
        <v>32</v>
      </c>
      <c r="G75" s="2" t="s">
        <v>44</v>
      </c>
      <c r="H75" s="2" t="s">
        <v>237</v>
      </c>
      <c r="I75" s="2" t="s">
        <v>82</v>
      </c>
      <c r="J75" s="2">
        <v>454.57</v>
      </c>
      <c r="K75" s="2">
        <v>9</v>
      </c>
      <c r="L75" s="2" t="s">
        <v>35</v>
      </c>
      <c r="M75" s="2">
        <v>2</v>
      </c>
      <c r="N75" s="2">
        <v>5</v>
      </c>
      <c r="O75" s="2">
        <v>1</v>
      </c>
      <c r="P75" s="2" t="s">
        <v>59</v>
      </c>
      <c r="Q75" s="2" t="s">
        <v>37</v>
      </c>
      <c r="R75" s="2">
        <v>0</v>
      </c>
      <c r="S75" s="2">
        <v>1</v>
      </c>
      <c r="T75" s="2" t="s">
        <v>49</v>
      </c>
      <c r="U75" s="2" t="s">
        <v>60</v>
      </c>
      <c r="V75" s="2" t="s">
        <v>61</v>
      </c>
      <c r="W75" s="3">
        <v>45375</v>
      </c>
      <c r="X75" s="2" t="b">
        <v>1</v>
      </c>
      <c r="Y75" s="2" t="b">
        <v>1</v>
      </c>
      <c r="Z75" s="2" t="s">
        <v>52</v>
      </c>
      <c r="AA75" s="2" t="s">
        <v>67</v>
      </c>
      <c r="AB75" s="2">
        <v>1</v>
      </c>
      <c r="AC75" s="2">
        <f>SUMIF(N:N,Ecommerce_Consumer_Behavior_Analysis_Data3[[#This Row],[Brand_Loyalty]],M:M)</f>
        <v>582</v>
      </c>
      <c r="AD75" s="2" t="e" cm="1" vm="1">
        <f t="array" aca="1" ref="AD75" ca="1">SUMIFS(Y:Y,Ecommerce_Consumer_Behavior_Analysis_Data3[[#This Row],[Payment_Method]],V:V)</f>
        <v>#VALUE!</v>
      </c>
      <c r="AE75" s="2">
        <f t="shared" si="3"/>
        <v>333.8</v>
      </c>
      <c r="AG75">
        <f t="shared" si="4"/>
        <v>197.12</v>
      </c>
    </row>
    <row r="76" spans="1:33" x14ac:dyDescent="0.25">
      <c r="A76" s="2" t="s">
        <v>238</v>
      </c>
      <c r="B76" s="2">
        <v>37</v>
      </c>
      <c r="C76" s="2" t="s">
        <v>43</v>
      </c>
      <c r="D76" s="2" t="s">
        <v>30</v>
      </c>
      <c r="E76" s="2" t="s">
        <v>76</v>
      </c>
      <c r="F76" s="2" t="s">
        <v>45</v>
      </c>
      <c r="G76" s="2" t="s">
        <v>44</v>
      </c>
      <c r="H76" s="2" t="s">
        <v>239</v>
      </c>
      <c r="I76" s="2" t="s">
        <v>117</v>
      </c>
      <c r="J76" s="2">
        <v>298.38</v>
      </c>
      <c r="K76" s="2">
        <v>4</v>
      </c>
      <c r="L76" s="2" t="s">
        <v>35</v>
      </c>
      <c r="M76" s="2">
        <v>3</v>
      </c>
      <c r="N76" s="2">
        <v>4</v>
      </c>
      <c r="O76" s="2">
        <v>2</v>
      </c>
      <c r="P76" s="2" t="s">
        <v>44</v>
      </c>
      <c r="Q76" s="2" t="s">
        <v>85</v>
      </c>
      <c r="R76" s="2">
        <v>0</v>
      </c>
      <c r="S76" s="2">
        <v>2</v>
      </c>
      <c r="T76" s="2" t="s">
        <v>59</v>
      </c>
      <c r="U76" s="2" t="s">
        <v>38</v>
      </c>
      <c r="V76" s="2" t="s">
        <v>86</v>
      </c>
      <c r="W76" s="3">
        <v>45409</v>
      </c>
      <c r="X76" s="2" t="b">
        <v>0</v>
      </c>
      <c r="Y76" s="2" t="b">
        <v>1</v>
      </c>
      <c r="Z76" s="2" t="s">
        <v>40</v>
      </c>
      <c r="AA76" s="2" t="s">
        <v>53</v>
      </c>
      <c r="AB76" s="2">
        <v>3</v>
      </c>
      <c r="AC76" s="2">
        <f>SUMIF(N:N,Ecommerce_Consumer_Behavior_Analysis_Data3[[#This Row],[Brand_Loyalty]],M:M)</f>
        <v>597</v>
      </c>
      <c r="AD76" s="2" t="e" cm="1" vm="1">
        <f t="array" aca="1" ref="AD76" ca="1">SUMIFS(Y:Y,Ecommerce_Consumer_Behavior_Analysis_Data3[[#This Row],[Payment_Method]],V:V)</f>
        <v>#VALUE!</v>
      </c>
      <c r="AE76" s="2">
        <f t="shared" si="3"/>
        <v>211.7</v>
      </c>
      <c r="AG76">
        <f t="shared" si="4"/>
        <v>454.57</v>
      </c>
    </row>
    <row r="77" spans="1:33" x14ac:dyDescent="0.25">
      <c r="A77" s="2" t="s">
        <v>240</v>
      </c>
      <c r="B77" s="2">
        <v>36</v>
      </c>
      <c r="C77" s="2" t="s">
        <v>43</v>
      </c>
      <c r="D77" s="2" t="s">
        <v>44</v>
      </c>
      <c r="E77" s="2" t="s">
        <v>76</v>
      </c>
      <c r="F77" s="2" t="s">
        <v>45</v>
      </c>
      <c r="G77" s="2" t="s">
        <v>44</v>
      </c>
      <c r="H77" s="2" t="s">
        <v>241</v>
      </c>
      <c r="I77" s="2" t="s">
        <v>183</v>
      </c>
      <c r="J77" s="2">
        <v>111.7</v>
      </c>
      <c r="K77" s="2">
        <v>6</v>
      </c>
      <c r="L77" s="2" t="s">
        <v>78</v>
      </c>
      <c r="M77" s="2">
        <v>4</v>
      </c>
      <c r="N77" s="2">
        <v>5</v>
      </c>
      <c r="O77" s="2">
        <v>0</v>
      </c>
      <c r="P77" s="2" t="s">
        <v>49</v>
      </c>
      <c r="Q77" s="2" t="s">
        <v>37</v>
      </c>
      <c r="R77" s="2">
        <v>2</v>
      </c>
      <c r="S77" s="2">
        <v>5</v>
      </c>
      <c r="T77" s="2" t="s">
        <v>44</v>
      </c>
      <c r="U77" s="2" t="s">
        <v>38</v>
      </c>
      <c r="V77" s="2" t="s">
        <v>39</v>
      </c>
      <c r="W77" s="3">
        <v>45603</v>
      </c>
      <c r="X77" s="2" t="b">
        <v>0</v>
      </c>
      <c r="Y77" s="2" t="b">
        <v>0</v>
      </c>
      <c r="Z77" s="2" t="s">
        <v>74</v>
      </c>
      <c r="AA77" s="2" t="s">
        <v>53</v>
      </c>
      <c r="AB77" s="2">
        <v>7</v>
      </c>
      <c r="AC77" s="2">
        <f>SUMIF(N:N,Ecommerce_Consumer_Behavior_Analysis_Data3[[#This Row],[Brand_Loyalty]],M:M)</f>
        <v>603</v>
      </c>
      <c r="AD77" s="2" t="e" cm="1" vm="1">
        <f t="array" aca="1" ref="AD77" ca="1">SUMIFS(Y:Y,Ecommerce_Consumer_Behavior_Analysis_Data3[[#This Row],[Payment_Method]],V:V)</f>
        <v>#VALUE!</v>
      </c>
      <c r="AE77" s="2">
        <f t="shared" si="3"/>
        <v>333.8</v>
      </c>
      <c r="AG77">
        <f t="shared" si="4"/>
        <v>298.38</v>
      </c>
    </row>
    <row r="78" spans="1:33" x14ac:dyDescent="0.25">
      <c r="A78" s="2" t="s">
        <v>242</v>
      </c>
      <c r="B78" s="2">
        <v>34</v>
      </c>
      <c r="C78" s="2" t="s">
        <v>43</v>
      </c>
      <c r="D78" s="2" t="s">
        <v>30</v>
      </c>
      <c r="E78" s="2" t="s">
        <v>31</v>
      </c>
      <c r="F78" s="2" t="s">
        <v>32</v>
      </c>
      <c r="G78" s="2" t="s">
        <v>30</v>
      </c>
      <c r="H78" s="2" t="s">
        <v>243</v>
      </c>
      <c r="I78" s="2" t="s">
        <v>183</v>
      </c>
      <c r="J78" s="2">
        <v>373.69</v>
      </c>
      <c r="K78" s="2">
        <v>10</v>
      </c>
      <c r="L78" s="2" t="s">
        <v>78</v>
      </c>
      <c r="M78" s="2">
        <v>3</v>
      </c>
      <c r="N78" s="2">
        <v>2</v>
      </c>
      <c r="O78" s="2">
        <v>2</v>
      </c>
      <c r="P78" s="2" t="s">
        <v>49</v>
      </c>
      <c r="Q78" s="2" t="s">
        <v>50</v>
      </c>
      <c r="R78" s="2">
        <v>1</v>
      </c>
      <c r="S78" s="2">
        <v>8</v>
      </c>
      <c r="T78" s="2" t="s">
        <v>36</v>
      </c>
      <c r="U78" s="2" t="s">
        <v>38</v>
      </c>
      <c r="V78" s="2" t="s">
        <v>39</v>
      </c>
      <c r="W78" s="3">
        <v>45630</v>
      </c>
      <c r="X78" s="2" t="b">
        <v>0</v>
      </c>
      <c r="Y78" s="2" t="b">
        <v>1</v>
      </c>
      <c r="Z78" s="2" t="s">
        <v>62</v>
      </c>
      <c r="AA78" s="2" t="s">
        <v>67</v>
      </c>
      <c r="AB78" s="2">
        <v>14</v>
      </c>
      <c r="AC78" s="2">
        <f>SUMIF(N:N,Ecommerce_Consumer_Behavior_Analysis_Data3[[#This Row],[Brand_Loyalty]],M:M)</f>
        <v>597</v>
      </c>
      <c r="AD78" s="2" t="e" cm="1" vm="1">
        <f t="array" aca="1" ref="AD78" ca="1">SUMIFS(Y:Y,Ecommerce_Consumer_Behavior_Analysis_Data3[[#This Row],[Payment_Method]],V:V)</f>
        <v>#VALUE!</v>
      </c>
      <c r="AE78" s="2">
        <f t="shared" si="3"/>
        <v>211.7</v>
      </c>
      <c r="AG78">
        <f t="shared" si="4"/>
        <v>111.7</v>
      </c>
    </row>
    <row r="79" spans="1:33" x14ac:dyDescent="0.25">
      <c r="A79" s="2" t="s">
        <v>244</v>
      </c>
      <c r="B79" s="2">
        <v>37</v>
      </c>
      <c r="C79" s="2" t="s">
        <v>43</v>
      </c>
      <c r="D79" s="2" t="s">
        <v>44</v>
      </c>
      <c r="E79" s="2" t="s">
        <v>69</v>
      </c>
      <c r="F79" s="2" t="s">
        <v>56</v>
      </c>
      <c r="G79" s="2" t="s">
        <v>30</v>
      </c>
      <c r="H79" s="2" t="s">
        <v>245</v>
      </c>
      <c r="I79" s="2" t="s">
        <v>246</v>
      </c>
      <c r="J79" s="2">
        <v>354.87</v>
      </c>
      <c r="K79" s="2">
        <v>5</v>
      </c>
      <c r="L79" s="2" t="s">
        <v>48</v>
      </c>
      <c r="M79" s="2">
        <v>1</v>
      </c>
      <c r="N79" s="2">
        <v>1</v>
      </c>
      <c r="O79" s="2">
        <v>0</v>
      </c>
      <c r="P79" s="2" t="s">
        <v>36</v>
      </c>
      <c r="Q79" s="2" t="s">
        <v>50</v>
      </c>
      <c r="R79" s="2">
        <v>2</v>
      </c>
      <c r="S79" s="2">
        <v>4</v>
      </c>
      <c r="T79" s="2" t="s">
        <v>36</v>
      </c>
      <c r="U79" s="2" t="s">
        <v>79</v>
      </c>
      <c r="V79" s="2" t="s">
        <v>86</v>
      </c>
      <c r="W79" s="3">
        <v>45400</v>
      </c>
      <c r="X79" s="2" t="b">
        <v>0</v>
      </c>
      <c r="Y79" s="2" t="b">
        <v>1</v>
      </c>
      <c r="Z79" s="2" t="s">
        <v>74</v>
      </c>
      <c r="AA79" s="2" t="s">
        <v>67</v>
      </c>
      <c r="AB79" s="2">
        <v>12</v>
      </c>
      <c r="AC79" s="2">
        <f>SUMIF(N:N,Ecommerce_Consumer_Behavior_Analysis_Data3[[#This Row],[Brand_Loyalty]],M:M)</f>
        <v>603</v>
      </c>
      <c r="AD79" s="2" t="e" cm="1" vm="1">
        <f t="array" aca="1" ref="AD79" ca="1">SUMIFS(Y:Y,Ecommerce_Consumer_Behavior_Analysis_Data3[[#This Row],[Payment_Method]],V:V)</f>
        <v>#VALUE!</v>
      </c>
      <c r="AE79" s="2">
        <f t="shared" si="3"/>
        <v>333.8</v>
      </c>
      <c r="AG79">
        <f t="shared" si="4"/>
        <v>214.48</v>
      </c>
    </row>
    <row r="80" spans="1:33" x14ac:dyDescent="0.25">
      <c r="A80" s="2" t="s">
        <v>247</v>
      </c>
      <c r="B80" s="2">
        <v>18</v>
      </c>
      <c r="C80" s="2" t="s">
        <v>29</v>
      </c>
      <c r="D80" s="2" t="s">
        <v>30</v>
      </c>
      <c r="E80" s="2" t="s">
        <v>69</v>
      </c>
      <c r="F80" s="2" t="s">
        <v>32</v>
      </c>
      <c r="G80" s="2" t="s">
        <v>44</v>
      </c>
      <c r="H80" s="2" t="s">
        <v>248</v>
      </c>
      <c r="I80" s="2" t="s">
        <v>93</v>
      </c>
      <c r="J80" s="2">
        <v>214.48</v>
      </c>
      <c r="K80" s="2">
        <v>2</v>
      </c>
      <c r="L80" s="2" t="s">
        <v>78</v>
      </c>
      <c r="M80" s="2">
        <v>4</v>
      </c>
      <c r="N80" s="2">
        <v>2</v>
      </c>
      <c r="O80" s="2">
        <v>2</v>
      </c>
      <c r="P80" s="2" t="s">
        <v>36</v>
      </c>
      <c r="Q80" s="2" t="s">
        <v>85</v>
      </c>
      <c r="R80" s="2">
        <v>1</v>
      </c>
      <c r="S80" s="2">
        <v>3</v>
      </c>
      <c r="T80" s="2" t="s">
        <v>36</v>
      </c>
      <c r="U80" s="2" t="s">
        <v>38</v>
      </c>
      <c r="V80" s="2" t="s">
        <v>86</v>
      </c>
      <c r="W80" s="3">
        <v>45403</v>
      </c>
      <c r="X80" s="2" t="b">
        <v>1</v>
      </c>
      <c r="Y80" s="2" t="b">
        <v>1</v>
      </c>
      <c r="Z80" s="2" t="s">
        <v>52</v>
      </c>
      <c r="AA80" s="2" t="s">
        <v>67</v>
      </c>
      <c r="AB80" s="2">
        <v>2</v>
      </c>
      <c r="AC80" s="2">
        <f>SUMIF(N:N,Ecommerce_Consumer_Behavior_Analysis_Data3[[#This Row],[Brand_Loyalty]],M:M)</f>
        <v>603</v>
      </c>
      <c r="AD80" s="2" t="e" cm="1" vm="1">
        <f t="array" aca="1" ref="AD80" ca="1">SUMIFS(Y:Y,Ecommerce_Consumer_Behavior_Analysis_Data3[[#This Row],[Payment_Method]],V:V)</f>
        <v>#VALUE!</v>
      </c>
      <c r="AE80" s="2">
        <f t="shared" si="3"/>
        <v>211.7</v>
      </c>
      <c r="AG80">
        <f t="shared" si="4"/>
        <v>354.87</v>
      </c>
    </row>
    <row r="81" spans="1:33" x14ac:dyDescent="0.25">
      <c r="A81" s="2" t="s">
        <v>249</v>
      </c>
      <c r="B81" s="2">
        <v>20</v>
      </c>
      <c r="C81" s="2" t="s">
        <v>43</v>
      </c>
      <c r="D81" s="2" t="s">
        <v>44</v>
      </c>
      <c r="E81" s="2" t="s">
        <v>76</v>
      </c>
      <c r="F81" s="2" t="s">
        <v>32</v>
      </c>
      <c r="G81" s="2" t="s">
        <v>30</v>
      </c>
      <c r="H81" s="2" t="s">
        <v>250</v>
      </c>
      <c r="I81" s="2" t="s">
        <v>120</v>
      </c>
      <c r="J81" s="2">
        <v>399.58</v>
      </c>
      <c r="K81" s="2">
        <v>6</v>
      </c>
      <c r="L81" s="2" t="s">
        <v>48</v>
      </c>
      <c r="M81" s="2">
        <v>3</v>
      </c>
      <c r="N81" s="2">
        <v>4</v>
      </c>
      <c r="O81" s="2">
        <v>0</v>
      </c>
      <c r="P81" s="2" t="s">
        <v>36</v>
      </c>
      <c r="Q81" s="2" t="s">
        <v>85</v>
      </c>
      <c r="R81" s="2">
        <v>1</v>
      </c>
      <c r="S81" s="2">
        <v>8</v>
      </c>
      <c r="T81" s="2" t="s">
        <v>59</v>
      </c>
      <c r="U81" s="2" t="s">
        <v>38</v>
      </c>
      <c r="V81" s="2" t="s">
        <v>66</v>
      </c>
      <c r="W81" s="3">
        <v>45560</v>
      </c>
      <c r="X81" s="2" t="b">
        <v>1</v>
      </c>
      <c r="Y81" s="2" t="b">
        <v>0</v>
      </c>
      <c r="Z81" s="2" t="s">
        <v>40</v>
      </c>
      <c r="AA81" s="2" t="s">
        <v>53</v>
      </c>
      <c r="AB81" s="2">
        <v>7</v>
      </c>
      <c r="AC81" s="2">
        <f>SUMIF(N:N,Ecommerce_Consumer_Behavior_Analysis_Data3[[#This Row],[Brand_Loyalty]],M:M)</f>
        <v>597</v>
      </c>
      <c r="AD81" s="2" t="e" cm="1" vm="1">
        <f t="array" aca="1" ref="AD81" ca="1">SUMIFS(Y:Y,Ecommerce_Consumer_Behavior_Analysis_Data3[[#This Row],[Payment_Method]],V:V)</f>
        <v>#VALUE!</v>
      </c>
      <c r="AE81" s="2">
        <f t="shared" si="3"/>
        <v>101.31</v>
      </c>
      <c r="AG81">
        <f t="shared" si="4"/>
        <v>214.48</v>
      </c>
    </row>
    <row r="82" spans="1:33" x14ac:dyDescent="0.25">
      <c r="A82" s="2" t="s">
        <v>251</v>
      </c>
      <c r="B82" s="2">
        <v>27</v>
      </c>
      <c r="C82" s="2" t="s">
        <v>29</v>
      </c>
      <c r="D82" s="2" t="s">
        <v>44</v>
      </c>
      <c r="E82" s="2" t="s">
        <v>69</v>
      </c>
      <c r="F82" s="2" t="s">
        <v>45</v>
      </c>
      <c r="G82" s="2" t="s">
        <v>30</v>
      </c>
      <c r="H82" s="2" t="s">
        <v>252</v>
      </c>
      <c r="I82" s="2" t="s">
        <v>98</v>
      </c>
      <c r="J82" s="2">
        <v>380.99</v>
      </c>
      <c r="K82" s="2">
        <v>7</v>
      </c>
      <c r="L82" s="2" t="s">
        <v>35</v>
      </c>
      <c r="M82" s="2">
        <v>1</v>
      </c>
      <c r="N82" s="2">
        <v>2</v>
      </c>
      <c r="O82" s="2">
        <v>1</v>
      </c>
      <c r="P82" s="2" t="s">
        <v>59</v>
      </c>
      <c r="Q82" s="2" t="s">
        <v>37</v>
      </c>
      <c r="R82" s="2">
        <v>0</v>
      </c>
      <c r="S82" s="2">
        <v>1</v>
      </c>
      <c r="T82" s="2" t="s">
        <v>49</v>
      </c>
      <c r="U82" s="2" t="s">
        <v>79</v>
      </c>
      <c r="V82" s="2" t="s">
        <v>86</v>
      </c>
      <c r="W82" s="3">
        <v>45635</v>
      </c>
      <c r="X82" s="2" t="b">
        <v>1</v>
      </c>
      <c r="Y82" s="2" t="b">
        <v>1</v>
      </c>
      <c r="Z82" s="2" t="s">
        <v>40</v>
      </c>
      <c r="AA82" s="2" t="s">
        <v>41</v>
      </c>
      <c r="AB82" s="2">
        <v>8</v>
      </c>
      <c r="AC82" s="2">
        <f>SUMIF(N:N,Ecommerce_Consumer_Behavior_Analysis_Data3[[#This Row],[Brand_Loyalty]],M:M)</f>
        <v>603</v>
      </c>
      <c r="AD82" s="2" t="e" cm="1" vm="1">
        <f t="array" aca="1" ref="AD82" ca="1">SUMIFS(Y:Y,Ecommerce_Consumer_Behavior_Analysis_Data3[[#This Row],[Payment_Method]],V:V)</f>
        <v>#VALUE!</v>
      </c>
      <c r="AE82" s="2">
        <f t="shared" si="3"/>
        <v>101.31</v>
      </c>
      <c r="AG82">
        <f t="shared" si="4"/>
        <v>399.58</v>
      </c>
    </row>
    <row r="83" spans="1:33" x14ac:dyDescent="0.25">
      <c r="A83" s="2" t="s">
        <v>253</v>
      </c>
      <c r="B83" s="2">
        <v>36</v>
      </c>
      <c r="C83" s="2" t="s">
        <v>43</v>
      </c>
      <c r="D83" s="2" t="s">
        <v>30</v>
      </c>
      <c r="E83" s="2" t="s">
        <v>31</v>
      </c>
      <c r="F83" s="2" t="s">
        <v>45</v>
      </c>
      <c r="G83" s="2" t="s">
        <v>44</v>
      </c>
      <c r="H83" s="2" t="s">
        <v>254</v>
      </c>
      <c r="I83" s="2" t="s">
        <v>47</v>
      </c>
      <c r="J83" s="2">
        <v>79</v>
      </c>
      <c r="K83" s="2">
        <v>10</v>
      </c>
      <c r="L83" s="2" t="s">
        <v>78</v>
      </c>
      <c r="M83" s="2">
        <v>1</v>
      </c>
      <c r="N83" s="2">
        <v>2</v>
      </c>
      <c r="O83" s="2">
        <v>1</v>
      </c>
      <c r="P83" s="2" t="s">
        <v>49</v>
      </c>
      <c r="Q83" s="2" t="s">
        <v>85</v>
      </c>
      <c r="R83" s="2">
        <v>2</v>
      </c>
      <c r="S83" s="2">
        <v>6</v>
      </c>
      <c r="T83" s="2" t="s">
        <v>59</v>
      </c>
      <c r="U83" s="2" t="s">
        <v>60</v>
      </c>
      <c r="V83" s="2" t="s">
        <v>86</v>
      </c>
      <c r="W83" s="3">
        <v>45549</v>
      </c>
      <c r="X83" s="2" t="b">
        <v>0</v>
      </c>
      <c r="Y83" s="2" t="b">
        <v>1</v>
      </c>
      <c r="Z83" s="2" t="s">
        <v>74</v>
      </c>
      <c r="AA83" s="2" t="s">
        <v>53</v>
      </c>
      <c r="AB83" s="2">
        <v>7</v>
      </c>
      <c r="AC83" s="2">
        <f>SUMIF(N:N,Ecommerce_Consumer_Behavior_Analysis_Data3[[#This Row],[Brand_Loyalty]],M:M)</f>
        <v>603</v>
      </c>
      <c r="AD83" s="2" t="e" cm="1" vm="1">
        <f t="array" aca="1" ref="AD83" ca="1">SUMIFS(Y:Y,Ecommerce_Consumer_Behavior_Analysis_Data3[[#This Row],[Payment_Method]],V:V)</f>
        <v>#VALUE!</v>
      </c>
      <c r="AE83" s="2">
        <f t="shared" si="3"/>
        <v>333.8</v>
      </c>
      <c r="AG83">
        <f t="shared" si="4"/>
        <v>380.99</v>
      </c>
    </row>
    <row r="84" spans="1:33" x14ac:dyDescent="0.25">
      <c r="A84" s="2" t="s">
        <v>255</v>
      </c>
      <c r="B84" s="2">
        <v>46</v>
      </c>
      <c r="C84" s="2" t="s">
        <v>29</v>
      </c>
      <c r="D84" s="2" t="s">
        <v>30</v>
      </c>
      <c r="E84" s="2" t="s">
        <v>31</v>
      </c>
      <c r="F84" s="2" t="s">
        <v>32</v>
      </c>
      <c r="G84" s="2" t="s">
        <v>30</v>
      </c>
      <c r="H84" s="2" t="s">
        <v>256</v>
      </c>
      <c r="I84" s="2" t="s">
        <v>158</v>
      </c>
      <c r="J84" s="2">
        <v>113.88</v>
      </c>
      <c r="K84" s="2">
        <v>2</v>
      </c>
      <c r="L84" s="2" t="s">
        <v>78</v>
      </c>
      <c r="M84" s="2">
        <v>5</v>
      </c>
      <c r="N84" s="2">
        <v>2</v>
      </c>
      <c r="O84" s="2">
        <v>2</v>
      </c>
      <c r="P84" s="2" t="s">
        <v>49</v>
      </c>
      <c r="Q84" s="2" t="s">
        <v>50</v>
      </c>
      <c r="R84" s="2">
        <v>2</v>
      </c>
      <c r="S84" s="2">
        <v>4</v>
      </c>
      <c r="T84" s="2" t="s">
        <v>44</v>
      </c>
      <c r="U84" s="2" t="s">
        <v>38</v>
      </c>
      <c r="V84" s="2" t="s">
        <v>51</v>
      </c>
      <c r="W84" s="3">
        <v>45380</v>
      </c>
      <c r="X84" s="2" t="b">
        <v>0</v>
      </c>
      <c r="Y84" s="2" t="b">
        <v>0</v>
      </c>
      <c r="Z84" s="2" t="s">
        <v>52</v>
      </c>
      <c r="AA84" s="2" t="s">
        <v>67</v>
      </c>
      <c r="AB84" s="2">
        <v>9</v>
      </c>
      <c r="AC84" s="2">
        <f>SUMIF(N:N,Ecommerce_Consumer_Behavior_Analysis_Data3[[#This Row],[Brand_Loyalty]],M:M)</f>
        <v>641</v>
      </c>
      <c r="AD84" s="2" t="e" cm="1" vm="1">
        <f t="array" aca="1" ref="AD84" ca="1">SUMIFS(Y:Y,Ecommerce_Consumer_Behavior_Analysis_Data3[[#This Row],[Payment_Method]],V:V)</f>
        <v>#VALUE!</v>
      </c>
      <c r="AE84" s="2">
        <f t="shared" si="3"/>
        <v>211.7</v>
      </c>
      <c r="AG84">
        <f t="shared" si="4"/>
        <v>79</v>
      </c>
    </row>
    <row r="85" spans="1:33" x14ac:dyDescent="0.25">
      <c r="A85" s="2" t="s">
        <v>257</v>
      </c>
      <c r="B85" s="2">
        <v>26</v>
      </c>
      <c r="C85" s="2" t="s">
        <v>43</v>
      </c>
      <c r="D85" s="2" t="s">
        <v>30</v>
      </c>
      <c r="E85" s="2" t="s">
        <v>31</v>
      </c>
      <c r="F85" s="2" t="s">
        <v>45</v>
      </c>
      <c r="G85" s="2" t="s">
        <v>30</v>
      </c>
      <c r="H85" s="2" t="s">
        <v>258</v>
      </c>
      <c r="I85" s="2" t="s">
        <v>194</v>
      </c>
      <c r="J85" s="2">
        <v>121.57</v>
      </c>
      <c r="K85" s="2">
        <v>4</v>
      </c>
      <c r="L85" s="2" t="s">
        <v>35</v>
      </c>
      <c r="M85" s="2">
        <v>1</v>
      </c>
      <c r="N85" s="2">
        <v>5</v>
      </c>
      <c r="O85" s="2">
        <v>0</v>
      </c>
      <c r="P85" s="2" t="s">
        <v>44</v>
      </c>
      <c r="Q85" s="2" t="s">
        <v>50</v>
      </c>
      <c r="R85" s="2">
        <v>0</v>
      </c>
      <c r="S85" s="2">
        <v>4</v>
      </c>
      <c r="T85" s="2" t="s">
        <v>44</v>
      </c>
      <c r="U85" s="2" t="s">
        <v>79</v>
      </c>
      <c r="V85" s="2" t="s">
        <v>66</v>
      </c>
      <c r="W85" s="3">
        <v>45449</v>
      </c>
      <c r="X85" s="2" t="b">
        <v>0</v>
      </c>
      <c r="Y85" s="2" t="b">
        <v>1</v>
      </c>
      <c r="Z85" s="2" t="s">
        <v>62</v>
      </c>
      <c r="AA85" s="2" t="s">
        <v>41</v>
      </c>
      <c r="AB85" s="2">
        <v>13</v>
      </c>
      <c r="AC85" s="2">
        <f>SUMIF(N:N,Ecommerce_Consumer_Behavior_Analysis_Data3[[#This Row],[Brand_Loyalty]],M:M)</f>
        <v>603</v>
      </c>
      <c r="AD85" s="2" t="e" cm="1" vm="1">
        <f t="array" aca="1" ref="AD85" ca="1">SUMIFS(Y:Y,Ecommerce_Consumer_Behavior_Analysis_Data3[[#This Row],[Payment_Method]],V:V)</f>
        <v>#VALUE!</v>
      </c>
      <c r="AE85" s="2">
        <f t="shared" si="3"/>
        <v>333.8</v>
      </c>
      <c r="AG85">
        <f t="shared" si="4"/>
        <v>113.88</v>
      </c>
    </row>
    <row r="86" spans="1:33" x14ac:dyDescent="0.25">
      <c r="A86" s="2" t="s">
        <v>259</v>
      </c>
      <c r="B86" s="2">
        <v>21</v>
      </c>
      <c r="C86" s="2" t="s">
        <v>29</v>
      </c>
      <c r="D86" s="2" t="s">
        <v>44</v>
      </c>
      <c r="E86" s="2" t="s">
        <v>76</v>
      </c>
      <c r="F86" s="2" t="s">
        <v>45</v>
      </c>
      <c r="G86" s="2" t="s">
        <v>30</v>
      </c>
      <c r="H86" s="2" t="s">
        <v>260</v>
      </c>
      <c r="I86" s="2" t="s">
        <v>142</v>
      </c>
      <c r="J86" s="2">
        <v>215.54</v>
      </c>
      <c r="K86" s="2">
        <v>11</v>
      </c>
      <c r="L86" s="2" t="s">
        <v>78</v>
      </c>
      <c r="M86" s="2">
        <v>3</v>
      </c>
      <c r="N86" s="2">
        <v>1</v>
      </c>
      <c r="O86" s="2">
        <v>2</v>
      </c>
      <c r="P86" s="2" t="s">
        <v>59</v>
      </c>
      <c r="Q86" s="2" t="s">
        <v>37</v>
      </c>
      <c r="R86" s="2">
        <v>2</v>
      </c>
      <c r="S86" s="2">
        <v>6</v>
      </c>
      <c r="T86" s="2" t="s">
        <v>44</v>
      </c>
      <c r="U86" s="2" t="s">
        <v>79</v>
      </c>
      <c r="V86" s="2" t="s">
        <v>39</v>
      </c>
      <c r="W86" s="3">
        <v>45390</v>
      </c>
      <c r="X86" s="2" t="b">
        <v>1</v>
      </c>
      <c r="Y86" s="2" t="b">
        <v>1</v>
      </c>
      <c r="Z86" s="2" t="s">
        <v>74</v>
      </c>
      <c r="AA86" s="2" t="s">
        <v>41</v>
      </c>
      <c r="AB86" s="2">
        <v>10</v>
      </c>
      <c r="AC86" s="2">
        <f>SUMIF(N:N,Ecommerce_Consumer_Behavior_Analysis_Data3[[#This Row],[Brand_Loyalty]],M:M)</f>
        <v>597</v>
      </c>
      <c r="AD86" s="2" t="e" cm="1" vm="1">
        <f t="array" aca="1" ref="AD86" ca="1">SUMIFS(Y:Y,Ecommerce_Consumer_Behavior_Analysis_Data3[[#This Row],[Payment_Method]],V:V)</f>
        <v>#VALUE!</v>
      </c>
      <c r="AE86" s="2">
        <f t="shared" si="3"/>
        <v>211.7</v>
      </c>
      <c r="AG86">
        <f t="shared" si="4"/>
        <v>121.57</v>
      </c>
    </row>
    <row r="87" spans="1:33" x14ac:dyDescent="0.25">
      <c r="A87" s="2" t="s">
        <v>261</v>
      </c>
      <c r="B87" s="2">
        <v>43</v>
      </c>
      <c r="C87" s="2" t="s">
        <v>43</v>
      </c>
      <c r="D87" s="2" t="s">
        <v>44</v>
      </c>
      <c r="E87" s="2" t="s">
        <v>31</v>
      </c>
      <c r="F87" s="2" t="s">
        <v>32</v>
      </c>
      <c r="G87" s="2" t="s">
        <v>44</v>
      </c>
      <c r="H87" s="2" t="s">
        <v>262</v>
      </c>
      <c r="I87" s="2" t="s">
        <v>71</v>
      </c>
      <c r="J87" s="2">
        <v>87.03</v>
      </c>
      <c r="K87" s="2">
        <v>10</v>
      </c>
      <c r="L87" s="2" t="s">
        <v>35</v>
      </c>
      <c r="M87" s="2">
        <v>1</v>
      </c>
      <c r="N87" s="2">
        <v>1</v>
      </c>
      <c r="O87" s="2">
        <v>0</v>
      </c>
      <c r="P87" s="2" t="s">
        <v>59</v>
      </c>
      <c r="Q87" s="2" t="s">
        <v>85</v>
      </c>
      <c r="R87" s="2">
        <v>1</v>
      </c>
      <c r="S87" s="2">
        <v>5</v>
      </c>
      <c r="T87" s="2" t="s">
        <v>44</v>
      </c>
      <c r="U87" s="2" t="s">
        <v>79</v>
      </c>
      <c r="V87" s="2" t="s">
        <v>51</v>
      </c>
      <c r="W87" s="3">
        <v>45515</v>
      </c>
      <c r="X87" s="2" t="b">
        <v>0</v>
      </c>
      <c r="Y87" s="2" t="b">
        <v>1</v>
      </c>
      <c r="Z87" s="2" t="s">
        <v>40</v>
      </c>
      <c r="AA87" s="2" t="s">
        <v>41</v>
      </c>
      <c r="AB87" s="2">
        <v>7</v>
      </c>
      <c r="AC87" s="2">
        <f>SUMIF(N:N,Ecommerce_Consumer_Behavior_Analysis_Data3[[#This Row],[Brand_Loyalty]],M:M)</f>
        <v>603</v>
      </c>
      <c r="AD87" s="2" t="e" cm="1" vm="1">
        <f t="array" aca="1" ref="AD87" ca="1">SUMIFS(Y:Y,Ecommerce_Consumer_Behavior_Analysis_Data3[[#This Row],[Payment_Method]],V:V)</f>
        <v>#VALUE!</v>
      </c>
      <c r="AE87" s="2">
        <f t="shared" si="3"/>
        <v>211.7</v>
      </c>
      <c r="AG87">
        <f t="shared" si="4"/>
        <v>87.03</v>
      </c>
    </row>
    <row r="88" spans="1:33" x14ac:dyDescent="0.25">
      <c r="A88" s="2" t="s">
        <v>263</v>
      </c>
      <c r="B88" s="2">
        <v>19</v>
      </c>
      <c r="C88" s="2" t="s">
        <v>43</v>
      </c>
      <c r="D88" s="2" t="s">
        <v>44</v>
      </c>
      <c r="E88" s="2" t="s">
        <v>76</v>
      </c>
      <c r="F88" s="2" t="s">
        <v>45</v>
      </c>
      <c r="G88" s="2" t="s">
        <v>44</v>
      </c>
      <c r="H88" s="2" t="s">
        <v>264</v>
      </c>
      <c r="I88" s="2" t="s">
        <v>194</v>
      </c>
      <c r="J88" s="2">
        <v>111.75</v>
      </c>
      <c r="K88" s="2">
        <v>4</v>
      </c>
      <c r="L88" s="2" t="s">
        <v>48</v>
      </c>
      <c r="M88" s="2">
        <v>1</v>
      </c>
      <c r="N88" s="2">
        <v>4</v>
      </c>
      <c r="O88" s="2">
        <v>0</v>
      </c>
      <c r="P88" s="2" t="s">
        <v>44</v>
      </c>
      <c r="Q88" s="2" t="s">
        <v>50</v>
      </c>
      <c r="R88" s="2">
        <v>1</v>
      </c>
      <c r="S88" s="2">
        <v>6</v>
      </c>
      <c r="T88" s="2" t="s">
        <v>44</v>
      </c>
      <c r="U88" s="2" t="s">
        <v>38</v>
      </c>
      <c r="V88" s="2" t="s">
        <v>61</v>
      </c>
      <c r="W88" s="3">
        <v>45575</v>
      </c>
      <c r="X88" s="2" t="b">
        <v>0</v>
      </c>
      <c r="Y88" s="2" t="b">
        <v>1</v>
      </c>
      <c r="Z88" s="2" t="s">
        <v>62</v>
      </c>
      <c r="AA88" s="2" t="s">
        <v>53</v>
      </c>
      <c r="AB88" s="2">
        <v>8</v>
      </c>
      <c r="AC88" s="2">
        <f>SUMIF(N:N,Ecommerce_Consumer_Behavior_Analysis_Data3[[#This Row],[Brand_Loyalty]],M:M)</f>
        <v>603</v>
      </c>
      <c r="AD88" s="2" t="e" cm="1" vm="1">
        <f t="array" aca="1" ref="AD88" ca="1">SUMIFS(Y:Y,Ecommerce_Consumer_Behavior_Analysis_Data3[[#This Row],[Payment_Method]],V:V)</f>
        <v>#VALUE!</v>
      </c>
      <c r="AE88" s="2">
        <f t="shared" si="3"/>
        <v>333.8</v>
      </c>
      <c r="AG88">
        <f t="shared" si="4"/>
        <v>136.19999999999999</v>
      </c>
    </row>
    <row r="89" spans="1:33" x14ac:dyDescent="0.25">
      <c r="A89" s="2" t="s">
        <v>265</v>
      </c>
      <c r="B89" s="2">
        <v>41</v>
      </c>
      <c r="C89" s="2" t="s">
        <v>29</v>
      </c>
      <c r="D89" s="2" t="s">
        <v>44</v>
      </c>
      <c r="E89" s="2" t="s">
        <v>69</v>
      </c>
      <c r="F89" s="2" t="s">
        <v>56</v>
      </c>
      <c r="G89" s="2" t="s">
        <v>44</v>
      </c>
      <c r="H89" s="2" t="s">
        <v>266</v>
      </c>
      <c r="I89" s="2" t="s">
        <v>58</v>
      </c>
      <c r="J89" s="2">
        <v>136.19999999999999</v>
      </c>
      <c r="K89" s="2">
        <v>2</v>
      </c>
      <c r="L89" s="2" t="s">
        <v>35</v>
      </c>
      <c r="M89" s="2">
        <v>3</v>
      </c>
      <c r="N89" s="2">
        <v>2</v>
      </c>
      <c r="O89" s="2">
        <v>2</v>
      </c>
      <c r="P89" s="2" t="s">
        <v>59</v>
      </c>
      <c r="Q89" s="2" t="s">
        <v>50</v>
      </c>
      <c r="R89" s="2">
        <v>0</v>
      </c>
      <c r="S89" s="2">
        <v>1</v>
      </c>
      <c r="T89" s="2" t="s">
        <v>44</v>
      </c>
      <c r="U89" s="2" t="s">
        <v>38</v>
      </c>
      <c r="V89" s="2" t="s">
        <v>51</v>
      </c>
      <c r="W89" s="3">
        <v>45458</v>
      </c>
      <c r="X89" s="2" t="b">
        <v>1</v>
      </c>
      <c r="Y89" s="2" t="b">
        <v>1</v>
      </c>
      <c r="Z89" s="2" t="s">
        <v>40</v>
      </c>
      <c r="AA89" s="2" t="s">
        <v>67</v>
      </c>
      <c r="AB89" s="2">
        <v>9</v>
      </c>
      <c r="AC89" s="2">
        <f>SUMIF(N:N,Ecommerce_Consumer_Behavior_Analysis_Data3[[#This Row],[Brand_Loyalty]],M:M)</f>
        <v>597</v>
      </c>
      <c r="AD89" s="2" t="e" cm="1" vm="1">
        <f t="array" aca="1" ref="AD89" ca="1">SUMIFS(Y:Y,Ecommerce_Consumer_Behavior_Analysis_Data3[[#This Row],[Payment_Method]],V:V)</f>
        <v>#VALUE!</v>
      </c>
      <c r="AE89" s="2">
        <f t="shared" si="3"/>
        <v>101.31</v>
      </c>
      <c r="AG89">
        <f t="shared" si="4"/>
        <v>111.75</v>
      </c>
    </row>
    <row r="90" spans="1:33" x14ac:dyDescent="0.25">
      <c r="A90" s="2" t="s">
        <v>267</v>
      </c>
      <c r="B90" s="2">
        <v>48</v>
      </c>
      <c r="C90" s="2" t="s">
        <v>43</v>
      </c>
      <c r="D90" s="2" t="s">
        <v>30</v>
      </c>
      <c r="E90" s="2" t="s">
        <v>31</v>
      </c>
      <c r="F90" s="2" t="s">
        <v>45</v>
      </c>
      <c r="G90" s="2" t="s">
        <v>30</v>
      </c>
      <c r="H90" s="2" t="s">
        <v>268</v>
      </c>
      <c r="I90" s="2" t="s">
        <v>47</v>
      </c>
      <c r="J90" s="2">
        <v>439.31</v>
      </c>
      <c r="K90" s="2">
        <v>4</v>
      </c>
      <c r="L90" s="2" t="s">
        <v>48</v>
      </c>
      <c r="M90" s="2">
        <v>3</v>
      </c>
      <c r="N90" s="2">
        <v>2</v>
      </c>
      <c r="O90" s="2">
        <v>1</v>
      </c>
      <c r="P90" s="2" t="s">
        <v>49</v>
      </c>
      <c r="Q90" s="2" t="s">
        <v>85</v>
      </c>
      <c r="R90" s="2">
        <v>0</v>
      </c>
      <c r="S90" s="2">
        <v>6</v>
      </c>
      <c r="T90" s="2" t="s">
        <v>49</v>
      </c>
      <c r="U90" s="2" t="s">
        <v>60</v>
      </c>
      <c r="V90" s="2" t="s">
        <v>61</v>
      </c>
      <c r="W90" s="3">
        <v>45515</v>
      </c>
      <c r="X90" s="2" t="b">
        <v>0</v>
      </c>
      <c r="Y90" s="2" t="b">
        <v>1</v>
      </c>
      <c r="Z90" s="2" t="s">
        <v>52</v>
      </c>
      <c r="AA90" s="2" t="s">
        <v>41</v>
      </c>
      <c r="AB90" s="2">
        <v>7</v>
      </c>
      <c r="AC90" s="2">
        <f>SUMIF(N:N,Ecommerce_Consumer_Behavior_Analysis_Data3[[#This Row],[Brand_Loyalty]],M:M)</f>
        <v>597</v>
      </c>
      <c r="AD90" s="2" t="e" cm="1" vm="1">
        <f t="array" aca="1" ref="AD90" ca="1">SUMIFS(Y:Y,Ecommerce_Consumer_Behavior_Analysis_Data3[[#This Row],[Payment_Method]],V:V)</f>
        <v>#VALUE!</v>
      </c>
      <c r="AE90" s="2">
        <f t="shared" si="3"/>
        <v>101.31</v>
      </c>
      <c r="AG90">
        <f t="shared" si="4"/>
        <v>136.19999999999999</v>
      </c>
    </row>
    <row r="91" spans="1:33" x14ac:dyDescent="0.25">
      <c r="A91" s="2" t="s">
        <v>269</v>
      </c>
      <c r="B91" s="2">
        <v>19</v>
      </c>
      <c r="C91" s="2" t="s">
        <v>29</v>
      </c>
      <c r="D91" s="2" t="s">
        <v>30</v>
      </c>
      <c r="E91" s="2" t="s">
        <v>31</v>
      </c>
      <c r="F91" s="2" t="s">
        <v>32</v>
      </c>
      <c r="G91" s="2" t="s">
        <v>30</v>
      </c>
      <c r="H91" s="2" t="s">
        <v>270</v>
      </c>
      <c r="I91" s="2" t="s">
        <v>104</v>
      </c>
      <c r="J91" s="2">
        <v>194.93</v>
      </c>
      <c r="K91" s="2">
        <v>9</v>
      </c>
      <c r="L91" s="2" t="s">
        <v>78</v>
      </c>
      <c r="M91" s="2">
        <v>4</v>
      </c>
      <c r="N91" s="2">
        <v>4</v>
      </c>
      <c r="O91" s="2">
        <v>1</v>
      </c>
      <c r="P91" s="2" t="s">
        <v>44</v>
      </c>
      <c r="Q91" s="2" t="s">
        <v>37</v>
      </c>
      <c r="R91" s="2">
        <v>0</v>
      </c>
      <c r="S91" s="2">
        <v>4</v>
      </c>
      <c r="T91" s="2" t="s">
        <v>36</v>
      </c>
      <c r="U91" s="2" t="s">
        <v>38</v>
      </c>
      <c r="V91" s="2" t="s">
        <v>66</v>
      </c>
      <c r="W91" s="3">
        <v>45379</v>
      </c>
      <c r="X91" s="2" t="b">
        <v>1</v>
      </c>
      <c r="Y91" s="2" t="b">
        <v>1</v>
      </c>
      <c r="Z91" s="2" t="s">
        <v>62</v>
      </c>
      <c r="AA91" s="2" t="s">
        <v>41</v>
      </c>
      <c r="AB91" s="2">
        <v>5</v>
      </c>
      <c r="AC91" s="2">
        <f>SUMIF(N:N,Ecommerce_Consumer_Behavior_Analysis_Data3[[#This Row],[Brand_Loyalty]],M:M)</f>
        <v>603</v>
      </c>
      <c r="AD91" s="2" t="e" cm="1" vm="1">
        <f t="array" aca="1" ref="AD91" ca="1">SUMIFS(Y:Y,Ecommerce_Consumer_Behavior_Analysis_Data3[[#This Row],[Payment_Method]],V:V)</f>
        <v>#VALUE!</v>
      </c>
      <c r="AE91" s="2">
        <f t="shared" si="3"/>
        <v>211.7</v>
      </c>
      <c r="AG91">
        <f t="shared" si="4"/>
        <v>439.31</v>
      </c>
    </row>
    <row r="92" spans="1:33" x14ac:dyDescent="0.25">
      <c r="A92" s="2" t="s">
        <v>271</v>
      </c>
      <c r="B92" s="2">
        <v>29</v>
      </c>
      <c r="C92" s="2" t="s">
        <v>43</v>
      </c>
      <c r="D92" s="2" t="s">
        <v>30</v>
      </c>
      <c r="E92" s="2" t="s">
        <v>69</v>
      </c>
      <c r="F92" s="2" t="s">
        <v>56</v>
      </c>
      <c r="G92" s="2" t="s">
        <v>44</v>
      </c>
      <c r="H92" s="2" t="s">
        <v>272</v>
      </c>
      <c r="I92" s="2" t="s">
        <v>47</v>
      </c>
      <c r="J92" s="2">
        <v>377.67</v>
      </c>
      <c r="K92" s="2">
        <v>8</v>
      </c>
      <c r="L92" s="2" t="s">
        <v>78</v>
      </c>
      <c r="M92" s="2">
        <v>5</v>
      </c>
      <c r="N92" s="2">
        <v>3</v>
      </c>
      <c r="O92" s="2">
        <v>0</v>
      </c>
      <c r="P92" s="2" t="s">
        <v>36</v>
      </c>
      <c r="Q92" s="2" t="s">
        <v>85</v>
      </c>
      <c r="R92" s="2">
        <v>2</v>
      </c>
      <c r="S92" s="2">
        <v>1</v>
      </c>
      <c r="T92" s="2" t="s">
        <v>44</v>
      </c>
      <c r="U92" s="2" t="s">
        <v>79</v>
      </c>
      <c r="V92" s="2" t="s">
        <v>51</v>
      </c>
      <c r="W92" s="3">
        <v>45425</v>
      </c>
      <c r="X92" s="2" t="b">
        <v>1</v>
      </c>
      <c r="Y92" s="2" t="b">
        <v>0</v>
      </c>
      <c r="Z92" s="2" t="s">
        <v>40</v>
      </c>
      <c r="AA92" s="2" t="s">
        <v>41</v>
      </c>
      <c r="AB92" s="2">
        <v>14</v>
      </c>
      <c r="AC92" s="2">
        <f>SUMIF(N:N,Ecommerce_Consumer_Behavior_Analysis_Data3[[#This Row],[Brand_Loyalty]],M:M)</f>
        <v>641</v>
      </c>
      <c r="AD92" s="2" t="e" cm="1" vm="1">
        <f t="array" aca="1" ref="AD92" ca="1">SUMIFS(Y:Y,Ecommerce_Consumer_Behavior_Analysis_Data3[[#This Row],[Payment_Method]],V:V)</f>
        <v>#VALUE!</v>
      </c>
      <c r="AE92" s="2">
        <f t="shared" si="3"/>
        <v>211.7</v>
      </c>
      <c r="AG92">
        <f t="shared" si="4"/>
        <v>108.61</v>
      </c>
    </row>
    <row r="93" spans="1:33" x14ac:dyDescent="0.25">
      <c r="A93" s="2" t="s">
        <v>273</v>
      </c>
      <c r="B93" s="2">
        <v>26</v>
      </c>
      <c r="C93" s="2" t="s">
        <v>274</v>
      </c>
      <c r="D93" s="2" t="s">
        <v>44</v>
      </c>
      <c r="E93" s="2" t="s">
        <v>55</v>
      </c>
      <c r="F93" s="2" t="s">
        <v>56</v>
      </c>
      <c r="G93" s="2" t="s">
        <v>44</v>
      </c>
      <c r="H93" s="2" t="s">
        <v>275</v>
      </c>
      <c r="I93" s="2" t="s">
        <v>188</v>
      </c>
      <c r="J93" s="2">
        <v>108.61</v>
      </c>
      <c r="K93" s="2">
        <v>10</v>
      </c>
      <c r="L93" s="2" t="s">
        <v>48</v>
      </c>
      <c r="M93" s="2">
        <v>3</v>
      </c>
      <c r="N93" s="2">
        <v>2</v>
      </c>
      <c r="O93" s="2">
        <v>0</v>
      </c>
      <c r="P93" s="2" t="s">
        <v>36</v>
      </c>
      <c r="Q93" s="2" t="s">
        <v>85</v>
      </c>
      <c r="R93" s="2">
        <v>0</v>
      </c>
      <c r="S93" s="2">
        <v>3</v>
      </c>
      <c r="T93" s="2" t="s">
        <v>59</v>
      </c>
      <c r="U93" s="2" t="s">
        <v>60</v>
      </c>
      <c r="V93" s="2" t="s">
        <v>86</v>
      </c>
      <c r="W93" s="3">
        <v>45619</v>
      </c>
      <c r="X93" s="2" t="b">
        <v>1</v>
      </c>
      <c r="Y93" s="2" t="b">
        <v>1</v>
      </c>
      <c r="Z93" s="2" t="s">
        <v>40</v>
      </c>
      <c r="AA93" s="2" t="s">
        <v>41</v>
      </c>
      <c r="AB93" s="2">
        <v>14</v>
      </c>
      <c r="AC93" s="2">
        <f>SUMIF(N:N,Ecommerce_Consumer_Behavior_Analysis_Data3[[#This Row],[Brand_Loyalty]],M:M)</f>
        <v>597</v>
      </c>
      <c r="AD93" s="2" t="e" cm="1" vm="1">
        <f t="array" aca="1" ref="AD93" ca="1">SUMIFS(Y:Y,Ecommerce_Consumer_Behavior_Analysis_Data3[[#This Row],[Payment_Method]],V:V)</f>
        <v>#VALUE!</v>
      </c>
      <c r="AE93" s="2">
        <f t="shared" si="3"/>
        <v>333.8</v>
      </c>
      <c r="AG93">
        <f t="shared" si="4"/>
        <v>366.77</v>
      </c>
    </row>
    <row r="94" spans="1:33" x14ac:dyDescent="0.25">
      <c r="A94" s="2" t="s">
        <v>276</v>
      </c>
      <c r="B94" s="2">
        <v>20</v>
      </c>
      <c r="C94" s="2" t="s">
        <v>29</v>
      </c>
      <c r="D94" s="2" t="s">
        <v>30</v>
      </c>
      <c r="E94" s="2" t="s">
        <v>31</v>
      </c>
      <c r="F94" s="2" t="s">
        <v>32</v>
      </c>
      <c r="G94" s="2" t="s">
        <v>30</v>
      </c>
      <c r="H94" s="2" t="s">
        <v>277</v>
      </c>
      <c r="I94" s="2" t="s">
        <v>104</v>
      </c>
      <c r="J94" s="2">
        <v>366.77</v>
      </c>
      <c r="K94" s="2">
        <v>7</v>
      </c>
      <c r="L94" s="2" t="s">
        <v>35</v>
      </c>
      <c r="M94" s="2">
        <v>4</v>
      </c>
      <c r="N94" s="2">
        <v>3</v>
      </c>
      <c r="O94" s="2">
        <v>2</v>
      </c>
      <c r="P94" s="2" t="s">
        <v>59</v>
      </c>
      <c r="Q94" s="2" t="s">
        <v>50</v>
      </c>
      <c r="R94" s="2">
        <v>0</v>
      </c>
      <c r="S94" s="2">
        <v>9</v>
      </c>
      <c r="T94" s="2" t="s">
        <v>36</v>
      </c>
      <c r="U94" s="2" t="s">
        <v>60</v>
      </c>
      <c r="V94" s="2" t="s">
        <v>61</v>
      </c>
      <c r="W94" s="3">
        <v>45553</v>
      </c>
      <c r="X94" s="2" t="b">
        <v>0</v>
      </c>
      <c r="Y94" s="2" t="b">
        <v>0</v>
      </c>
      <c r="Z94" s="2" t="s">
        <v>62</v>
      </c>
      <c r="AA94" s="2" t="s">
        <v>53</v>
      </c>
      <c r="AB94" s="2">
        <v>1</v>
      </c>
      <c r="AC94" s="2">
        <f>SUMIF(N:N,Ecommerce_Consumer_Behavior_Analysis_Data3[[#This Row],[Brand_Loyalty]],M:M)</f>
        <v>603</v>
      </c>
      <c r="AD94" s="2" t="e" cm="1" vm="1">
        <f t="array" aca="1" ref="AD94" ca="1">SUMIFS(Y:Y,Ecommerce_Consumer_Behavior_Analysis_Data3[[#This Row],[Payment_Method]],V:V)</f>
        <v>#VALUE!</v>
      </c>
      <c r="AE94" s="2">
        <f t="shared" si="3"/>
        <v>333.8</v>
      </c>
      <c r="AG94">
        <f t="shared" si="4"/>
        <v>366.77</v>
      </c>
    </row>
    <row r="95" spans="1:33" x14ac:dyDescent="0.25">
      <c r="A95" s="2" t="s">
        <v>278</v>
      </c>
      <c r="B95" s="2">
        <v>31</v>
      </c>
      <c r="C95" s="2" t="s">
        <v>29</v>
      </c>
      <c r="D95" s="2" t="s">
        <v>44</v>
      </c>
      <c r="E95" s="2" t="s">
        <v>76</v>
      </c>
      <c r="F95" s="2" t="s">
        <v>56</v>
      </c>
      <c r="G95" s="2" t="s">
        <v>30</v>
      </c>
      <c r="H95" s="2" t="s">
        <v>279</v>
      </c>
      <c r="I95" s="2" t="s">
        <v>246</v>
      </c>
      <c r="J95" s="2">
        <v>178.04</v>
      </c>
      <c r="K95" s="2">
        <v>5</v>
      </c>
      <c r="L95" s="2" t="s">
        <v>48</v>
      </c>
      <c r="M95" s="2">
        <v>5</v>
      </c>
      <c r="N95" s="2">
        <v>1</v>
      </c>
      <c r="O95" s="2">
        <v>2</v>
      </c>
      <c r="P95" s="2" t="s">
        <v>49</v>
      </c>
      <c r="Q95" s="2" t="s">
        <v>37</v>
      </c>
      <c r="R95" s="2">
        <v>0</v>
      </c>
      <c r="S95" s="2">
        <v>5</v>
      </c>
      <c r="T95" s="2" t="s">
        <v>44</v>
      </c>
      <c r="U95" s="2" t="s">
        <v>38</v>
      </c>
      <c r="V95" s="2" t="s">
        <v>39</v>
      </c>
      <c r="W95" s="3">
        <v>45489</v>
      </c>
      <c r="X95" s="2" t="b">
        <v>0</v>
      </c>
      <c r="Y95" s="2" t="b">
        <v>0</v>
      </c>
      <c r="Z95" s="2" t="s">
        <v>40</v>
      </c>
      <c r="AA95" s="2" t="s">
        <v>41</v>
      </c>
      <c r="AB95" s="2">
        <v>12</v>
      </c>
      <c r="AC95" s="2">
        <f>SUMIF(N:N,Ecommerce_Consumer_Behavior_Analysis_Data3[[#This Row],[Brand_Loyalty]],M:M)</f>
        <v>641</v>
      </c>
      <c r="AD95" s="2" t="e" cm="1" vm="1">
        <f t="array" aca="1" ref="AD95" ca="1">SUMIFS(Y:Y,Ecommerce_Consumer_Behavior_Analysis_Data3[[#This Row],[Payment_Method]],V:V)</f>
        <v>#VALUE!</v>
      </c>
      <c r="AE95" s="2">
        <f t="shared" si="3"/>
        <v>211.7</v>
      </c>
      <c r="AG95">
        <f t="shared" si="4"/>
        <v>366.77</v>
      </c>
    </row>
    <row r="96" spans="1:33" x14ac:dyDescent="0.25">
      <c r="A96" s="2" t="s">
        <v>280</v>
      </c>
      <c r="B96" s="2">
        <v>23</v>
      </c>
      <c r="C96" s="2" t="s">
        <v>29</v>
      </c>
      <c r="D96" s="2" t="s">
        <v>44</v>
      </c>
      <c r="E96" s="2" t="s">
        <v>76</v>
      </c>
      <c r="F96" s="2" t="s">
        <v>45</v>
      </c>
      <c r="G96" s="2" t="s">
        <v>44</v>
      </c>
      <c r="H96" s="2" t="s">
        <v>281</v>
      </c>
      <c r="I96" s="2" t="s">
        <v>126</v>
      </c>
      <c r="J96" s="2">
        <v>461.09</v>
      </c>
      <c r="K96" s="2">
        <v>8</v>
      </c>
      <c r="L96" s="2" t="s">
        <v>78</v>
      </c>
      <c r="M96" s="2">
        <v>4</v>
      </c>
      <c r="N96" s="2">
        <v>1</v>
      </c>
      <c r="O96" s="2">
        <v>0</v>
      </c>
      <c r="P96" s="2" t="s">
        <v>49</v>
      </c>
      <c r="Q96" s="2" t="s">
        <v>37</v>
      </c>
      <c r="R96" s="2">
        <v>0</v>
      </c>
      <c r="S96" s="2">
        <v>4</v>
      </c>
      <c r="T96" s="2" t="s">
        <v>49</v>
      </c>
      <c r="U96" s="2" t="s">
        <v>60</v>
      </c>
      <c r="V96" s="2" t="s">
        <v>61</v>
      </c>
      <c r="W96" s="3">
        <v>45507</v>
      </c>
      <c r="X96" s="2" t="b">
        <v>1</v>
      </c>
      <c r="Y96" s="2" t="b">
        <v>0</v>
      </c>
      <c r="Z96" s="2" t="s">
        <v>40</v>
      </c>
      <c r="AA96" s="2" t="s">
        <v>41</v>
      </c>
      <c r="AB96" s="2">
        <v>8</v>
      </c>
      <c r="AC96" s="2">
        <f>SUMIF(N:N,Ecommerce_Consumer_Behavior_Analysis_Data3[[#This Row],[Brand_Loyalty]],M:M)</f>
        <v>603</v>
      </c>
      <c r="AD96" s="2" t="e" cm="1" vm="1">
        <f t="array" aca="1" ref="AD96" ca="1">SUMIFS(Y:Y,Ecommerce_Consumer_Behavior_Analysis_Data3[[#This Row],[Payment_Method]],V:V)</f>
        <v>#VALUE!</v>
      </c>
      <c r="AE96" s="2">
        <f t="shared" si="3"/>
        <v>101.31</v>
      </c>
      <c r="AG96">
        <f t="shared" si="4"/>
        <v>178.04</v>
      </c>
    </row>
    <row r="97" spans="1:33" x14ac:dyDescent="0.25">
      <c r="A97" s="2" t="s">
        <v>282</v>
      </c>
      <c r="B97" s="2">
        <v>19</v>
      </c>
      <c r="C97" s="2" t="s">
        <v>29</v>
      </c>
      <c r="D97" s="2" t="s">
        <v>44</v>
      </c>
      <c r="E97" s="2" t="s">
        <v>55</v>
      </c>
      <c r="F97" s="2" t="s">
        <v>45</v>
      </c>
      <c r="G97" s="2" t="s">
        <v>30</v>
      </c>
      <c r="H97" s="2" t="s">
        <v>283</v>
      </c>
      <c r="I97" s="2" t="s">
        <v>107</v>
      </c>
      <c r="J97" s="2">
        <v>211.16</v>
      </c>
      <c r="K97" s="2">
        <v>5</v>
      </c>
      <c r="L97" s="2" t="s">
        <v>48</v>
      </c>
      <c r="M97" s="2">
        <v>2</v>
      </c>
      <c r="N97" s="2">
        <v>3</v>
      </c>
      <c r="O97" s="2">
        <v>1</v>
      </c>
      <c r="P97" s="2" t="s">
        <v>44</v>
      </c>
      <c r="Q97" s="2" t="s">
        <v>85</v>
      </c>
      <c r="R97" s="2">
        <v>0</v>
      </c>
      <c r="S97" s="2">
        <v>3</v>
      </c>
      <c r="T97" s="2" t="s">
        <v>36</v>
      </c>
      <c r="U97" s="2" t="s">
        <v>60</v>
      </c>
      <c r="V97" s="2" t="s">
        <v>51</v>
      </c>
      <c r="W97" s="3">
        <v>45471</v>
      </c>
      <c r="X97" s="2" t="b">
        <v>0</v>
      </c>
      <c r="Y97" s="2" t="b">
        <v>0</v>
      </c>
      <c r="Z97" s="2" t="s">
        <v>74</v>
      </c>
      <c r="AA97" s="2" t="s">
        <v>53</v>
      </c>
      <c r="AB97" s="2">
        <v>2</v>
      </c>
      <c r="AC97" s="2">
        <f>SUMIF(N:N,Ecommerce_Consumer_Behavior_Analysis_Data3[[#This Row],[Brand_Loyalty]],M:M)</f>
        <v>582</v>
      </c>
      <c r="AD97" s="2" t="e" cm="1" vm="1">
        <f t="array" aca="1" ref="AD97" ca="1">SUMIFS(Y:Y,Ecommerce_Consumer_Behavior_Analysis_Data3[[#This Row],[Payment_Method]],V:V)</f>
        <v>#VALUE!</v>
      </c>
      <c r="AE97" s="2">
        <f t="shared" si="3"/>
        <v>211.7</v>
      </c>
      <c r="AG97">
        <f t="shared" si="4"/>
        <v>461.09</v>
      </c>
    </row>
    <row r="98" spans="1:33" x14ac:dyDescent="0.25">
      <c r="A98" s="2" t="s">
        <v>284</v>
      </c>
      <c r="B98" s="2">
        <v>23</v>
      </c>
      <c r="C98" s="2" t="s">
        <v>29</v>
      </c>
      <c r="D98" s="2" t="s">
        <v>30</v>
      </c>
      <c r="E98" s="2" t="s">
        <v>69</v>
      </c>
      <c r="F98" s="2" t="s">
        <v>32</v>
      </c>
      <c r="G98" s="2" t="s">
        <v>44</v>
      </c>
      <c r="H98" s="2" t="s">
        <v>285</v>
      </c>
      <c r="I98" s="2" t="s">
        <v>101</v>
      </c>
      <c r="J98" s="2">
        <v>421.95</v>
      </c>
      <c r="K98" s="2">
        <v>8</v>
      </c>
      <c r="L98" s="2" t="s">
        <v>35</v>
      </c>
      <c r="M98" s="2">
        <v>3</v>
      </c>
      <c r="N98" s="2">
        <v>5</v>
      </c>
      <c r="O98" s="2">
        <v>0</v>
      </c>
      <c r="P98" s="2" t="s">
        <v>49</v>
      </c>
      <c r="Q98" s="2" t="s">
        <v>50</v>
      </c>
      <c r="R98" s="2">
        <v>1</v>
      </c>
      <c r="S98" s="2">
        <v>1</v>
      </c>
      <c r="T98" s="2" t="s">
        <v>36</v>
      </c>
      <c r="U98" s="2" t="s">
        <v>60</v>
      </c>
      <c r="V98" s="2" t="s">
        <v>66</v>
      </c>
      <c r="W98" s="3">
        <v>45369</v>
      </c>
      <c r="X98" s="2" t="b">
        <v>0</v>
      </c>
      <c r="Y98" s="2" t="b">
        <v>1</v>
      </c>
      <c r="Z98" s="2" t="s">
        <v>40</v>
      </c>
      <c r="AA98" s="2" t="s">
        <v>41</v>
      </c>
      <c r="AB98" s="2">
        <v>7</v>
      </c>
      <c r="AC98" s="2">
        <f>SUMIF(N:N,Ecommerce_Consumer_Behavior_Analysis_Data3[[#This Row],[Brand_Loyalty]],M:M)</f>
        <v>597</v>
      </c>
      <c r="AD98" s="2" t="e" cm="1" vm="1">
        <f t="array" aca="1" ref="AD98" ca="1">SUMIFS(Y:Y,Ecommerce_Consumer_Behavior_Analysis_Data3[[#This Row],[Payment_Method]],V:V)</f>
        <v>#VALUE!</v>
      </c>
      <c r="AE98" s="2">
        <f t="shared" si="3"/>
        <v>211.7</v>
      </c>
      <c r="AG98">
        <f t="shared" si="4"/>
        <v>211.16</v>
      </c>
    </row>
    <row r="99" spans="1:33" x14ac:dyDescent="0.25">
      <c r="A99" s="2" t="s">
        <v>286</v>
      </c>
      <c r="B99" s="2">
        <v>49</v>
      </c>
      <c r="C99" s="2" t="s">
        <v>29</v>
      </c>
      <c r="D99" s="2" t="s">
        <v>30</v>
      </c>
      <c r="E99" s="2" t="s">
        <v>76</v>
      </c>
      <c r="F99" s="2" t="s">
        <v>32</v>
      </c>
      <c r="G99" s="2" t="s">
        <v>44</v>
      </c>
      <c r="H99" s="2" t="s">
        <v>287</v>
      </c>
      <c r="I99" s="2" t="s">
        <v>71</v>
      </c>
      <c r="J99" s="2">
        <v>378.59</v>
      </c>
      <c r="K99" s="2">
        <v>5</v>
      </c>
      <c r="L99" s="2" t="s">
        <v>78</v>
      </c>
      <c r="M99" s="2">
        <v>2</v>
      </c>
      <c r="N99" s="2">
        <v>1</v>
      </c>
      <c r="O99" s="2">
        <v>0</v>
      </c>
      <c r="P99" s="2" t="s">
        <v>36</v>
      </c>
      <c r="Q99" s="2" t="s">
        <v>37</v>
      </c>
      <c r="R99" s="2">
        <v>0</v>
      </c>
      <c r="S99" s="2">
        <v>4</v>
      </c>
      <c r="T99" s="2" t="s">
        <v>44</v>
      </c>
      <c r="U99" s="2" t="s">
        <v>79</v>
      </c>
      <c r="V99" s="2" t="s">
        <v>66</v>
      </c>
      <c r="W99" s="3">
        <v>45580</v>
      </c>
      <c r="X99" s="2" t="b">
        <v>0</v>
      </c>
      <c r="Y99" s="2" t="b">
        <v>0</v>
      </c>
      <c r="Z99" s="2" t="s">
        <v>52</v>
      </c>
      <c r="AA99" s="2" t="s">
        <v>41</v>
      </c>
      <c r="AB99" s="2">
        <v>14</v>
      </c>
      <c r="AC99" s="2">
        <f>SUMIF(N:N,Ecommerce_Consumer_Behavior_Analysis_Data3[[#This Row],[Brand_Loyalty]],M:M)</f>
        <v>582</v>
      </c>
      <c r="AD99" s="2" t="e" cm="1" vm="1">
        <f t="array" aca="1" ref="AD99" ca="1">SUMIFS(Y:Y,Ecommerce_Consumer_Behavior_Analysis_Data3[[#This Row],[Payment_Method]],V:V)</f>
        <v>#VALUE!</v>
      </c>
      <c r="AE99" s="2">
        <f t="shared" si="3"/>
        <v>101.31</v>
      </c>
      <c r="AG99">
        <f t="shared" si="4"/>
        <v>268.93</v>
      </c>
    </row>
    <row r="100" spans="1:33" x14ac:dyDescent="0.25">
      <c r="A100" s="2" t="s">
        <v>288</v>
      </c>
      <c r="B100" s="2">
        <v>23</v>
      </c>
      <c r="C100" s="2" t="s">
        <v>190</v>
      </c>
      <c r="D100" s="2" t="s">
        <v>44</v>
      </c>
      <c r="E100" s="2" t="s">
        <v>76</v>
      </c>
      <c r="F100" s="2" t="s">
        <v>45</v>
      </c>
      <c r="G100" s="2" t="s">
        <v>44</v>
      </c>
      <c r="H100" s="2" t="s">
        <v>289</v>
      </c>
      <c r="I100" s="2" t="s">
        <v>58</v>
      </c>
      <c r="J100" s="2">
        <v>268.93</v>
      </c>
      <c r="K100" s="2">
        <v>2</v>
      </c>
      <c r="L100" s="2" t="s">
        <v>35</v>
      </c>
      <c r="M100" s="2">
        <v>5</v>
      </c>
      <c r="N100" s="2">
        <v>5</v>
      </c>
      <c r="O100" s="2">
        <v>1</v>
      </c>
      <c r="P100" s="2" t="s">
        <v>49</v>
      </c>
      <c r="Q100" s="2" t="s">
        <v>85</v>
      </c>
      <c r="R100" s="2">
        <v>1</v>
      </c>
      <c r="S100" s="2">
        <v>3</v>
      </c>
      <c r="T100" s="2" t="s">
        <v>36</v>
      </c>
      <c r="U100" s="2" t="s">
        <v>38</v>
      </c>
      <c r="V100" s="2" t="s">
        <v>61</v>
      </c>
      <c r="W100" s="3">
        <v>45619</v>
      </c>
      <c r="X100" s="2" t="b">
        <v>0</v>
      </c>
      <c r="Y100" s="2" t="b">
        <v>0</v>
      </c>
      <c r="Z100" s="2" t="s">
        <v>62</v>
      </c>
      <c r="AA100" s="2" t="s">
        <v>67</v>
      </c>
      <c r="AB100" s="2">
        <v>8</v>
      </c>
      <c r="AC100" s="2">
        <f>SUMIF(N:N,Ecommerce_Consumer_Behavior_Analysis_Data3[[#This Row],[Brand_Loyalty]],M:M)</f>
        <v>641</v>
      </c>
      <c r="AD100" s="2" t="e" cm="1" vm="1">
        <f t="array" aca="1" ref="AD100" ca="1">SUMIFS(Y:Y,Ecommerce_Consumer_Behavior_Analysis_Data3[[#This Row],[Payment_Method]],V:V)</f>
        <v>#VALUE!</v>
      </c>
      <c r="AE100" s="2">
        <f t="shared" si="3"/>
        <v>211.7</v>
      </c>
      <c r="AG100">
        <f t="shared" si="4"/>
        <v>444.87</v>
      </c>
    </row>
    <row r="101" spans="1:33" x14ac:dyDescent="0.25">
      <c r="A101" s="2" t="s">
        <v>290</v>
      </c>
      <c r="B101" s="2">
        <v>42</v>
      </c>
      <c r="C101" s="2" t="s">
        <v>43</v>
      </c>
      <c r="D101" s="2" t="s">
        <v>30</v>
      </c>
      <c r="E101" s="2" t="s">
        <v>76</v>
      </c>
      <c r="F101" s="2" t="s">
        <v>32</v>
      </c>
      <c r="G101" s="2" t="s">
        <v>44</v>
      </c>
      <c r="H101" s="2" t="s">
        <v>291</v>
      </c>
      <c r="I101" s="2" t="s">
        <v>104</v>
      </c>
      <c r="J101" s="2">
        <v>444.87</v>
      </c>
      <c r="K101" s="2">
        <v>11</v>
      </c>
      <c r="L101" s="2" t="s">
        <v>78</v>
      </c>
      <c r="M101" s="2">
        <v>5</v>
      </c>
      <c r="N101" s="2">
        <v>4</v>
      </c>
      <c r="O101" s="2">
        <v>0</v>
      </c>
      <c r="P101" s="2" t="s">
        <v>49</v>
      </c>
      <c r="Q101" s="2" t="s">
        <v>50</v>
      </c>
      <c r="R101" s="2">
        <v>1</v>
      </c>
      <c r="S101" s="2">
        <v>8</v>
      </c>
      <c r="T101" s="2" t="s">
        <v>59</v>
      </c>
      <c r="U101" s="2" t="s">
        <v>79</v>
      </c>
      <c r="V101" s="2" t="s">
        <v>66</v>
      </c>
      <c r="W101" s="3">
        <v>45625</v>
      </c>
      <c r="X101" s="2" t="b">
        <v>0</v>
      </c>
      <c r="Y101" s="2" t="b">
        <v>0</v>
      </c>
      <c r="Z101" s="2" t="s">
        <v>52</v>
      </c>
      <c r="AA101" s="2" t="s">
        <v>41</v>
      </c>
      <c r="AB101" s="2">
        <v>7</v>
      </c>
      <c r="AC101" s="2">
        <f>SUMIF(N:N,Ecommerce_Consumer_Behavior_Analysis_Data3[[#This Row],[Brand_Loyalty]],M:M)</f>
        <v>641</v>
      </c>
      <c r="AD101" s="2" t="e" cm="1" vm="1">
        <f t="array" aca="1" ref="AD101" ca="1">SUMIFS(Y:Y,Ecommerce_Consumer_Behavior_Analysis_Data3[[#This Row],[Payment_Method]],V:V)</f>
        <v>#VALUE!</v>
      </c>
      <c r="AE101" s="2">
        <f t="shared" si="3"/>
        <v>101.31</v>
      </c>
      <c r="AG101">
        <f t="shared" si="4"/>
        <v>160.82</v>
      </c>
    </row>
    <row r="102" spans="1:33" x14ac:dyDescent="0.25">
      <c r="A102" s="2" t="s">
        <v>292</v>
      </c>
      <c r="B102" s="2">
        <v>18</v>
      </c>
      <c r="C102" s="2" t="s">
        <v>29</v>
      </c>
      <c r="D102" s="2" t="s">
        <v>44</v>
      </c>
      <c r="E102" s="2" t="s">
        <v>69</v>
      </c>
      <c r="F102" s="2" t="s">
        <v>32</v>
      </c>
      <c r="G102" s="2" t="s">
        <v>44</v>
      </c>
      <c r="H102" s="2" t="s">
        <v>293</v>
      </c>
      <c r="I102" s="2" t="s">
        <v>188</v>
      </c>
      <c r="J102" s="2">
        <v>160.82</v>
      </c>
      <c r="K102" s="2">
        <v>7</v>
      </c>
      <c r="L102" s="2" t="s">
        <v>48</v>
      </c>
      <c r="M102" s="2">
        <v>3</v>
      </c>
      <c r="N102" s="2">
        <v>1</v>
      </c>
      <c r="O102" s="2">
        <v>1</v>
      </c>
      <c r="P102" s="2" t="s">
        <v>44</v>
      </c>
      <c r="Q102" s="2" t="s">
        <v>37</v>
      </c>
      <c r="R102" s="2">
        <v>0</v>
      </c>
      <c r="S102" s="2">
        <v>1</v>
      </c>
      <c r="T102" s="2" t="s">
        <v>44</v>
      </c>
      <c r="U102" s="2" t="s">
        <v>60</v>
      </c>
      <c r="V102" s="2" t="s">
        <v>86</v>
      </c>
      <c r="W102" s="3">
        <v>45482</v>
      </c>
      <c r="X102" s="2" t="b">
        <v>1</v>
      </c>
      <c r="Y102" s="2" t="b">
        <v>1</v>
      </c>
      <c r="Z102" s="2" t="s">
        <v>52</v>
      </c>
      <c r="AA102" s="2" t="s">
        <v>41</v>
      </c>
      <c r="AB102" s="2">
        <v>3</v>
      </c>
      <c r="AC102" s="2">
        <f>SUMIF(N:N,Ecommerce_Consumer_Behavior_Analysis_Data3[[#This Row],[Brand_Loyalty]],M:M)</f>
        <v>597</v>
      </c>
      <c r="AD102" s="2" t="e" cm="1" vm="1">
        <f t="array" aca="1" ref="AD102" ca="1">SUMIFS(Y:Y,Ecommerce_Consumer_Behavior_Analysis_Data3[[#This Row],[Payment_Method]],V:V)</f>
        <v>#VALUE!</v>
      </c>
      <c r="AE102" s="2">
        <f t="shared" si="3"/>
        <v>101.31</v>
      </c>
      <c r="AG102">
        <f t="shared" si="4"/>
        <v>444.87</v>
      </c>
    </row>
    <row r="103" spans="1:33" x14ac:dyDescent="0.25">
      <c r="A103" s="2" t="s">
        <v>294</v>
      </c>
      <c r="B103" s="2">
        <v>35</v>
      </c>
      <c r="C103" s="2" t="s">
        <v>43</v>
      </c>
      <c r="D103" s="2" t="s">
        <v>44</v>
      </c>
      <c r="E103" s="2" t="s">
        <v>55</v>
      </c>
      <c r="F103" s="2" t="s">
        <v>56</v>
      </c>
      <c r="G103" s="2" t="s">
        <v>30</v>
      </c>
      <c r="H103" s="2" t="s">
        <v>295</v>
      </c>
      <c r="I103" s="2" t="s">
        <v>107</v>
      </c>
      <c r="J103" s="2">
        <v>494.18</v>
      </c>
      <c r="K103" s="2">
        <v>6</v>
      </c>
      <c r="L103" s="2" t="s">
        <v>35</v>
      </c>
      <c r="M103" s="2">
        <v>4</v>
      </c>
      <c r="N103" s="2">
        <v>5</v>
      </c>
      <c r="O103" s="2">
        <v>1</v>
      </c>
      <c r="P103" s="2" t="s">
        <v>49</v>
      </c>
      <c r="Q103" s="2" t="s">
        <v>50</v>
      </c>
      <c r="R103" s="2">
        <v>1</v>
      </c>
      <c r="S103" s="2">
        <v>2</v>
      </c>
      <c r="T103" s="2" t="s">
        <v>36</v>
      </c>
      <c r="U103" s="2" t="s">
        <v>79</v>
      </c>
      <c r="V103" s="2" t="s">
        <v>86</v>
      </c>
      <c r="W103" s="3">
        <v>45507</v>
      </c>
      <c r="X103" s="2" t="b">
        <v>0</v>
      </c>
      <c r="Y103" s="2" t="b">
        <v>0</v>
      </c>
      <c r="Z103" s="2" t="s">
        <v>40</v>
      </c>
      <c r="AA103" s="2" t="s">
        <v>53</v>
      </c>
      <c r="AB103" s="2">
        <v>14</v>
      </c>
      <c r="AC103" s="2">
        <f>SUMIF(N:N,Ecommerce_Consumer_Behavior_Analysis_Data3[[#This Row],[Brand_Loyalty]],M:M)</f>
        <v>603</v>
      </c>
      <c r="AD103" s="2" t="e" cm="1" vm="1">
        <f t="array" aca="1" ref="AD103" ca="1">SUMIFS(Y:Y,Ecommerce_Consumer_Behavior_Analysis_Data3[[#This Row],[Payment_Method]],V:V)</f>
        <v>#VALUE!</v>
      </c>
      <c r="AE103" s="2">
        <f t="shared" si="3"/>
        <v>101.31</v>
      </c>
      <c r="AG103">
        <f t="shared" si="4"/>
        <v>494.18</v>
      </c>
    </row>
    <row r="104" spans="1:33" x14ac:dyDescent="0.25">
      <c r="A104" s="2" t="s">
        <v>296</v>
      </c>
      <c r="B104" s="2">
        <v>22</v>
      </c>
      <c r="C104" s="2" t="s">
        <v>43</v>
      </c>
      <c r="D104" s="2" t="s">
        <v>30</v>
      </c>
      <c r="E104" s="2" t="s">
        <v>55</v>
      </c>
      <c r="F104" s="2" t="s">
        <v>32</v>
      </c>
      <c r="G104" s="2" t="s">
        <v>30</v>
      </c>
      <c r="H104" s="2" t="s">
        <v>297</v>
      </c>
      <c r="I104" s="2" t="s">
        <v>65</v>
      </c>
      <c r="J104" s="2">
        <v>177.05</v>
      </c>
      <c r="K104" s="2">
        <v>5</v>
      </c>
      <c r="L104" s="2" t="s">
        <v>78</v>
      </c>
      <c r="M104" s="2">
        <v>3</v>
      </c>
      <c r="N104" s="2">
        <v>1</v>
      </c>
      <c r="O104" s="2">
        <v>1</v>
      </c>
      <c r="P104" s="2" t="s">
        <v>36</v>
      </c>
      <c r="Q104" s="2" t="s">
        <v>37</v>
      </c>
      <c r="R104" s="2">
        <v>2</v>
      </c>
      <c r="S104" s="2">
        <v>1</v>
      </c>
      <c r="T104" s="2" t="s">
        <v>59</v>
      </c>
      <c r="U104" s="2" t="s">
        <v>38</v>
      </c>
      <c r="V104" s="2" t="s">
        <v>86</v>
      </c>
      <c r="W104" s="3">
        <v>45630</v>
      </c>
      <c r="X104" s="2" t="b">
        <v>1</v>
      </c>
      <c r="Y104" s="2" t="b">
        <v>1</v>
      </c>
      <c r="Z104" s="2" t="s">
        <v>62</v>
      </c>
      <c r="AA104" s="2" t="s">
        <v>53</v>
      </c>
      <c r="AB104" s="2">
        <v>1</v>
      </c>
      <c r="AC104" s="2">
        <f>SUMIF(N:N,Ecommerce_Consumer_Behavior_Analysis_Data3[[#This Row],[Brand_Loyalty]],M:M)</f>
        <v>597</v>
      </c>
      <c r="AD104" s="2" t="e" cm="1" vm="1">
        <f t="array" aca="1" ref="AD104" ca="1">SUMIFS(Y:Y,Ecommerce_Consumer_Behavior_Analysis_Data3[[#This Row],[Payment_Method]],V:V)</f>
        <v>#VALUE!</v>
      </c>
      <c r="AE104" s="2">
        <f t="shared" si="3"/>
        <v>211.7</v>
      </c>
      <c r="AG104">
        <f t="shared" si="4"/>
        <v>450.66</v>
      </c>
    </row>
    <row r="105" spans="1:33" x14ac:dyDescent="0.25">
      <c r="A105" s="2" t="s">
        <v>298</v>
      </c>
      <c r="B105" s="2">
        <v>28</v>
      </c>
      <c r="C105" s="2" t="s">
        <v>29</v>
      </c>
      <c r="D105" s="2" t="s">
        <v>30</v>
      </c>
      <c r="E105" s="2" t="s">
        <v>31</v>
      </c>
      <c r="F105" s="2" t="s">
        <v>56</v>
      </c>
      <c r="G105" s="2" t="s">
        <v>44</v>
      </c>
      <c r="H105" s="2" t="s">
        <v>299</v>
      </c>
      <c r="I105" s="2" t="s">
        <v>47</v>
      </c>
      <c r="J105" s="2">
        <v>450.66</v>
      </c>
      <c r="K105" s="2">
        <v>7</v>
      </c>
      <c r="L105" s="2" t="s">
        <v>48</v>
      </c>
      <c r="M105" s="2">
        <v>2</v>
      </c>
      <c r="N105" s="2">
        <v>5</v>
      </c>
      <c r="O105" s="2">
        <v>0</v>
      </c>
      <c r="P105" s="2" t="s">
        <v>44</v>
      </c>
      <c r="Q105" s="2" t="s">
        <v>37</v>
      </c>
      <c r="R105" s="2">
        <v>2</v>
      </c>
      <c r="S105" s="2">
        <v>4</v>
      </c>
      <c r="T105" s="2" t="s">
        <v>49</v>
      </c>
      <c r="U105" s="2" t="s">
        <v>38</v>
      </c>
      <c r="V105" s="2" t="s">
        <v>39</v>
      </c>
      <c r="W105" s="3">
        <v>45456</v>
      </c>
      <c r="X105" s="2" t="b">
        <v>0</v>
      </c>
      <c r="Y105" s="2" t="b">
        <v>1</v>
      </c>
      <c r="Z105" s="2" t="s">
        <v>40</v>
      </c>
      <c r="AA105" s="2" t="s">
        <v>41</v>
      </c>
      <c r="AB105" s="2">
        <v>9</v>
      </c>
      <c r="AC105" s="2">
        <f>SUMIF(N:N,Ecommerce_Consumer_Behavior_Analysis_Data3[[#This Row],[Brand_Loyalty]],M:M)</f>
        <v>582</v>
      </c>
      <c r="AD105" s="2" t="e" cm="1" vm="1">
        <f t="array" aca="1" ref="AD105" ca="1">SUMIFS(Y:Y,Ecommerce_Consumer_Behavior_Analysis_Data3[[#This Row],[Payment_Method]],V:V)</f>
        <v>#VALUE!</v>
      </c>
      <c r="AE105" s="2">
        <f t="shared" si="3"/>
        <v>333.8</v>
      </c>
      <c r="AG105">
        <f t="shared" si="4"/>
        <v>450.66</v>
      </c>
    </row>
    <row r="106" spans="1:33" x14ac:dyDescent="0.25">
      <c r="A106" s="2" t="s">
        <v>300</v>
      </c>
      <c r="B106" s="2">
        <v>42</v>
      </c>
      <c r="C106" s="2" t="s">
        <v>29</v>
      </c>
      <c r="D106" s="2" t="s">
        <v>44</v>
      </c>
      <c r="E106" s="2" t="s">
        <v>31</v>
      </c>
      <c r="F106" s="2" t="s">
        <v>32</v>
      </c>
      <c r="G106" s="2" t="s">
        <v>30</v>
      </c>
      <c r="H106" s="2" t="s">
        <v>301</v>
      </c>
      <c r="I106" s="2" t="s">
        <v>135</v>
      </c>
      <c r="J106" s="2">
        <v>164.27</v>
      </c>
      <c r="K106" s="2">
        <v>6</v>
      </c>
      <c r="L106" s="2" t="s">
        <v>78</v>
      </c>
      <c r="M106" s="2">
        <v>5</v>
      </c>
      <c r="N106" s="2">
        <v>3</v>
      </c>
      <c r="O106" s="2">
        <v>2</v>
      </c>
      <c r="P106" s="2" t="s">
        <v>44</v>
      </c>
      <c r="Q106" s="2" t="s">
        <v>50</v>
      </c>
      <c r="R106" s="2">
        <v>2</v>
      </c>
      <c r="S106" s="2">
        <v>7</v>
      </c>
      <c r="T106" s="2" t="s">
        <v>59</v>
      </c>
      <c r="U106" s="2" t="s">
        <v>79</v>
      </c>
      <c r="V106" s="2" t="s">
        <v>51</v>
      </c>
      <c r="W106" s="3">
        <v>45486</v>
      </c>
      <c r="X106" s="2" t="b">
        <v>1</v>
      </c>
      <c r="Y106" s="2" t="b">
        <v>0</v>
      </c>
      <c r="Z106" s="2" t="s">
        <v>52</v>
      </c>
      <c r="AA106" s="2" t="s">
        <v>41</v>
      </c>
      <c r="AB106" s="2">
        <v>14</v>
      </c>
      <c r="AC106" s="2">
        <f>SUMIF(N:N,Ecommerce_Consumer_Behavior_Analysis_Data3[[#This Row],[Brand_Loyalty]],M:M)</f>
        <v>641</v>
      </c>
      <c r="AD106" s="2" t="e" cm="1" vm="1">
        <f t="array" aca="1" ref="AD106" ca="1">SUMIFS(Y:Y,Ecommerce_Consumer_Behavior_Analysis_Data3[[#This Row],[Payment_Method]],V:V)</f>
        <v>#VALUE!</v>
      </c>
      <c r="AE106" s="2">
        <f t="shared" si="3"/>
        <v>211.7</v>
      </c>
      <c r="AG106">
        <f t="shared" si="4"/>
        <v>450.66</v>
      </c>
    </row>
    <row r="107" spans="1:33" x14ac:dyDescent="0.25">
      <c r="A107" s="2" t="s">
        <v>302</v>
      </c>
      <c r="B107" s="2">
        <v>37</v>
      </c>
      <c r="C107" s="2" t="s">
        <v>29</v>
      </c>
      <c r="D107" s="2" t="s">
        <v>30</v>
      </c>
      <c r="E107" s="2" t="s">
        <v>69</v>
      </c>
      <c r="F107" s="2" t="s">
        <v>56</v>
      </c>
      <c r="G107" s="2" t="s">
        <v>44</v>
      </c>
      <c r="H107" s="2" t="s">
        <v>303</v>
      </c>
      <c r="I107" s="2" t="s">
        <v>47</v>
      </c>
      <c r="J107" s="2">
        <v>346.36</v>
      </c>
      <c r="K107" s="2">
        <v>12</v>
      </c>
      <c r="L107" s="2" t="s">
        <v>35</v>
      </c>
      <c r="M107" s="2">
        <v>4</v>
      </c>
      <c r="N107" s="2">
        <v>5</v>
      </c>
      <c r="O107" s="2">
        <v>0</v>
      </c>
      <c r="P107" s="2" t="s">
        <v>49</v>
      </c>
      <c r="Q107" s="2" t="s">
        <v>37</v>
      </c>
      <c r="R107" s="2">
        <v>0</v>
      </c>
      <c r="S107" s="2">
        <v>7</v>
      </c>
      <c r="T107" s="2" t="s">
        <v>49</v>
      </c>
      <c r="U107" s="2" t="s">
        <v>60</v>
      </c>
      <c r="V107" s="2" t="s">
        <v>39</v>
      </c>
      <c r="W107" s="3">
        <v>45539</v>
      </c>
      <c r="X107" s="2" t="b">
        <v>0</v>
      </c>
      <c r="Y107" s="2" t="b">
        <v>0</v>
      </c>
      <c r="Z107" s="2" t="s">
        <v>40</v>
      </c>
      <c r="AA107" s="2" t="s">
        <v>53</v>
      </c>
      <c r="AB107" s="2">
        <v>14</v>
      </c>
      <c r="AC107" s="2">
        <f>SUMIF(N:N,Ecommerce_Consumer_Behavior_Analysis_Data3[[#This Row],[Brand_Loyalty]],M:M)</f>
        <v>603</v>
      </c>
      <c r="AD107" s="2" t="e" cm="1" vm="1">
        <f t="array" aca="1" ref="AD107" ca="1">SUMIFS(Y:Y,Ecommerce_Consumer_Behavior_Analysis_Data3[[#This Row],[Payment_Method]],V:V)</f>
        <v>#VALUE!</v>
      </c>
      <c r="AE107" s="2">
        <f t="shared" si="3"/>
        <v>101.31</v>
      </c>
      <c r="AG107">
        <f t="shared" si="4"/>
        <v>164.27</v>
      </c>
    </row>
    <row r="108" spans="1:33" x14ac:dyDescent="0.25">
      <c r="A108" s="2" t="s">
        <v>304</v>
      </c>
      <c r="B108" s="2">
        <v>33</v>
      </c>
      <c r="C108" s="2" t="s">
        <v>29</v>
      </c>
      <c r="D108" s="2" t="s">
        <v>30</v>
      </c>
      <c r="E108" s="2" t="s">
        <v>69</v>
      </c>
      <c r="F108" s="2" t="s">
        <v>45</v>
      </c>
      <c r="G108" s="2" t="s">
        <v>44</v>
      </c>
      <c r="H108" s="2" t="s">
        <v>305</v>
      </c>
      <c r="I108" s="2" t="s">
        <v>101</v>
      </c>
      <c r="J108" s="2">
        <v>377.77</v>
      </c>
      <c r="K108" s="2">
        <v>9</v>
      </c>
      <c r="L108" s="2" t="s">
        <v>35</v>
      </c>
      <c r="M108" s="2">
        <v>4</v>
      </c>
      <c r="N108" s="2">
        <v>2</v>
      </c>
      <c r="O108" s="2">
        <v>1</v>
      </c>
      <c r="P108" s="2" t="s">
        <v>49</v>
      </c>
      <c r="Q108" s="2" t="s">
        <v>50</v>
      </c>
      <c r="R108" s="2">
        <v>1</v>
      </c>
      <c r="S108" s="2">
        <v>5</v>
      </c>
      <c r="T108" s="2" t="s">
        <v>49</v>
      </c>
      <c r="U108" s="2" t="s">
        <v>38</v>
      </c>
      <c r="V108" s="2" t="s">
        <v>39</v>
      </c>
      <c r="W108" s="3">
        <v>45530</v>
      </c>
      <c r="X108" s="2" t="b">
        <v>1</v>
      </c>
      <c r="Y108" s="2" t="b">
        <v>1</v>
      </c>
      <c r="Z108" s="2" t="s">
        <v>62</v>
      </c>
      <c r="AA108" s="2" t="s">
        <v>53</v>
      </c>
      <c r="AB108" s="2">
        <v>3</v>
      </c>
      <c r="AC108" s="2">
        <f>SUMIF(N:N,Ecommerce_Consumer_Behavior_Analysis_Data3[[#This Row],[Brand_Loyalty]],M:M)</f>
        <v>603</v>
      </c>
      <c r="AD108" s="2" t="e" cm="1" vm="1">
        <f t="array" aca="1" ref="AD108" ca="1">SUMIFS(Y:Y,Ecommerce_Consumer_Behavior_Analysis_Data3[[#This Row],[Payment_Method]],V:V)</f>
        <v>#VALUE!</v>
      </c>
      <c r="AE108" s="2">
        <f t="shared" si="3"/>
        <v>333.8</v>
      </c>
      <c r="AG108">
        <f t="shared" si="4"/>
        <v>346.36</v>
      </c>
    </row>
    <row r="109" spans="1:33" x14ac:dyDescent="0.25">
      <c r="A109" s="2" t="s">
        <v>306</v>
      </c>
      <c r="B109" s="2">
        <v>46</v>
      </c>
      <c r="C109" s="2" t="s">
        <v>29</v>
      </c>
      <c r="D109" s="2" t="s">
        <v>30</v>
      </c>
      <c r="E109" s="2" t="s">
        <v>69</v>
      </c>
      <c r="F109" s="2" t="s">
        <v>45</v>
      </c>
      <c r="G109" s="2" t="s">
        <v>30</v>
      </c>
      <c r="H109" s="2" t="s">
        <v>307</v>
      </c>
      <c r="I109" s="2" t="s">
        <v>194</v>
      </c>
      <c r="J109" s="2">
        <v>163.41</v>
      </c>
      <c r="K109" s="2">
        <v>2</v>
      </c>
      <c r="L109" s="2" t="s">
        <v>48</v>
      </c>
      <c r="M109" s="2">
        <v>5</v>
      </c>
      <c r="N109" s="2">
        <v>5</v>
      </c>
      <c r="O109" s="2">
        <v>2</v>
      </c>
      <c r="P109" s="2" t="s">
        <v>59</v>
      </c>
      <c r="Q109" s="2" t="s">
        <v>50</v>
      </c>
      <c r="R109" s="2">
        <v>1</v>
      </c>
      <c r="S109" s="2">
        <v>8</v>
      </c>
      <c r="T109" s="2" t="s">
        <v>44</v>
      </c>
      <c r="U109" s="2" t="s">
        <v>79</v>
      </c>
      <c r="V109" s="2" t="s">
        <v>66</v>
      </c>
      <c r="W109" s="3">
        <v>45347</v>
      </c>
      <c r="X109" s="2" t="b">
        <v>1</v>
      </c>
      <c r="Y109" s="2" t="b">
        <v>1</v>
      </c>
      <c r="Z109" s="2" t="s">
        <v>40</v>
      </c>
      <c r="AA109" s="2" t="s">
        <v>67</v>
      </c>
      <c r="AB109" s="2">
        <v>4</v>
      </c>
      <c r="AC109" s="2">
        <f>SUMIF(N:N,Ecommerce_Consumer_Behavior_Analysis_Data3[[#This Row],[Brand_Loyalty]],M:M)</f>
        <v>641</v>
      </c>
      <c r="AD109" s="2" t="e" cm="1" vm="1">
        <f t="array" aca="1" ref="AD109" ca="1">SUMIFS(Y:Y,Ecommerce_Consumer_Behavior_Analysis_Data3[[#This Row],[Payment_Method]],V:V)</f>
        <v>#VALUE!</v>
      </c>
      <c r="AE109" s="2">
        <f t="shared" si="3"/>
        <v>211.7</v>
      </c>
      <c r="AG109">
        <f t="shared" si="4"/>
        <v>377.77</v>
      </c>
    </row>
    <row r="110" spans="1:33" x14ac:dyDescent="0.25">
      <c r="A110" s="2" t="s">
        <v>308</v>
      </c>
      <c r="B110" s="2">
        <v>30</v>
      </c>
      <c r="C110" s="2" t="s">
        <v>29</v>
      </c>
      <c r="D110" s="2" t="s">
        <v>30</v>
      </c>
      <c r="E110" s="2" t="s">
        <v>76</v>
      </c>
      <c r="F110" s="2" t="s">
        <v>56</v>
      </c>
      <c r="G110" s="2" t="s">
        <v>30</v>
      </c>
      <c r="H110" s="2" t="s">
        <v>309</v>
      </c>
      <c r="I110" s="2" t="s">
        <v>107</v>
      </c>
      <c r="J110" s="2">
        <v>467.58</v>
      </c>
      <c r="K110" s="2">
        <v>10</v>
      </c>
      <c r="L110" s="2" t="s">
        <v>35</v>
      </c>
      <c r="M110" s="2">
        <v>1</v>
      </c>
      <c r="N110" s="2">
        <v>2</v>
      </c>
      <c r="O110" s="2">
        <v>0</v>
      </c>
      <c r="P110" s="2" t="s">
        <v>36</v>
      </c>
      <c r="Q110" s="2" t="s">
        <v>37</v>
      </c>
      <c r="R110" s="2">
        <v>1</v>
      </c>
      <c r="S110" s="2">
        <v>6</v>
      </c>
      <c r="T110" s="2" t="s">
        <v>59</v>
      </c>
      <c r="U110" s="2" t="s">
        <v>79</v>
      </c>
      <c r="V110" s="2" t="s">
        <v>51</v>
      </c>
      <c r="W110" s="3">
        <v>45397</v>
      </c>
      <c r="X110" s="2" t="b">
        <v>1</v>
      </c>
      <c r="Y110" s="2" t="b">
        <v>1</v>
      </c>
      <c r="Z110" s="2" t="s">
        <v>52</v>
      </c>
      <c r="AA110" s="2" t="s">
        <v>53</v>
      </c>
      <c r="AB110" s="2">
        <v>7</v>
      </c>
      <c r="AC110" s="2">
        <f>SUMIF(N:N,Ecommerce_Consumer_Behavior_Analysis_Data3[[#This Row],[Brand_Loyalty]],M:M)</f>
        <v>603</v>
      </c>
      <c r="AD110" s="2" t="e" cm="1" vm="1">
        <f t="array" aca="1" ref="AD110" ca="1">SUMIFS(Y:Y,Ecommerce_Consumer_Behavior_Analysis_Data3[[#This Row],[Payment_Method]],V:V)</f>
        <v>#VALUE!</v>
      </c>
      <c r="AE110" s="2">
        <f t="shared" si="3"/>
        <v>333.8</v>
      </c>
      <c r="AG110">
        <f t="shared" si="4"/>
        <v>163.41</v>
      </c>
    </row>
    <row r="111" spans="1:33" x14ac:dyDescent="0.25">
      <c r="A111" s="2" t="s">
        <v>310</v>
      </c>
      <c r="B111" s="2">
        <v>39</v>
      </c>
      <c r="C111" s="2" t="s">
        <v>29</v>
      </c>
      <c r="D111" s="2" t="s">
        <v>30</v>
      </c>
      <c r="E111" s="2" t="s">
        <v>69</v>
      </c>
      <c r="F111" s="2" t="s">
        <v>32</v>
      </c>
      <c r="G111" s="2" t="s">
        <v>44</v>
      </c>
      <c r="H111" s="2" t="s">
        <v>311</v>
      </c>
      <c r="I111" s="2" t="s">
        <v>82</v>
      </c>
      <c r="J111" s="2">
        <v>247.51</v>
      </c>
      <c r="K111" s="2">
        <v>10</v>
      </c>
      <c r="L111" s="2" t="s">
        <v>35</v>
      </c>
      <c r="M111" s="2">
        <v>2</v>
      </c>
      <c r="N111" s="2">
        <v>1</v>
      </c>
      <c r="O111" s="2">
        <v>2</v>
      </c>
      <c r="P111" s="2" t="s">
        <v>59</v>
      </c>
      <c r="Q111" s="2" t="s">
        <v>37</v>
      </c>
      <c r="R111" s="2">
        <v>1</v>
      </c>
      <c r="S111" s="2">
        <v>8</v>
      </c>
      <c r="T111" s="2" t="s">
        <v>59</v>
      </c>
      <c r="U111" s="2" t="s">
        <v>38</v>
      </c>
      <c r="V111" s="2" t="s">
        <v>39</v>
      </c>
      <c r="W111" s="3">
        <v>45474</v>
      </c>
      <c r="X111" s="2" t="b">
        <v>1</v>
      </c>
      <c r="Y111" s="2" t="b">
        <v>0</v>
      </c>
      <c r="Z111" s="2" t="s">
        <v>62</v>
      </c>
      <c r="AA111" s="2" t="s">
        <v>53</v>
      </c>
      <c r="AB111" s="2">
        <v>2</v>
      </c>
      <c r="AC111" s="2">
        <f>SUMIF(N:N,Ecommerce_Consumer_Behavior_Analysis_Data3[[#This Row],[Brand_Loyalty]],M:M)</f>
        <v>582</v>
      </c>
      <c r="AD111" s="2" t="e" cm="1" vm="1">
        <f t="array" aca="1" ref="AD111" ca="1">SUMIFS(Y:Y,Ecommerce_Consumer_Behavior_Analysis_Data3[[#This Row],[Payment_Method]],V:V)</f>
        <v>#VALUE!</v>
      </c>
      <c r="AE111" s="2">
        <f t="shared" si="3"/>
        <v>211.7</v>
      </c>
      <c r="AG111">
        <f t="shared" si="4"/>
        <v>467.58</v>
      </c>
    </row>
    <row r="112" spans="1:33" x14ac:dyDescent="0.25">
      <c r="A112" s="2" t="s">
        <v>312</v>
      </c>
      <c r="B112" s="2">
        <v>25</v>
      </c>
      <c r="C112" s="2" t="s">
        <v>29</v>
      </c>
      <c r="D112" s="2" t="s">
        <v>30</v>
      </c>
      <c r="E112" s="2" t="s">
        <v>55</v>
      </c>
      <c r="F112" s="2" t="s">
        <v>45</v>
      </c>
      <c r="G112" s="2" t="s">
        <v>44</v>
      </c>
      <c r="H112" s="2" t="s">
        <v>313</v>
      </c>
      <c r="I112" s="2" t="s">
        <v>58</v>
      </c>
      <c r="J112" s="2">
        <v>365.1</v>
      </c>
      <c r="K112" s="2">
        <v>3</v>
      </c>
      <c r="L112" s="2" t="s">
        <v>48</v>
      </c>
      <c r="M112" s="2">
        <v>2</v>
      </c>
      <c r="N112" s="2">
        <v>3</v>
      </c>
      <c r="O112" s="2">
        <v>0</v>
      </c>
      <c r="P112" s="2" t="s">
        <v>36</v>
      </c>
      <c r="Q112" s="2" t="s">
        <v>50</v>
      </c>
      <c r="R112" s="2">
        <v>1</v>
      </c>
      <c r="S112" s="2">
        <v>3</v>
      </c>
      <c r="T112" s="2" t="s">
        <v>44</v>
      </c>
      <c r="U112" s="2" t="s">
        <v>79</v>
      </c>
      <c r="V112" s="2" t="s">
        <v>61</v>
      </c>
      <c r="W112" s="3">
        <v>45534</v>
      </c>
      <c r="X112" s="2" t="b">
        <v>0</v>
      </c>
      <c r="Y112" s="2" t="b">
        <v>1</v>
      </c>
      <c r="Z112" s="2" t="s">
        <v>52</v>
      </c>
      <c r="AA112" s="2" t="s">
        <v>41</v>
      </c>
      <c r="AB112" s="2">
        <v>1</v>
      </c>
      <c r="AC112" s="2">
        <f>SUMIF(N:N,Ecommerce_Consumer_Behavior_Analysis_Data3[[#This Row],[Brand_Loyalty]],M:M)</f>
        <v>582</v>
      </c>
      <c r="AD112" s="2" t="e" cm="1" vm="1">
        <f t="array" aca="1" ref="AD112" ca="1">SUMIFS(Y:Y,Ecommerce_Consumer_Behavior_Analysis_Data3[[#This Row],[Payment_Method]],V:V)</f>
        <v>#VALUE!</v>
      </c>
      <c r="AE112" s="2">
        <f t="shared" si="3"/>
        <v>333.8</v>
      </c>
      <c r="AG112">
        <f t="shared" si="4"/>
        <v>247.51</v>
      </c>
    </row>
    <row r="113" spans="1:33" x14ac:dyDescent="0.25">
      <c r="A113" s="2" t="s">
        <v>314</v>
      </c>
      <c r="B113" s="2">
        <v>38</v>
      </c>
      <c r="C113" s="2" t="s">
        <v>29</v>
      </c>
      <c r="D113" s="2" t="s">
        <v>44</v>
      </c>
      <c r="E113" s="2" t="s">
        <v>55</v>
      </c>
      <c r="F113" s="2" t="s">
        <v>56</v>
      </c>
      <c r="G113" s="2" t="s">
        <v>30</v>
      </c>
      <c r="H113" s="2" t="s">
        <v>315</v>
      </c>
      <c r="I113" s="2" t="s">
        <v>104</v>
      </c>
      <c r="J113" s="2">
        <v>485.42</v>
      </c>
      <c r="K113" s="2">
        <v>5</v>
      </c>
      <c r="L113" s="2" t="s">
        <v>78</v>
      </c>
      <c r="M113" s="2">
        <v>1</v>
      </c>
      <c r="N113" s="2">
        <v>2</v>
      </c>
      <c r="O113" s="2">
        <v>2</v>
      </c>
      <c r="P113" s="2" t="s">
        <v>44</v>
      </c>
      <c r="Q113" s="2" t="s">
        <v>37</v>
      </c>
      <c r="R113" s="2">
        <v>1</v>
      </c>
      <c r="S113" s="2">
        <v>6</v>
      </c>
      <c r="T113" s="2" t="s">
        <v>44</v>
      </c>
      <c r="U113" s="2" t="s">
        <v>79</v>
      </c>
      <c r="V113" s="2" t="s">
        <v>66</v>
      </c>
      <c r="W113" s="3">
        <v>45609</v>
      </c>
      <c r="X113" s="2" t="b">
        <v>1</v>
      </c>
      <c r="Y113" s="2" t="b">
        <v>0</v>
      </c>
      <c r="Z113" s="2" t="s">
        <v>52</v>
      </c>
      <c r="AA113" s="2" t="s">
        <v>41</v>
      </c>
      <c r="AB113" s="2">
        <v>4</v>
      </c>
      <c r="AC113" s="2">
        <f>SUMIF(N:N,Ecommerce_Consumer_Behavior_Analysis_Data3[[#This Row],[Brand_Loyalty]],M:M)</f>
        <v>603</v>
      </c>
      <c r="AD113" s="2" t="e" cm="1" vm="1">
        <f t="array" aca="1" ref="AD113" ca="1">SUMIFS(Y:Y,Ecommerce_Consumer_Behavior_Analysis_Data3[[#This Row],[Payment_Method]],V:V)</f>
        <v>#VALUE!</v>
      </c>
      <c r="AE113" s="2">
        <f t="shared" si="3"/>
        <v>101.31</v>
      </c>
      <c r="AG113">
        <f t="shared" si="4"/>
        <v>365.1</v>
      </c>
    </row>
    <row r="114" spans="1:33" x14ac:dyDescent="0.25">
      <c r="A114" s="2" t="s">
        <v>316</v>
      </c>
      <c r="B114" s="2">
        <v>41</v>
      </c>
      <c r="C114" s="2" t="s">
        <v>29</v>
      </c>
      <c r="D114" s="2" t="s">
        <v>30</v>
      </c>
      <c r="E114" s="2" t="s">
        <v>69</v>
      </c>
      <c r="F114" s="2" t="s">
        <v>32</v>
      </c>
      <c r="G114" s="2" t="s">
        <v>44</v>
      </c>
      <c r="H114" s="2" t="s">
        <v>317</v>
      </c>
      <c r="I114" s="2" t="s">
        <v>104</v>
      </c>
      <c r="J114" s="2">
        <v>250.54</v>
      </c>
      <c r="K114" s="2">
        <v>4</v>
      </c>
      <c r="L114" s="2" t="s">
        <v>48</v>
      </c>
      <c r="M114" s="2">
        <v>3</v>
      </c>
      <c r="N114" s="2">
        <v>3</v>
      </c>
      <c r="O114" s="2">
        <v>1</v>
      </c>
      <c r="P114" s="2" t="s">
        <v>44</v>
      </c>
      <c r="Q114" s="2" t="s">
        <v>50</v>
      </c>
      <c r="R114" s="2">
        <v>2</v>
      </c>
      <c r="S114" s="2">
        <v>10</v>
      </c>
      <c r="T114" s="2" t="s">
        <v>36</v>
      </c>
      <c r="U114" s="2" t="s">
        <v>79</v>
      </c>
      <c r="V114" s="2" t="s">
        <v>39</v>
      </c>
      <c r="W114" s="3">
        <v>45653</v>
      </c>
      <c r="X114" s="2" t="b">
        <v>0</v>
      </c>
      <c r="Y114" s="2" t="b">
        <v>0</v>
      </c>
      <c r="Z114" s="2" t="s">
        <v>52</v>
      </c>
      <c r="AA114" s="2" t="s">
        <v>41</v>
      </c>
      <c r="AB114" s="2">
        <v>3</v>
      </c>
      <c r="AC114" s="2">
        <f>SUMIF(N:N,Ecommerce_Consumer_Behavior_Analysis_Data3[[#This Row],[Brand_Loyalty]],M:M)</f>
        <v>597</v>
      </c>
      <c r="AD114" s="2" t="e" cm="1" vm="1">
        <f t="array" aca="1" ref="AD114" ca="1">SUMIFS(Y:Y,Ecommerce_Consumer_Behavior_Analysis_Data3[[#This Row],[Payment_Method]],V:V)</f>
        <v>#VALUE!</v>
      </c>
      <c r="AE114" s="2">
        <f t="shared" si="3"/>
        <v>211.7</v>
      </c>
      <c r="AG114">
        <f t="shared" si="4"/>
        <v>485.42</v>
      </c>
    </row>
    <row r="115" spans="1:33" x14ac:dyDescent="0.25">
      <c r="A115" s="2" t="s">
        <v>318</v>
      </c>
      <c r="B115" s="2">
        <v>49</v>
      </c>
      <c r="C115" s="2" t="s">
        <v>29</v>
      </c>
      <c r="D115" s="2" t="s">
        <v>30</v>
      </c>
      <c r="E115" s="2" t="s">
        <v>76</v>
      </c>
      <c r="F115" s="2" t="s">
        <v>45</v>
      </c>
      <c r="G115" s="2" t="s">
        <v>44</v>
      </c>
      <c r="H115" s="2" t="s">
        <v>144</v>
      </c>
      <c r="I115" s="2" t="s">
        <v>246</v>
      </c>
      <c r="J115" s="2">
        <v>163.13999999999999</v>
      </c>
      <c r="K115" s="2">
        <v>5</v>
      </c>
      <c r="L115" s="2" t="s">
        <v>35</v>
      </c>
      <c r="M115" s="2">
        <v>5</v>
      </c>
      <c r="N115" s="2">
        <v>4</v>
      </c>
      <c r="O115" s="2">
        <v>0</v>
      </c>
      <c r="P115" s="2" t="s">
        <v>59</v>
      </c>
      <c r="Q115" s="2" t="s">
        <v>37</v>
      </c>
      <c r="R115" s="2">
        <v>1</v>
      </c>
      <c r="S115" s="2">
        <v>2</v>
      </c>
      <c r="T115" s="2" t="s">
        <v>36</v>
      </c>
      <c r="U115" s="2" t="s">
        <v>79</v>
      </c>
      <c r="V115" s="2" t="s">
        <v>61</v>
      </c>
      <c r="W115" s="3">
        <v>45511</v>
      </c>
      <c r="X115" s="2" t="b">
        <v>1</v>
      </c>
      <c r="Y115" s="2" t="b">
        <v>1</v>
      </c>
      <c r="Z115" s="2" t="s">
        <v>74</v>
      </c>
      <c r="AA115" s="2" t="s">
        <v>41</v>
      </c>
      <c r="AB115" s="2">
        <v>1</v>
      </c>
      <c r="AC115" s="2">
        <f>SUMIF(N:N,Ecommerce_Consumer_Behavior_Analysis_Data3[[#This Row],[Brand_Loyalty]],M:M)</f>
        <v>641</v>
      </c>
      <c r="AD115" s="2" t="e" cm="1" vm="1">
        <f t="array" aca="1" ref="AD115" ca="1">SUMIFS(Y:Y,Ecommerce_Consumer_Behavior_Analysis_Data3[[#This Row],[Payment_Method]],V:V)</f>
        <v>#VALUE!</v>
      </c>
      <c r="AE115" s="2">
        <f t="shared" si="3"/>
        <v>101.31</v>
      </c>
      <c r="AG115">
        <f t="shared" si="4"/>
        <v>162.31</v>
      </c>
    </row>
    <row r="116" spans="1:33" x14ac:dyDescent="0.25">
      <c r="A116" s="2" t="s">
        <v>319</v>
      </c>
      <c r="B116" s="2">
        <v>21</v>
      </c>
      <c r="C116" s="2" t="s">
        <v>43</v>
      </c>
      <c r="D116" s="2" t="s">
        <v>44</v>
      </c>
      <c r="E116" s="2" t="s">
        <v>76</v>
      </c>
      <c r="F116" s="2" t="s">
        <v>32</v>
      </c>
      <c r="G116" s="2" t="s">
        <v>30</v>
      </c>
      <c r="H116" s="2" t="s">
        <v>320</v>
      </c>
      <c r="I116" s="2" t="s">
        <v>34</v>
      </c>
      <c r="J116" s="2">
        <v>162.31</v>
      </c>
      <c r="K116" s="2">
        <v>8</v>
      </c>
      <c r="L116" s="2" t="s">
        <v>48</v>
      </c>
      <c r="M116" s="2">
        <v>5</v>
      </c>
      <c r="N116" s="2">
        <v>1</v>
      </c>
      <c r="O116" s="2">
        <v>1</v>
      </c>
      <c r="P116" s="2" t="s">
        <v>44</v>
      </c>
      <c r="Q116" s="2" t="s">
        <v>85</v>
      </c>
      <c r="R116" s="2">
        <v>1</v>
      </c>
      <c r="S116" s="2">
        <v>2</v>
      </c>
      <c r="T116" s="2" t="s">
        <v>49</v>
      </c>
      <c r="U116" s="2" t="s">
        <v>38</v>
      </c>
      <c r="V116" s="2" t="s">
        <v>39</v>
      </c>
      <c r="W116" s="3">
        <v>45570</v>
      </c>
      <c r="X116" s="2" t="b">
        <v>0</v>
      </c>
      <c r="Y116" s="2" t="b">
        <v>0</v>
      </c>
      <c r="Z116" s="2" t="s">
        <v>40</v>
      </c>
      <c r="AA116" s="2" t="s">
        <v>41</v>
      </c>
      <c r="AB116" s="2">
        <v>11</v>
      </c>
      <c r="AC116" s="2">
        <f>SUMIF(N:N,Ecommerce_Consumer_Behavior_Analysis_Data3[[#This Row],[Brand_Loyalty]],M:M)</f>
        <v>641</v>
      </c>
      <c r="AD116" s="2" t="e" cm="1" vm="1">
        <f t="array" aca="1" ref="AD116" ca="1">SUMIFS(Y:Y,Ecommerce_Consumer_Behavior_Analysis_Data3[[#This Row],[Payment_Method]],V:V)</f>
        <v>#VALUE!</v>
      </c>
      <c r="AE116" s="2">
        <f t="shared" si="3"/>
        <v>333.8</v>
      </c>
      <c r="AG116">
        <f t="shared" si="4"/>
        <v>162.31</v>
      </c>
    </row>
    <row r="117" spans="1:33" x14ac:dyDescent="0.25">
      <c r="A117" s="2" t="s">
        <v>321</v>
      </c>
      <c r="B117" s="2">
        <v>37</v>
      </c>
      <c r="C117" s="2" t="s">
        <v>43</v>
      </c>
      <c r="D117" s="2" t="s">
        <v>30</v>
      </c>
      <c r="E117" s="2" t="s">
        <v>69</v>
      </c>
      <c r="F117" s="2" t="s">
        <v>56</v>
      </c>
      <c r="G117" s="2" t="s">
        <v>44</v>
      </c>
      <c r="H117" s="2" t="s">
        <v>322</v>
      </c>
      <c r="I117" s="2" t="s">
        <v>58</v>
      </c>
      <c r="J117" s="2">
        <v>328.21</v>
      </c>
      <c r="K117" s="2">
        <v>7</v>
      </c>
      <c r="L117" s="2" t="s">
        <v>35</v>
      </c>
      <c r="M117" s="2">
        <v>5</v>
      </c>
      <c r="N117" s="2">
        <v>5</v>
      </c>
      <c r="O117" s="2">
        <v>2</v>
      </c>
      <c r="P117" s="2" t="s">
        <v>59</v>
      </c>
      <c r="Q117" s="2" t="s">
        <v>50</v>
      </c>
      <c r="R117" s="2">
        <v>2</v>
      </c>
      <c r="S117" s="2">
        <v>2</v>
      </c>
      <c r="T117" s="2" t="s">
        <v>59</v>
      </c>
      <c r="U117" s="2" t="s">
        <v>60</v>
      </c>
      <c r="V117" s="2" t="s">
        <v>39</v>
      </c>
      <c r="W117" s="3">
        <v>45336</v>
      </c>
      <c r="X117" s="2" t="b">
        <v>0</v>
      </c>
      <c r="Y117" s="2" t="b">
        <v>0</v>
      </c>
      <c r="Z117" s="2" t="s">
        <v>40</v>
      </c>
      <c r="AA117" s="2" t="s">
        <v>41</v>
      </c>
      <c r="AB117" s="2">
        <v>12</v>
      </c>
      <c r="AC117" s="2">
        <f>SUMIF(N:N,Ecommerce_Consumer_Behavior_Analysis_Data3[[#This Row],[Brand_Loyalty]],M:M)</f>
        <v>641</v>
      </c>
      <c r="AD117" s="2" t="e" cm="1" vm="1">
        <f t="array" aca="1" ref="AD117" ca="1">SUMIFS(Y:Y,Ecommerce_Consumer_Behavior_Analysis_Data3[[#This Row],[Payment_Method]],V:V)</f>
        <v>#VALUE!</v>
      </c>
      <c r="AE117" s="2">
        <f t="shared" si="3"/>
        <v>101.31</v>
      </c>
      <c r="AG117">
        <f t="shared" si="4"/>
        <v>268.58999999999997</v>
      </c>
    </row>
    <row r="118" spans="1:33" x14ac:dyDescent="0.25">
      <c r="A118" s="2" t="s">
        <v>323</v>
      </c>
      <c r="B118" s="2">
        <v>30</v>
      </c>
      <c r="C118" s="2" t="s">
        <v>29</v>
      </c>
      <c r="D118" s="2" t="s">
        <v>44</v>
      </c>
      <c r="E118" s="2" t="s">
        <v>31</v>
      </c>
      <c r="F118" s="2" t="s">
        <v>56</v>
      </c>
      <c r="G118" s="2" t="s">
        <v>44</v>
      </c>
      <c r="H118" s="2" t="s">
        <v>324</v>
      </c>
      <c r="I118" s="2" t="s">
        <v>90</v>
      </c>
      <c r="J118" s="2">
        <v>268.58999999999997</v>
      </c>
      <c r="K118" s="2">
        <v>4</v>
      </c>
      <c r="L118" s="2" t="s">
        <v>78</v>
      </c>
      <c r="M118" s="2">
        <v>3</v>
      </c>
      <c r="N118" s="2">
        <v>3</v>
      </c>
      <c r="O118" s="2">
        <v>1</v>
      </c>
      <c r="P118" s="2" t="s">
        <v>44</v>
      </c>
      <c r="Q118" s="2" t="s">
        <v>85</v>
      </c>
      <c r="R118" s="2">
        <v>1</v>
      </c>
      <c r="S118" s="2">
        <v>1</v>
      </c>
      <c r="T118" s="2" t="s">
        <v>49</v>
      </c>
      <c r="U118" s="2" t="s">
        <v>79</v>
      </c>
      <c r="V118" s="2" t="s">
        <v>61</v>
      </c>
      <c r="W118" s="3">
        <v>45387</v>
      </c>
      <c r="X118" s="2" t="b">
        <v>1</v>
      </c>
      <c r="Y118" s="2" t="b">
        <v>1</v>
      </c>
      <c r="Z118" s="2" t="s">
        <v>40</v>
      </c>
      <c r="AA118" s="2" t="s">
        <v>53</v>
      </c>
      <c r="AB118" s="2">
        <v>3</v>
      </c>
      <c r="AC118" s="2">
        <f>SUMIF(N:N,Ecommerce_Consumer_Behavior_Analysis_Data3[[#This Row],[Brand_Loyalty]],M:M)</f>
        <v>597</v>
      </c>
      <c r="AD118" s="2" t="e" cm="1" vm="1">
        <f t="array" aca="1" ref="AD118" ca="1">SUMIFS(Y:Y,Ecommerce_Consumer_Behavior_Analysis_Data3[[#This Row],[Payment_Method]],V:V)</f>
        <v>#VALUE!</v>
      </c>
      <c r="AE118" s="2">
        <f t="shared" si="3"/>
        <v>211.7</v>
      </c>
      <c r="AG118">
        <f t="shared" si="4"/>
        <v>268.58999999999997</v>
      </c>
    </row>
    <row r="119" spans="1:33" x14ac:dyDescent="0.25">
      <c r="A119" s="2" t="s">
        <v>325</v>
      </c>
      <c r="B119" s="2">
        <v>18</v>
      </c>
      <c r="C119" s="2" t="s">
        <v>29</v>
      </c>
      <c r="D119" s="2" t="s">
        <v>44</v>
      </c>
      <c r="E119" s="2" t="s">
        <v>76</v>
      </c>
      <c r="F119" s="2" t="s">
        <v>45</v>
      </c>
      <c r="G119" s="2" t="s">
        <v>44</v>
      </c>
      <c r="H119" s="2" t="s">
        <v>326</v>
      </c>
      <c r="I119" s="2" t="s">
        <v>117</v>
      </c>
      <c r="J119" s="2">
        <v>257.37</v>
      </c>
      <c r="K119" s="2">
        <v>7</v>
      </c>
      <c r="L119" s="2" t="s">
        <v>78</v>
      </c>
      <c r="M119" s="2">
        <v>3</v>
      </c>
      <c r="N119" s="2">
        <v>3</v>
      </c>
      <c r="O119" s="2">
        <v>0</v>
      </c>
      <c r="P119" s="2" t="s">
        <v>49</v>
      </c>
      <c r="Q119" s="2" t="s">
        <v>85</v>
      </c>
      <c r="R119" s="2">
        <v>2</v>
      </c>
      <c r="S119" s="2">
        <v>5</v>
      </c>
      <c r="T119" s="2" t="s">
        <v>49</v>
      </c>
      <c r="U119" s="2" t="s">
        <v>60</v>
      </c>
      <c r="V119" s="2" t="s">
        <v>51</v>
      </c>
      <c r="W119" s="3">
        <v>45323</v>
      </c>
      <c r="X119" s="2" t="b">
        <v>1</v>
      </c>
      <c r="Y119" s="2" t="b">
        <v>0</v>
      </c>
      <c r="Z119" s="2" t="s">
        <v>52</v>
      </c>
      <c r="AA119" s="2" t="s">
        <v>67</v>
      </c>
      <c r="AB119" s="2">
        <v>13</v>
      </c>
      <c r="AC119" s="2">
        <f>SUMIF(N:N,Ecommerce_Consumer_Behavior_Analysis_Data3[[#This Row],[Brand_Loyalty]],M:M)</f>
        <v>597</v>
      </c>
      <c r="AD119" s="2" t="e" cm="1" vm="1">
        <f t="array" aca="1" ref="AD119" ca="1">SUMIFS(Y:Y,Ecommerce_Consumer_Behavior_Analysis_Data3[[#This Row],[Payment_Method]],V:V)</f>
        <v>#VALUE!</v>
      </c>
      <c r="AE119" s="2">
        <f t="shared" si="3"/>
        <v>333.8</v>
      </c>
      <c r="AG119">
        <f t="shared" si="4"/>
        <v>268.58999999999997</v>
      </c>
    </row>
    <row r="120" spans="1:33" x14ac:dyDescent="0.25">
      <c r="A120" s="2" t="s">
        <v>327</v>
      </c>
      <c r="B120" s="2">
        <v>41</v>
      </c>
      <c r="C120" s="2" t="s">
        <v>29</v>
      </c>
      <c r="D120" s="2" t="s">
        <v>30</v>
      </c>
      <c r="E120" s="2" t="s">
        <v>55</v>
      </c>
      <c r="F120" s="2" t="s">
        <v>45</v>
      </c>
      <c r="G120" s="2" t="s">
        <v>44</v>
      </c>
      <c r="H120" s="2" t="s">
        <v>328</v>
      </c>
      <c r="I120" s="2" t="s">
        <v>58</v>
      </c>
      <c r="J120" s="2">
        <v>205.49</v>
      </c>
      <c r="K120" s="2">
        <v>4</v>
      </c>
      <c r="L120" s="2" t="s">
        <v>48</v>
      </c>
      <c r="M120" s="2">
        <v>5</v>
      </c>
      <c r="N120" s="2">
        <v>3</v>
      </c>
      <c r="O120" s="2">
        <v>2</v>
      </c>
      <c r="P120" s="2" t="s">
        <v>59</v>
      </c>
      <c r="Q120" s="2" t="s">
        <v>37</v>
      </c>
      <c r="R120" s="2">
        <v>2</v>
      </c>
      <c r="S120" s="2">
        <v>2</v>
      </c>
      <c r="T120" s="2" t="s">
        <v>44</v>
      </c>
      <c r="U120" s="2" t="s">
        <v>38</v>
      </c>
      <c r="V120" s="2" t="s">
        <v>86</v>
      </c>
      <c r="W120" s="3">
        <v>45605</v>
      </c>
      <c r="X120" s="2" t="b">
        <v>1</v>
      </c>
      <c r="Y120" s="2" t="b">
        <v>0</v>
      </c>
      <c r="Z120" s="2" t="s">
        <v>40</v>
      </c>
      <c r="AA120" s="2" t="s">
        <v>67</v>
      </c>
      <c r="AB120" s="2">
        <v>11</v>
      </c>
      <c r="AC120" s="2">
        <f>SUMIF(N:N,Ecommerce_Consumer_Behavior_Analysis_Data3[[#This Row],[Brand_Loyalty]],M:M)</f>
        <v>641</v>
      </c>
      <c r="AD120" s="2" t="e" cm="1" vm="1">
        <f t="array" aca="1" ref="AD120" ca="1">SUMIFS(Y:Y,Ecommerce_Consumer_Behavior_Analysis_Data3[[#This Row],[Payment_Method]],V:V)</f>
        <v>#VALUE!</v>
      </c>
      <c r="AE120" s="2">
        <f t="shared" si="3"/>
        <v>211.7</v>
      </c>
      <c r="AG120">
        <f t="shared" si="4"/>
        <v>407.91</v>
      </c>
    </row>
    <row r="121" spans="1:33" x14ac:dyDescent="0.25">
      <c r="A121" s="2" t="s">
        <v>329</v>
      </c>
      <c r="B121" s="2">
        <v>40</v>
      </c>
      <c r="C121" s="2" t="s">
        <v>43</v>
      </c>
      <c r="D121" s="2" t="s">
        <v>44</v>
      </c>
      <c r="E121" s="2" t="s">
        <v>76</v>
      </c>
      <c r="F121" s="2" t="s">
        <v>56</v>
      </c>
      <c r="G121" s="2" t="s">
        <v>44</v>
      </c>
      <c r="H121" s="2" t="s">
        <v>330</v>
      </c>
      <c r="I121" s="2" t="s">
        <v>93</v>
      </c>
      <c r="J121" s="2">
        <v>407.91</v>
      </c>
      <c r="K121" s="2">
        <v>7</v>
      </c>
      <c r="L121" s="2" t="s">
        <v>48</v>
      </c>
      <c r="M121" s="2">
        <v>2</v>
      </c>
      <c r="N121" s="2">
        <v>5</v>
      </c>
      <c r="O121" s="2">
        <v>0</v>
      </c>
      <c r="P121" s="2" t="s">
        <v>59</v>
      </c>
      <c r="Q121" s="2" t="s">
        <v>50</v>
      </c>
      <c r="R121" s="2">
        <v>0</v>
      </c>
      <c r="S121" s="2">
        <v>5</v>
      </c>
      <c r="T121" s="2" t="s">
        <v>59</v>
      </c>
      <c r="U121" s="2" t="s">
        <v>38</v>
      </c>
      <c r="V121" s="2" t="s">
        <v>66</v>
      </c>
      <c r="W121" s="3">
        <v>45460</v>
      </c>
      <c r="X121" s="2" t="b">
        <v>1</v>
      </c>
      <c r="Y121" s="2" t="b">
        <v>1</v>
      </c>
      <c r="Z121" s="2" t="s">
        <v>40</v>
      </c>
      <c r="AA121" s="2" t="s">
        <v>53</v>
      </c>
      <c r="AB121" s="2">
        <v>14</v>
      </c>
      <c r="AC121" s="2">
        <f>SUMIF(N:N,Ecommerce_Consumer_Behavior_Analysis_Data3[[#This Row],[Brand_Loyalty]],M:M)</f>
        <v>582</v>
      </c>
      <c r="AD121" s="2" t="e" cm="1" vm="1">
        <f t="array" aca="1" ref="AD121" ca="1">SUMIFS(Y:Y,Ecommerce_Consumer_Behavior_Analysis_Data3[[#This Row],[Payment_Method]],V:V)</f>
        <v>#VALUE!</v>
      </c>
      <c r="AE121" s="2">
        <f t="shared" si="3"/>
        <v>211.7</v>
      </c>
      <c r="AG121">
        <f t="shared" si="4"/>
        <v>205.49</v>
      </c>
    </row>
    <row r="122" spans="1:33" x14ac:dyDescent="0.25">
      <c r="A122" s="2" t="s">
        <v>331</v>
      </c>
      <c r="B122" s="2">
        <v>33</v>
      </c>
      <c r="C122" s="2" t="s">
        <v>29</v>
      </c>
      <c r="D122" s="2" t="s">
        <v>44</v>
      </c>
      <c r="E122" s="2" t="s">
        <v>76</v>
      </c>
      <c r="F122" s="2" t="s">
        <v>32</v>
      </c>
      <c r="G122" s="2" t="s">
        <v>44</v>
      </c>
      <c r="H122" s="2" t="s">
        <v>332</v>
      </c>
      <c r="I122" s="2" t="s">
        <v>47</v>
      </c>
      <c r="J122" s="2">
        <v>254.73</v>
      </c>
      <c r="K122" s="2">
        <v>6</v>
      </c>
      <c r="L122" s="2" t="s">
        <v>78</v>
      </c>
      <c r="M122" s="2">
        <v>4</v>
      </c>
      <c r="N122" s="2">
        <v>3</v>
      </c>
      <c r="O122" s="2">
        <v>0</v>
      </c>
      <c r="P122" s="2" t="s">
        <v>49</v>
      </c>
      <c r="Q122" s="2" t="s">
        <v>85</v>
      </c>
      <c r="R122" s="2">
        <v>0</v>
      </c>
      <c r="S122" s="2">
        <v>3</v>
      </c>
      <c r="T122" s="2" t="s">
        <v>59</v>
      </c>
      <c r="U122" s="2" t="s">
        <v>60</v>
      </c>
      <c r="V122" s="2" t="s">
        <v>66</v>
      </c>
      <c r="W122" s="3">
        <v>45444</v>
      </c>
      <c r="X122" s="2" t="b">
        <v>1</v>
      </c>
      <c r="Y122" s="2" t="b">
        <v>1</v>
      </c>
      <c r="Z122" s="2" t="s">
        <v>62</v>
      </c>
      <c r="AA122" s="2" t="s">
        <v>67</v>
      </c>
      <c r="AB122" s="2">
        <v>3</v>
      </c>
      <c r="AC122" s="2">
        <f>SUMIF(N:N,Ecommerce_Consumer_Behavior_Analysis_Data3[[#This Row],[Brand_Loyalty]],M:M)</f>
        <v>603</v>
      </c>
      <c r="AD122" s="2" t="e" cm="1" vm="1">
        <f t="array" aca="1" ref="AD122" ca="1">SUMIFS(Y:Y,Ecommerce_Consumer_Behavior_Analysis_Data3[[#This Row],[Payment_Method]],V:V)</f>
        <v>#VALUE!</v>
      </c>
      <c r="AE122" s="2">
        <f t="shared" si="3"/>
        <v>101.31</v>
      </c>
      <c r="AG122">
        <f t="shared" si="4"/>
        <v>254.73</v>
      </c>
    </row>
    <row r="123" spans="1:33" x14ac:dyDescent="0.25">
      <c r="A123" s="2" t="s">
        <v>333</v>
      </c>
      <c r="B123" s="2">
        <v>30</v>
      </c>
      <c r="C123" s="2" t="s">
        <v>29</v>
      </c>
      <c r="D123" s="2" t="s">
        <v>30</v>
      </c>
      <c r="E123" s="2" t="s">
        <v>76</v>
      </c>
      <c r="F123" s="2" t="s">
        <v>32</v>
      </c>
      <c r="G123" s="2" t="s">
        <v>44</v>
      </c>
      <c r="H123" s="2" t="s">
        <v>334</v>
      </c>
      <c r="I123" s="2" t="s">
        <v>183</v>
      </c>
      <c r="J123" s="2">
        <v>397.78</v>
      </c>
      <c r="K123" s="2">
        <v>12</v>
      </c>
      <c r="L123" s="2" t="s">
        <v>78</v>
      </c>
      <c r="M123" s="2">
        <v>3</v>
      </c>
      <c r="N123" s="2">
        <v>3</v>
      </c>
      <c r="O123" s="2">
        <v>1</v>
      </c>
      <c r="P123" s="2" t="s">
        <v>49</v>
      </c>
      <c r="Q123" s="2" t="s">
        <v>50</v>
      </c>
      <c r="R123" s="2">
        <v>2</v>
      </c>
      <c r="S123" s="2">
        <v>7</v>
      </c>
      <c r="T123" s="2" t="s">
        <v>49</v>
      </c>
      <c r="U123" s="2" t="s">
        <v>60</v>
      </c>
      <c r="V123" s="2" t="s">
        <v>51</v>
      </c>
      <c r="W123" s="3">
        <v>45559</v>
      </c>
      <c r="X123" s="2" t="b">
        <v>0</v>
      </c>
      <c r="Y123" s="2" t="b">
        <v>1</v>
      </c>
      <c r="Z123" s="2" t="s">
        <v>62</v>
      </c>
      <c r="AA123" s="2" t="s">
        <v>41</v>
      </c>
      <c r="AB123" s="2">
        <v>11</v>
      </c>
      <c r="AC123" s="2">
        <f>SUMIF(N:N,Ecommerce_Consumer_Behavior_Analysis_Data3[[#This Row],[Brand_Loyalty]],M:M)</f>
        <v>597</v>
      </c>
      <c r="AD123" s="2" t="e" cm="1" vm="1">
        <f t="array" aca="1" ref="AD123" ca="1">SUMIFS(Y:Y,Ecommerce_Consumer_Behavior_Analysis_Data3[[#This Row],[Payment_Method]],V:V)</f>
        <v>#VALUE!</v>
      </c>
      <c r="AE123" s="2">
        <f t="shared" si="3"/>
        <v>101.31</v>
      </c>
      <c r="AG123">
        <f t="shared" si="4"/>
        <v>254.73</v>
      </c>
    </row>
    <row r="124" spans="1:33" x14ac:dyDescent="0.25">
      <c r="A124" s="2" t="s">
        <v>335</v>
      </c>
      <c r="B124" s="2">
        <v>33</v>
      </c>
      <c r="C124" s="2" t="s">
        <v>29</v>
      </c>
      <c r="D124" s="2" t="s">
        <v>44</v>
      </c>
      <c r="E124" s="2" t="s">
        <v>31</v>
      </c>
      <c r="F124" s="2" t="s">
        <v>32</v>
      </c>
      <c r="G124" s="2" t="s">
        <v>44</v>
      </c>
      <c r="H124" s="2" t="s">
        <v>336</v>
      </c>
      <c r="I124" s="2" t="s">
        <v>117</v>
      </c>
      <c r="J124" s="2">
        <v>305.29000000000002</v>
      </c>
      <c r="K124" s="2">
        <v>3</v>
      </c>
      <c r="L124" s="2" t="s">
        <v>78</v>
      </c>
      <c r="M124" s="2">
        <v>2</v>
      </c>
      <c r="N124" s="2">
        <v>3</v>
      </c>
      <c r="O124" s="2">
        <v>1</v>
      </c>
      <c r="P124" s="2" t="s">
        <v>49</v>
      </c>
      <c r="Q124" s="2" t="s">
        <v>85</v>
      </c>
      <c r="R124" s="2">
        <v>1</v>
      </c>
      <c r="S124" s="2">
        <v>8</v>
      </c>
      <c r="T124" s="2" t="s">
        <v>49</v>
      </c>
      <c r="U124" s="2" t="s">
        <v>79</v>
      </c>
      <c r="V124" s="2" t="s">
        <v>61</v>
      </c>
      <c r="W124" s="3">
        <v>45540</v>
      </c>
      <c r="X124" s="2" t="b">
        <v>1</v>
      </c>
      <c r="Y124" s="2" t="b">
        <v>1</v>
      </c>
      <c r="Z124" s="2" t="s">
        <v>62</v>
      </c>
      <c r="AA124" s="2" t="s">
        <v>53</v>
      </c>
      <c r="AB124" s="2">
        <v>10</v>
      </c>
      <c r="AC124" s="2">
        <f>SUMIF(N:N,Ecommerce_Consumer_Behavior_Analysis_Data3[[#This Row],[Brand_Loyalty]],M:M)</f>
        <v>582</v>
      </c>
      <c r="AD124" s="2" t="e" cm="1" vm="1">
        <f t="array" aca="1" ref="AD124" ca="1">SUMIFS(Y:Y,Ecommerce_Consumer_Behavior_Analysis_Data3[[#This Row],[Payment_Method]],V:V)</f>
        <v>#VALUE!</v>
      </c>
      <c r="AE124" s="2">
        <f t="shared" si="3"/>
        <v>211.7</v>
      </c>
      <c r="AG124">
        <f t="shared" si="4"/>
        <v>257.86</v>
      </c>
    </row>
    <row r="125" spans="1:33" x14ac:dyDescent="0.25">
      <c r="A125" s="2" t="s">
        <v>337</v>
      </c>
      <c r="B125" s="2">
        <v>45</v>
      </c>
      <c r="C125" s="2" t="s">
        <v>43</v>
      </c>
      <c r="D125" s="2" t="s">
        <v>30</v>
      </c>
      <c r="E125" s="2" t="s">
        <v>76</v>
      </c>
      <c r="F125" s="2" t="s">
        <v>45</v>
      </c>
      <c r="G125" s="2" t="s">
        <v>44</v>
      </c>
      <c r="H125" s="2" t="s">
        <v>338</v>
      </c>
      <c r="I125" s="2" t="s">
        <v>47</v>
      </c>
      <c r="J125" s="2">
        <v>257.86</v>
      </c>
      <c r="K125" s="2">
        <v>6</v>
      </c>
      <c r="L125" s="2" t="s">
        <v>78</v>
      </c>
      <c r="M125" s="2">
        <v>2</v>
      </c>
      <c r="N125" s="2">
        <v>2</v>
      </c>
      <c r="O125" s="2">
        <v>0</v>
      </c>
      <c r="P125" s="2" t="s">
        <v>36</v>
      </c>
      <c r="Q125" s="2" t="s">
        <v>37</v>
      </c>
      <c r="R125" s="2">
        <v>0</v>
      </c>
      <c r="S125" s="2">
        <v>4</v>
      </c>
      <c r="T125" s="2" t="s">
        <v>44</v>
      </c>
      <c r="U125" s="2" t="s">
        <v>38</v>
      </c>
      <c r="V125" s="2" t="s">
        <v>51</v>
      </c>
      <c r="W125" s="3">
        <v>45455</v>
      </c>
      <c r="X125" s="2" t="b">
        <v>1</v>
      </c>
      <c r="Y125" s="2" t="b">
        <v>1</v>
      </c>
      <c r="Z125" s="2" t="s">
        <v>40</v>
      </c>
      <c r="AA125" s="2" t="s">
        <v>67</v>
      </c>
      <c r="AB125" s="2">
        <v>1</v>
      </c>
      <c r="AC125" s="2">
        <f>SUMIF(N:N,Ecommerce_Consumer_Behavior_Analysis_Data3[[#This Row],[Brand_Loyalty]],M:M)</f>
        <v>582</v>
      </c>
      <c r="AD125" s="2" t="e" cm="1" vm="1">
        <f t="array" aca="1" ref="AD125" ca="1">SUMIFS(Y:Y,Ecommerce_Consumer_Behavior_Analysis_Data3[[#This Row],[Payment_Method]],V:V)</f>
        <v>#VALUE!</v>
      </c>
      <c r="AE125" s="2">
        <f t="shared" si="3"/>
        <v>211.7</v>
      </c>
      <c r="AG125">
        <f t="shared" si="4"/>
        <v>305.29000000000002</v>
      </c>
    </row>
    <row r="126" spans="1:33" x14ac:dyDescent="0.25">
      <c r="A126" s="2" t="s">
        <v>339</v>
      </c>
      <c r="B126" s="2">
        <v>42</v>
      </c>
      <c r="C126" s="2" t="s">
        <v>29</v>
      </c>
      <c r="D126" s="2" t="s">
        <v>44</v>
      </c>
      <c r="E126" s="2" t="s">
        <v>55</v>
      </c>
      <c r="F126" s="2" t="s">
        <v>45</v>
      </c>
      <c r="G126" s="2" t="s">
        <v>30</v>
      </c>
      <c r="H126" s="2" t="s">
        <v>340</v>
      </c>
      <c r="I126" s="2" t="s">
        <v>246</v>
      </c>
      <c r="J126" s="2">
        <v>393.45</v>
      </c>
      <c r="K126" s="2">
        <v>12</v>
      </c>
      <c r="L126" s="2" t="s">
        <v>48</v>
      </c>
      <c r="M126" s="2">
        <v>3</v>
      </c>
      <c r="N126" s="2">
        <v>1</v>
      </c>
      <c r="O126" s="2">
        <v>0</v>
      </c>
      <c r="P126" s="2" t="s">
        <v>59</v>
      </c>
      <c r="Q126" s="2" t="s">
        <v>37</v>
      </c>
      <c r="R126" s="2">
        <v>2</v>
      </c>
      <c r="S126" s="2">
        <v>10</v>
      </c>
      <c r="T126" s="2" t="s">
        <v>49</v>
      </c>
      <c r="U126" s="2" t="s">
        <v>79</v>
      </c>
      <c r="V126" s="2" t="s">
        <v>39</v>
      </c>
      <c r="W126" s="3">
        <v>45571</v>
      </c>
      <c r="X126" s="2" t="b">
        <v>0</v>
      </c>
      <c r="Y126" s="2" t="b">
        <v>0</v>
      </c>
      <c r="Z126" s="2" t="s">
        <v>40</v>
      </c>
      <c r="AA126" s="2" t="s">
        <v>67</v>
      </c>
      <c r="AB126" s="2">
        <v>12</v>
      </c>
      <c r="AC126" s="2">
        <f>SUMIF(N:N,Ecommerce_Consumer_Behavior_Analysis_Data3[[#This Row],[Brand_Loyalty]],M:M)</f>
        <v>597</v>
      </c>
      <c r="AD126" s="2" t="e" cm="1" vm="1">
        <f t="array" aca="1" ref="AD126" ca="1">SUMIFS(Y:Y,Ecommerce_Consumer_Behavior_Analysis_Data3[[#This Row],[Payment_Method]],V:V)</f>
        <v>#VALUE!</v>
      </c>
      <c r="AE126" s="2">
        <f t="shared" si="3"/>
        <v>211.7</v>
      </c>
      <c r="AG126">
        <f t="shared" si="4"/>
        <v>257.86</v>
      </c>
    </row>
    <row r="127" spans="1:33" x14ac:dyDescent="0.25">
      <c r="A127" s="2" t="s">
        <v>341</v>
      </c>
      <c r="B127" s="2">
        <v>30</v>
      </c>
      <c r="C127" s="2" t="s">
        <v>43</v>
      </c>
      <c r="D127" s="2" t="s">
        <v>44</v>
      </c>
      <c r="E127" s="2" t="s">
        <v>31</v>
      </c>
      <c r="F127" s="2" t="s">
        <v>32</v>
      </c>
      <c r="G127" s="2" t="s">
        <v>30</v>
      </c>
      <c r="H127" s="2" t="s">
        <v>342</v>
      </c>
      <c r="I127" s="2" t="s">
        <v>142</v>
      </c>
      <c r="J127" s="2">
        <v>58.49</v>
      </c>
      <c r="K127" s="2">
        <v>6</v>
      </c>
      <c r="L127" s="2" t="s">
        <v>78</v>
      </c>
      <c r="M127" s="2">
        <v>2</v>
      </c>
      <c r="N127" s="2">
        <v>2</v>
      </c>
      <c r="O127" s="2">
        <v>0</v>
      </c>
      <c r="P127" s="2" t="s">
        <v>49</v>
      </c>
      <c r="Q127" s="2" t="s">
        <v>85</v>
      </c>
      <c r="R127" s="2">
        <v>0</v>
      </c>
      <c r="S127" s="2">
        <v>8</v>
      </c>
      <c r="T127" s="2" t="s">
        <v>44</v>
      </c>
      <c r="U127" s="2" t="s">
        <v>38</v>
      </c>
      <c r="V127" s="2" t="s">
        <v>66</v>
      </c>
      <c r="W127" s="3">
        <v>45502</v>
      </c>
      <c r="X127" s="2" t="b">
        <v>1</v>
      </c>
      <c r="Y127" s="2" t="b">
        <v>1</v>
      </c>
      <c r="Z127" s="2" t="s">
        <v>74</v>
      </c>
      <c r="AA127" s="2" t="s">
        <v>67</v>
      </c>
      <c r="AB127" s="2">
        <v>7</v>
      </c>
      <c r="AC127" s="2">
        <f>SUMIF(N:N,Ecommerce_Consumer_Behavior_Analysis_Data3[[#This Row],[Brand_Loyalty]],M:M)</f>
        <v>582</v>
      </c>
      <c r="AD127" s="2" t="e" cm="1" vm="1">
        <f t="array" aca="1" ref="AD127" ca="1">SUMIFS(Y:Y,Ecommerce_Consumer_Behavior_Analysis_Data3[[#This Row],[Payment_Method]],V:V)</f>
        <v>#VALUE!</v>
      </c>
      <c r="AE127" s="2">
        <f t="shared" si="3"/>
        <v>333.8</v>
      </c>
      <c r="AG127">
        <f t="shared" si="4"/>
        <v>58.49</v>
      </c>
    </row>
    <row r="128" spans="1:33" x14ac:dyDescent="0.25">
      <c r="A128" s="2" t="s">
        <v>343</v>
      </c>
      <c r="B128" s="2">
        <v>42</v>
      </c>
      <c r="C128" s="2" t="s">
        <v>43</v>
      </c>
      <c r="D128" s="2" t="s">
        <v>30</v>
      </c>
      <c r="E128" s="2" t="s">
        <v>55</v>
      </c>
      <c r="F128" s="2" t="s">
        <v>45</v>
      </c>
      <c r="G128" s="2" t="s">
        <v>30</v>
      </c>
      <c r="H128" s="2" t="s">
        <v>344</v>
      </c>
      <c r="I128" s="2" t="s">
        <v>188</v>
      </c>
      <c r="J128" s="2">
        <v>226.48</v>
      </c>
      <c r="K128" s="2">
        <v>11</v>
      </c>
      <c r="L128" s="2" t="s">
        <v>48</v>
      </c>
      <c r="M128" s="2">
        <v>5</v>
      </c>
      <c r="N128" s="2">
        <v>3</v>
      </c>
      <c r="O128" s="2">
        <v>2</v>
      </c>
      <c r="P128" s="2" t="s">
        <v>36</v>
      </c>
      <c r="Q128" s="2" t="s">
        <v>50</v>
      </c>
      <c r="R128" s="2">
        <v>2</v>
      </c>
      <c r="S128" s="2">
        <v>7</v>
      </c>
      <c r="T128" s="2" t="s">
        <v>44</v>
      </c>
      <c r="U128" s="2" t="s">
        <v>38</v>
      </c>
      <c r="V128" s="2" t="s">
        <v>61</v>
      </c>
      <c r="W128" s="3">
        <v>45583</v>
      </c>
      <c r="X128" s="2" t="b">
        <v>1</v>
      </c>
      <c r="Y128" s="2" t="b">
        <v>0</v>
      </c>
      <c r="Z128" s="2" t="s">
        <v>40</v>
      </c>
      <c r="AA128" s="2" t="s">
        <v>67</v>
      </c>
      <c r="AB128" s="2">
        <v>11</v>
      </c>
      <c r="AC128" s="2">
        <f>SUMIF(N:N,Ecommerce_Consumer_Behavior_Analysis_Data3[[#This Row],[Brand_Loyalty]],M:M)</f>
        <v>641</v>
      </c>
      <c r="AD128" s="2" t="e" cm="1" vm="1">
        <f t="array" aca="1" ref="AD128" ca="1">SUMIFS(Y:Y,Ecommerce_Consumer_Behavior_Analysis_Data3[[#This Row],[Payment_Method]],V:V)</f>
        <v>#VALUE!</v>
      </c>
      <c r="AE128" s="2">
        <f t="shared" si="3"/>
        <v>101.31</v>
      </c>
      <c r="AG128">
        <f t="shared" si="4"/>
        <v>469.22</v>
      </c>
    </row>
    <row r="129" spans="1:33" x14ac:dyDescent="0.25">
      <c r="A129" s="2" t="s">
        <v>345</v>
      </c>
      <c r="B129" s="2">
        <v>26</v>
      </c>
      <c r="C129" s="2" t="s">
        <v>29</v>
      </c>
      <c r="D129" s="2" t="s">
        <v>44</v>
      </c>
      <c r="E129" s="2" t="s">
        <v>55</v>
      </c>
      <c r="F129" s="2" t="s">
        <v>56</v>
      </c>
      <c r="G129" s="2" t="s">
        <v>30</v>
      </c>
      <c r="H129" s="2" t="s">
        <v>346</v>
      </c>
      <c r="I129" s="2" t="s">
        <v>104</v>
      </c>
      <c r="J129" s="2">
        <v>469.22</v>
      </c>
      <c r="K129" s="2">
        <v>6</v>
      </c>
      <c r="L129" s="2" t="s">
        <v>48</v>
      </c>
      <c r="M129" s="2">
        <v>1</v>
      </c>
      <c r="N129" s="2">
        <v>1</v>
      </c>
      <c r="O129" s="2">
        <v>1</v>
      </c>
      <c r="P129" s="2" t="s">
        <v>44</v>
      </c>
      <c r="Q129" s="2" t="s">
        <v>50</v>
      </c>
      <c r="R129" s="2">
        <v>0</v>
      </c>
      <c r="S129" s="2">
        <v>1</v>
      </c>
      <c r="T129" s="2" t="s">
        <v>59</v>
      </c>
      <c r="U129" s="2" t="s">
        <v>38</v>
      </c>
      <c r="V129" s="2" t="s">
        <v>39</v>
      </c>
      <c r="W129" s="3">
        <v>45511</v>
      </c>
      <c r="X129" s="2" t="b">
        <v>0</v>
      </c>
      <c r="Y129" s="2" t="b">
        <v>0</v>
      </c>
      <c r="Z129" s="2" t="s">
        <v>52</v>
      </c>
      <c r="AA129" s="2" t="s">
        <v>41</v>
      </c>
      <c r="AB129" s="2">
        <v>7</v>
      </c>
      <c r="AC129" s="2">
        <f>SUMIF(N:N,Ecommerce_Consumer_Behavior_Analysis_Data3[[#This Row],[Brand_Loyalty]],M:M)</f>
        <v>603</v>
      </c>
      <c r="AD129" s="2" t="e" cm="1" vm="1">
        <f t="array" aca="1" ref="AD129" ca="1">SUMIFS(Y:Y,Ecommerce_Consumer_Behavior_Analysis_Data3[[#This Row],[Payment_Method]],V:V)</f>
        <v>#VALUE!</v>
      </c>
      <c r="AE129" s="2">
        <f t="shared" si="3"/>
        <v>101.31</v>
      </c>
      <c r="AG129">
        <f t="shared" si="4"/>
        <v>469.22</v>
      </c>
    </row>
    <row r="130" spans="1:33" x14ac:dyDescent="0.25">
      <c r="A130" s="2" t="s">
        <v>347</v>
      </c>
      <c r="B130" s="2">
        <v>42</v>
      </c>
      <c r="C130" s="2" t="s">
        <v>29</v>
      </c>
      <c r="D130" s="2" t="s">
        <v>44</v>
      </c>
      <c r="E130" s="2" t="s">
        <v>76</v>
      </c>
      <c r="F130" s="2" t="s">
        <v>45</v>
      </c>
      <c r="G130" s="2" t="s">
        <v>44</v>
      </c>
      <c r="H130" s="2" t="s">
        <v>348</v>
      </c>
      <c r="I130" s="2" t="s">
        <v>246</v>
      </c>
      <c r="J130" s="2">
        <v>335.32</v>
      </c>
      <c r="K130" s="2">
        <v>6</v>
      </c>
      <c r="L130" s="2" t="s">
        <v>35</v>
      </c>
      <c r="M130" s="2">
        <v>3</v>
      </c>
      <c r="N130" s="2">
        <v>3</v>
      </c>
      <c r="O130" s="2">
        <v>1</v>
      </c>
      <c r="P130" s="2" t="s">
        <v>36</v>
      </c>
      <c r="Q130" s="2" t="s">
        <v>50</v>
      </c>
      <c r="R130" s="2">
        <v>0</v>
      </c>
      <c r="S130" s="2">
        <v>1</v>
      </c>
      <c r="T130" s="2" t="s">
        <v>59</v>
      </c>
      <c r="U130" s="2" t="s">
        <v>79</v>
      </c>
      <c r="V130" s="2" t="s">
        <v>66</v>
      </c>
      <c r="W130" s="3">
        <v>45516</v>
      </c>
      <c r="X130" s="2" t="b">
        <v>1</v>
      </c>
      <c r="Y130" s="2" t="b">
        <v>0</v>
      </c>
      <c r="Z130" s="2" t="s">
        <v>74</v>
      </c>
      <c r="AA130" s="2" t="s">
        <v>41</v>
      </c>
      <c r="AB130" s="2">
        <v>10</v>
      </c>
      <c r="AC130" s="2">
        <f>SUMIF(N:N,Ecommerce_Consumer_Behavior_Analysis_Data3[[#This Row],[Brand_Loyalty]],M:M)</f>
        <v>597</v>
      </c>
      <c r="AD130" s="2" t="e" cm="1" vm="1">
        <f t="array" aca="1" ref="AD130" ca="1">SUMIFS(Y:Y,Ecommerce_Consumer_Behavior_Analysis_Data3[[#This Row],[Payment_Method]],V:V)</f>
        <v>#VALUE!</v>
      </c>
      <c r="AE130" s="2">
        <f t="shared" ref="AE130:AE193" si="5">INDEX(J:J,MATCH(O131,O:O,0))</f>
        <v>211.7</v>
      </c>
      <c r="AG130">
        <f t="shared" si="4"/>
        <v>184.74</v>
      </c>
    </row>
    <row r="131" spans="1:33" x14ac:dyDescent="0.25">
      <c r="A131" s="2" t="s">
        <v>349</v>
      </c>
      <c r="B131" s="2">
        <v>31</v>
      </c>
      <c r="C131" s="2" t="s">
        <v>43</v>
      </c>
      <c r="D131" s="2" t="s">
        <v>44</v>
      </c>
      <c r="E131" s="2" t="s">
        <v>76</v>
      </c>
      <c r="F131" s="2" t="s">
        <v>45</v>
      </c>
      <c r="G131" s="2" t="s">
        <v>30</v>
      </c>
      <c r="H131" s="2" t="s">
        <v>350</v>
      </c>
      <c r="I131" s="2" t="s">
        <v>101</v>
      </c>
      <c r="J131" s="2">
        <v>184.74</v>
      </c>
      <c r="K131" s="2">
        <v>5</v>
      </c>
      <c r="L131" s="2" t="s">
        <v>48</v>
      </c>
      <c r="M131" s="2">
        <v>4</v>
      </c>
      <c r="N131" s="2">
        <v>4</v>
      </c>
      <c r="O131" s="2">
        <v>0</v>
      </c>
      <c r="P131" s="2" t="s">
        <v>49</v>
      </c>
      <c r="Q131" s="2" t="s">
        <v>85</v>
      </c>
      <c r="R131" s="2">
        <v>1</v>
      </c>
      <c r="S131" s="2">
        <v>5</v>
      </c>
      <c r="T131" s="2" t="s">
        <v>44</v>
      </c>
      <c r="U131" s="2" t="s">
        <v>38</v>
      </c>
      <c r="V131" s="2" t="s">
        <v>61</v>
      </c>
      <c r="W131" s="3">
        <v>45623</v>
      </c>
      <c r="X131" s="2" t="b">
        <v>0</v>
      </c>
      <c r="Y131" s="2" t="b">
        <v>1</v>
      </c>
      <c r="Z131" s="2" t="s">
        <v>62</v>
      </c>
      <c r="AA131" s="2" t="s">
        <v>41</v>
      </c>
      <c r="AB131" s="2">
        <v>10</v>
      </c>
      <c r="AC131" s="2">
        <f>SUMIF(N:N,Ecommerce_Consumer_Behavior_Analysis_Data3[[#This Row],[Brand_Loyalty]],M:M)</f>
        <v>603</v>
      </c>
      <c r="AD131" s="2" t="e" cm="1" vm="1">
        <f t="array" aca="1" ref="AD131" ca="1">SUMIFS(Y:Y,Ecommerce_Consumer_Behavior_Analysis_Data3[[#This Row],[Payment_Method]],V:V)</f>
        <v>#VALUE!</v>
      </c>
      <c r="AE131" s="2">
        <f t="shared" si="5"/>
        <v>101.31</v>
      </c>
      <c r="AG131">
        <f t="shared" ref="AG131:AG136" si="6">VLOOKUP(C132,C130:Q341,8,0)</f>
        <v>442.18</v>
      </c>
    </row>
    <row r="132" spans="1:33" x14ac:dyDescent="0.25">
      <c r="A132" s="2" t="s">
        <v>351</v>
      </c>
      <c r="B132" s="2">
        <v>37</v>
      </c>
      <c r="C132" s="2" t="s">
        <v>352</v>
      </c>
      <c r="D132" s="2" t="s">
        <v>44</v>
      </c>
      <c r="E132" s="2" t="s">
        <v>76</v>
      </c>
      <c r="F132" s="2" t="s">
        <v>32</v>
      </c>
      <c r="G132" s="2" t="s">
        <v>30</v>
      </c>
      <c r="H132" s="2" t="s">
        <v>353</v>
      </c>
      <c r="I132" s="2" t="s">
        <v>194</v>
      </c>
      <c r="J132" s="2">
        <v>442.18</v>
      </c>
      <c r="K132" s="2">
        <v>5</v>
      </c>
      <c r="L132" s="2" t="s">
        <v>48</v>
      </c>
      <c r="M132" s="2">
        <v>4</v>
      </c>
      <c r="N132" s="2">
        <v>3</v>
      </c>
      <c r="O132" s="2">
        <v>1</v>
      </c>
      <c r="P132" s="2" t="s">
        <v>36</v>
      </c>
      <c r="Q132" s="2" t="s">
        <v>85</v>
      </c>
      <c r="R132" s="2">
        <v>2</v>
      </c>
      <c r="S132" s="2">
        <v>10</v>
      </c>
      <c r="T132" s="2" t="s">
        <v>44</v>
      </c>
      <c r="U132" s="2" t="s">
        <v>60</v>
      </c>
      <c r="V132" s="2" t="s">
        <v>51</v>
      </c>
      <c r="W132" s="3">
        <v>45316</v>
      </c>
      <c r="X132" s="2" t="b">
        <v>0</v>
      </c>
      <c r="Y132" s="2" t="b">
        <v>0</v>
      </c>
      <c r="Z132" s="2" t="s">
        <v>62</v>
      </c>
      <c r="AA132" s="2" t="s">
        <v>67</v>
      </c>
      <c r="AB132" s="2">
        <v>12</v>
      </c>
      <c r="AC132" s="2">
        <f>SUMIF(N:N,Ecommerce_Consumer_Behavior_Analysis_Data3[[#This Row],[Brand_Loyalty]],M:M)</f>
        <v>603</v>
      </c>
      <c r="AD132" s="2" t="e" cm="1" vm="1">
        <f t="array" aca="1" ref="AD132" ca="1">SUMIFS(Y:Y,Ecommerce_Consumer_Behavior_Analysis_Data3[[#This Row],[Payment_Method]],V:V)</f>
        <v>#VALUE!</v>
      </c>
      <c r="AE132" s="2">
        <f t="shared" si="5"/>
        <v>101.31</v>
      </c>
      <c r="AG132">
        <f t="shared" si="6"/>
        <v>184.74</v>
      </c>
    </row>
    <row r="133" spans="1:33" x14ac:dyDescent="0.25">
      <c r="A133" s="2" t="s">
        <v>354</v>
      </c>
      <c r="B133" s="2">
        <v>49</v>
      </c>
      <c r="C133" s="2" t="s">
        <v>43</v>
      </c>
      <c r="D133" s="2" t="s">
        <v>44</v>
      </c>
      <c r="E133" s="2" t="s">
        <v>31</v>
      </c>
      <c r="F133" s="2" t="s">
        <v>45</v>
      </c>
      <c r="G133" s="2" t="s">
        <v>30</v>
      </c>
      <c r="H133" s="2" t="s">
        <v>355</v>
      </c>
      <c r="I133" s="2" t="s">
        <v>142</v>
      </c>
      <c r="J133" s="2">
        <v>427.1</v>
      </c>
      <c r="K133" s="2">
        <v>8</v>
      </c>
      <c r="L133" s="2" t="s">
        <v>35</v>
      </c>
      <c r="M133" s="2">
        <v>1</v>
      </c>
      <c r="N133" s="2">
        <v>2</v>
      </c>
      <c r="O133" s="2">
        <v>1</v>
      </c>
      <c r="P133" s="2" t="s">
        <v>44</v>
      </c>
      <c r="Q133" s="2" t="s">
        <v>37</v>
      </c>
      <c r="R133" s="2">
        <v>0</v>
      </c>
      <c r="S133" s="2">
        <v>2</v>
      </c>
      <c r="T133" s="2" t="s">
        <v>49</v>
      </c>
      <c r="U133" s="2" t="s">
        <v>79</v>
      </c>
      <c r="V133" s="2" t="s">
        <v>51</v>
      </c>
      <c r="W133" s="3">
        <v>45422</v>
      </c>
      <c r="X133" s="2" t="b">
        <v>0</v>
      </c>
      <c r="Y133" s="2" t="b">
        <v>1</v>
      </c>
      <c r="Z133" s="2" t="s">
        <v>74</v>
      </c>
      <c r="AA133" s="2" t="s">
        <v>41</v>
      </c>
      <c r="AB133" s="2">
        <v>5</v>
      </c>
      <c r="AC133" s="2">
        <f>SUMIF(N:N,Ecommerce_Consumer_Behavior_Analysis_Data3[[#This Row],[Brand_Loyalty]],M:M)</f>
        <v>603</v>
      </c>
      <c r="AD133" s="2" t="e" cm="1" vm="1">
        <f t="array" aca="1" ref="AD133" ca="1">SUMIFS(Y:Y,Ecommerce_Consumer_Behavior_Analysis_Data3[[#This Row],[Payment_Method]],V:V)</f>
        <v>#VALUE!</v>
      </c>
      <c r="AE133" s="2">
        <f t="shared" si="5"/>
        <v>101.31</v>
      </c>
      <c r="AG133">
        <f t="shared" si="6"/>
        <v>427.1</v>
      </c>
    </row>
    <row r="134" spans="1:33" x14ac:dyDescent="0.25">
      <c r="A134" s="2" t="s">
        <v>356</v>
      </c>
      <c r="B134" s="2">
        <v>34</v>
      </c>
      <c r="C134" s="2" t="s">
        <v>43</v>
      </c>
      <c r="D134" s="2" t="s">
        <v>44</v>
      </c>
      <c r="E134" s="2" t="s">
        <v>69</v>
      </c>
      <c r="F134" s="2" t="s">
        <v>45</v>
      </c>
      <c r="G134" s="2" t="s">
        <v>44</v>
      </c>
      <c r="H134" s="2" t="s">
        <v>357</v>
      </c>
      <c r="I134" s="2" t="s">
        <v>65</v>
      </c>
      <c r="J134" s="2">
        <v>326.82</v>
      </c>
      <c r="K134" s="2">
        <v>4</v>
      </c>
      <c r="L134" s="2" t="s">
        <v>35</v>
      </c>
      <c r="M134" s="2">
        <v>3</v>
      </c>
      <c r="N134" s="2">
        <v>2</v>
      </c>
      <c r="O134" s="2">
        <v>1</v>
      </c>
      <c r="P134" s="2" t="s">
        <v>44</v>
      </c>
      <c r="Q134" s="2" t="s">
        <v>37</v>
      </c>
      <c r="R134" s="2">
        <v>2</v>
      </c>
      <c r="S134" s="2">
        <v>5</v>
      </c>
      <c r="T134" s="2" t="s">
        <v>49</v>
      </c>
      <c r="U134" s="2" t="s">
        <v>38</v>
      </c>
      <c r="V134" s="2" t="s">
        <v>39</v>
      </c>
      <c r="W134" s="3">
        <v>45404</v>
      </c>
      <c r="X134" s="2" t="b">
        <v>1</v>
      </c>
      <c r="Y134" s="2" t="b">
        <v>0</v>
      </c>
      <c r="Z134" s="2" t="s">
        <v>74</v>
      </c>
      <c r="AA134" s="2" t="s">
        <v>53</v>
      </c>
      <c r="AB134" s="2">
        <v>4</v>
      </c>
      <c r="AC134" s="2">
        <f>SUMIF(N:N,Ecommerce_Consumer_Behavior_Analysis_Data3[[#This Row],[Brand_Loyalty]],M:M)</f>
        <v>597</v>
      </c>
      <c r="AD134" s="2" t="e" cm="1" vm="1">
        <f t="array" aca="1" ref="AD134" ca="1">SUMIFS(Y:Y,Ecommerce_Consumer_Behavior_Analysis_Data3[[#This Row],[Payment_Method]],V:V)</f>
        <v>#VALUE!</v>
      </c>
      <c r="AE134" s="2">
        <f t="shared" si="5"/>
        <v>333.8</v>
      </c>
      <c r="AG134">
        <f t="shared" si="6"/>
        <v>427.1</v>
      </c>
    </row>
    <row r="135" spans="1:33" x14ac:dyDescent="0.25">
      <c r="A135" s="2" t="s">
        <v>358</v>
      </c>
      <c r="B135" s="2">
        <v>41</v>
      </c>
      <c r="C135" s="2" t="s">
        <v>43</v>
      </c>
      <c r="D135" s="2" t="s">
        <v>44</v>
      </c>
      <c r="E135" s="2" t="s">
        <v>69</v>
      </c>
      <c r="F135" s="2" t="s">
        <v>45</v>
      </c>
      <c r="G135" s="2" t="s">
        <v>30</v>
      </c>
      <c r="H135" s="2" t="s">
        <v>359</v>
      </c>
      <c r="I135" s="2" t="s">
        <v>107</v>
      </c>
      <c r="J135" s="2">
        <v>98.97</v>
      </c>
      <c r="K135" s="2">
        <v>12</v>
      </c>
      <c r="L135" s="2" t="s">
        <v>48</v>
      </c>
      <c r="M135" s="2">
        <v>2</v>
      </c>
      <c r="N135" s="2">
        <v>5</v>
      </c>
      <c r="O135" s="2">
        <v>2</v>
      </c>
      <c r="P135" s="2" t="s">
        <v>36</v>
      </c>
      <c r="Q135" s="2" t="s">
        <v>85</v>
      </c>
      <c r="R135" s="2">
        <v>1</v>
      </c>
      <c r="S135" s="2">
        <v>7</v>
      </c>
      <c r="T135" s="2" t="s">
        <v>44</v>
      </c>
      <c r="U135" s="2" t="s">
        <v>38</v>
      </c>
      <c r="V135" s="2" t="s">
        <v>66</v>
      </c>
      <c r="W135" s="3">
        <v>45370</v>
      </c>
      <c r="X135" s="2" t="b">
        <v>1</v>
      </c>
      <c r="Y135" s="2" t="b">
        <v>1</v>
      </c>
      <c r="Z135" s="2" t="s">
        <v>62</v>
      </c>
      <c r="AA135" s="2" t="s">
        <v>41</v>
      </c>
      <c r="AB135" s="2">
        <v>11</v>
      </c>
      <c r="AC135" s="2">
        <f>SUMIF(N:N,Ecommerce_Consumer_Behavior_Analysis_Data3[[#This Row],[Brand_Loyalty]],M:M)</f>
        <v>582</v>
      </c>
      <c r="AD135" s="2" t="e" cm="1" vm="1">
        <f t="array" aca="1" ref="AD135" ca="1">SUMIFS(Y:Y,Ecommerce_Consumer_Behavior_Analysis_Data3[[#This Row],[Payment_Method]],V:V)</f>
        <v>#VALUE!</v>
      </c>
      <c r="AE135" s="2">
        <f t="shared" si="5"/>
        <v>101.31</v>
      </c>
      <c r="AG135">
        <f t="shared" si="6"/>
        <v>326.82</v>
      </c>
    </row>
    <row r="136" spans="1:33" x14ac:dyDescent="0.25">
      <c r="A136" s="2" t="s">
        <v>360</v>
      </c>
      <c r="B136" s="2">
        <v>33</v>
      </c>
      <c r="C136" s="2" t="s">
        <v>43</v>
      </c>
      <c r="D136" s="2" t="s">
        <v>44</v>
      </c>
      <c r="E136" s="2" t="s">
        <v>55</v>
      </c>
      <c r="F136" s="2" t="s">
        <v>45</v>
      </c>
      <c r="G136" s="2" t="s">
        <v>44</v>
      </c>
      <c r="H136" s="2" t="s">
        <v>361</v>
      </c>
      <c r="I136" s="2" t="s">
        <v>104</v>
      </c>
      <c r="J136" s="2">
        <v>77.650000000000006</v>
      </c>
      <c r="K136" s="2">
        <v>6</v>
      </c>
      <c r="L136" s="2" t="s">
        <v>78</v>
      </c>
      <c r="M136" s="2">
        <v>1</v>
      </c>
      <c r="N136" s="2">
        <v>4</v>
      </c>
      <c r="O136" s="2">
        <v>1</v>
      </c>
      <c r="P136" s="2" t="s">
        <v>49</v>
      </c>
      <c r="Q136" s="2" t="s">
        <v>37</v>
      </c>
      <c r="R136" s="2">
        <v>2</v>
      </c>
      <c r="S136" s="2">
        <v>3</v>
      </c>
      <c r="T136" s="2" t="s">
        <v>36</v>
      </c>
      <c r="U136" s="2" t="s">
        <v>38</v>
      </c>
      <c r="V136" s="2" t="s">
        <v>86</v>
      </c>
      <c r="W136" s="3">
        <v>45315</v>
      </c>
      <c r="X136" s="2" t="b">
        <v>1</v>
      </c>
      <c r="Y136" s="2" t="b">
        <v>1</v>
      </c>
      <c r="Z136" s="2" t="s">
        <v>74</v>
      </c>
      <c r="AA136" s="2" t="s">
        <v>41</v>
      </c>
      <c r="AB136" s="2">
        <v>1</v>
      </c>
      <c r="AC136" s="2">
        <f>SUMIF(N:N,Ecommerce_Consumer_Behavior_Analysis_Data3[[#This Row],[Brand_Loyalty]],M:M)</f>
        <v>603</v>
      </c>
      <c r="AD136" s="2" t="e" cm="1" vm="1">
        <f t="array" aca="1" ref="AD136" ca="1">SUMIFS(Y:Y,Ecommerce_Consumer_Behavior_Analysis_Data3[[#This Row],[Payment_Method]],V:V)</f>
        <v>#VALUE!</v>
      </c>
      <c r="AE136" s="2">
        <f t="shared" si="5"/>
        <v>101.31</v>
      </c>
      <c r="AG136">
        <f t="shared" si="6"/>
        <v>85.61</v>
      </c>
    </row>
    <row r="137" spans="1:33" x14ac:dyDescent="0.25">
      <c r="A137" s="2" t="s">
        <v>362</v>
      </c>
      <c r="B137" s="2">
        <v>47</v>
      </c>
      <c r="C137" s="2" t="s">
        <v>29</v>
      </c>
      <c r="D137" s="2" t="s">
        <v>30</v>
      </c>
      <c r="E137" s="2" t="s">
        <v>69</v>
      </c>
      <c r="F137" s="2" t="s">
        <v>56</v>
      </c>
      <c r="G137" s="2" t="s">
        <v>44</v>
      </c>
      <c r="H137" s="2" t="s">
        <v>363</v>
      </c>
      <c r="I137" s="2" t="s">
        <v>117</v>
      </c>
      <c r="J137" s="2">
        <v>85.61</v>
      </c>
      <c r="K137" s="2">
        <v>2</v>
      </c>
      <c r="L137" s="2" t="s">
        <v>78</v>
      </c>
      <c r="M137" s="2">
        <v>4</v>
      </c>
      <c r="N137" s="2">
        <v>2</v>
      </c>
      <c r="O137" s="2">
        <v>1</v>
      </c>
      <c r="P137" s="2" t="s">
        <v>44</v>
      </c>
      <c r="Q137" s="2" t="s">
        <v>50</v>
      </c>
      <c r="R137" s="2">
        <v>1</v>
      </c>
      <c r="S137" s="2">
        <v>3</v>
      </c>
      <c r="T137" s="2" t="s">
        <v>59</v>
      </c>
      <c r="U137" s="2" t="s">
        <v>79</v>
      </c>
      <c r="V137" s="2" t="s">
        <v>66</v>
      </c>
      <c r="W137" s="3">
        <v>45569</v>
      </c>
      <c r="X137" s="2" t="b">
        <v>1</v>
      </c>
      <c r="Y137" s="2" t="b">
        <v>1</v>
      </c>
      <c r="Z137" s="2" t="s">
        <v>40</v>
      </c>
      <c r="AA137" s="2" t="s">
        <v>53</v>
      </c>
      <c r="AB137" s="2">
        <v>5</v>
      </c>
      <c r="AC137" s="2">
        <f>SUMIF(N:N,Ecommerce_Consumer_Behavior_Analysis_Data3[[#This Row],[Brand_Loyalty]],M:M)</f>
        <v>603</v>
      </c>
      <c r="AD137" s="2" t="e" cm="1" vm="1">
        <f t="array" aca="1" ref="AD137" ca="1">SUMIFS(Y:Y,Ecommerce_Consumer_Behavior_Analysis_Data3[[#This Row],[Payment_Method]],V:V)</f>
        <v>#VALUE!</v>
      </c>
      <c r="AE137" s="2">
        <f t="shared" si="5"/>
        <v>211.7</v>
      </c>
    </row>
    <row r="138" spans="1:33" x14ac:dyDescent="0.25">
      <c r="A138" s="2" t="s">
        <v>364</v>
      </c>
      <c r="B138" s="2">
        <v>47</v>
      </c>
      <c r="C138" s="2" t="s">
        <v>43</v>
      </c>
      <c r="D138" s="2" t="s">
        <v>44</v>
      </c>
      <c r="E138" s="2" t="s">
        <v>69</v>
      </c>
      <c r="F138" s="2" t="s">
        <v>45</v>
      </c>
      <c r="G138" s="2" t="s">
        <v>44</v>
      </c>
      <c r="H138" s="2" t="s">
        <v>365</v>
      </c>
      <c r="I138" s="2" t="s">
        <v>47</v>
      </c>
      <c r="J138" s="2">
        <v>164.79</v>
      </c>
      <c r="K138" s="2">
        <v>4</v>
      </c>
      <c r="L138" s="2" t="s">
        <v>48</v>
      </c>
      <c r="M138" s="2">
        <v>3</v>
      </c>
      <c r="N138" s="2">
        <v>2</v>
      </c>
      <c r="O138" s="2">
        <v>0</v>
      </c>
      <c r="P138" s="2" t="s">
        <v>36</v>
      </c>
      <c r="Q138" s="2" t="s">
        <v>37</v>
      </c>
      <c r="R138" s="2">
        <v>2</v>
      </c>
      <c r="S138" s="2">
        <v>5</v>
      </c>
      <c r="T138" s="2" t="s">
        <v>44</v>
      </c>
      <c r="U138" s="2" t="s">
        <v>38</v>
      </c>
      <c r="V138" s="2" t="s">
        <v>39</v>
      </c>
      <c r="W138" s="3">
        <v>45435</v>
      </c>
      <c r="X138" s="2" t="b">
        <v>1</v>
      </c>
      <c r="Y138" s="2" t="b">
        <v>1</v>
      </c>
      <c r="Z138" s="2" t="s">
        <v>62</v>
      </c>
      <c r="AA138" s="2" t="s">
        <v>41</v>
      </c>
      <c r="AB138" s="2">
        <v>1</v>
      </c>
      <c r="AC138" s="2">
        <f>SUMIF(N:N,Ecommerce_Consumer_Behavior_Analysis_Data3[[#This Row],[Brand_Loyalty]],M:M)</f>
        <v>597</v>
      </c>
      <c r="AD138" s="2" t="e" cm="1" vm="1">
        <f t="array" aca="1" ref="AD138" ca="1">SUMIFS(Y:Y,Ecommerce_Consumer_Behavior_Analysis_Data3[[#This Row],[Payment_Method]],V:V)</f>
        <v>#VALUE!</v>
      </c>
      <c r="AE138" s="2">
        <f t="shared" si="5"/>
        <v>333.8</v>
      </c>
    </row>
    <row r="139" spans="1:33" x14ac:dyDescent="0.25">
      <c r="A139" s="2" t="s">
        <v>366</v>
      </c>
      <c r="B139" s="2">
        <v>29</v>
      </c>
      <c r="C139" s="2" t="s">
        <v>29</v>
      </c>
      <c r="D139" s="2" t="s">
        <v>44</v>
      </c>
      <c r="E139" s="2" t="s">
        <v>69</v>
      </c>
      <c r="F139" s="2" t="s">
        <v>45</v>
      </c>
      <c r="G139" s="2" t="s">
        <v>44</v>
      </c>
      <c r="H139" s="2" t="s">
        <v>367</v>
      </c>
      <c r="I139" s="2" t="s">
        <v>142</v>
      </c>
      <c r="J139" s="2">
        <v>235.46</v>
      </c>
      <c r="K139" s="2">
        <v>10</v>
      </c>
      <c r="L139" s="2" t="s">
        <v>48</v>
      </c>
      <c r="M139" s="2">
        <v>3</v>
      </c>
      <c r="N139" s="2">
        <v>4</v>
      </c>
      <c r="O139" s="2">
        <v>2</v>
      </c>
      <c r="P139" s="2" t="s">
        <v>36</v>
      </c>
      <c r="Q139" s="2" t="s">
        <v>50</v>
      </c>
      <c r="R139" s="2">
        <v>0</v>
      </c>
      <c r="S139" s="2">
        <v>7</v>
      </c>
      <c r="T139" s="2" t="s">
        <v>36</v>
      </c>
      <c r="U139" s="2" t="s">
        <v>79</v>
      </c>
      <c r="V139" s="2" t="s">
        <v>39</v>
      </c>
      <c r="W139" s="3">
        <v>45609</v>
      </c>
      <c r="X139" s="2" t="b">
        <v>0</v>
      </c>
      <c r="Y139" s="2" t="b">
        <v>1</v>
      </c>
      <c r="Z139" s="2" t="s">
        <v>62</v>
      </c>
      <c r="AA139" s="2" t="s">
        <v>41</v>
      </c>
      <c r="AB139" s="2">
        <v>2</v>
      </c>
      <c r="AC139" s="2">
        <f>SUMIF(N:N,Ecommerce_Consumer_Behavior_Analysis_Data3[[#This Row],[Brand_Loyalty]],M:M)</f>
        <v>597</v>
      </c>
      <c r="AD139" s="2" t="e" cm="1" vm="1">
        <f t="array" aca="1" ref="AD139" ca="1">SUMIFS(Y:Y,Ecommerce_Consumer_Behavior_Analysis_Data3[[#This Row],[Payment_Method]],V:V)</f>
        <v>#VALUE!</v>
      </c>
      <c r="AE139" s="2">
        <f t="shared" si="5"/>
        <v>101.31</v>
      </c>
    </row>
    <row r="140" spans="1:33" x14ac:dyDescent="0.25">
      <c r="A140" s="2" t="s">
        <v>368</v>
      </c>
      <c r="B140" s="2">
        <v>36</v>
      </c>
      <c r="C140" s="2" t="s">
        <v>29</v>
      </c>
      <c r="D140" s="2" t="s">
        <v>44</v>
      </c>
      <c r="E140" s="2" t="s">
        <v>69</v>
      </c>
      <c r="F140" s="2" t="s">
        <v>56</v>
      </c>
      <c r="G140" s="2" t="s">
        <v>30</v>
      </c>
      <c r="H140" s="2" t="s">
        <v>369</v>
      </c>
      <c r="I140" s="2" t="s">
        <v>82</v>
      </c>
      <c r="J140" s="2">
        <v>245.14</v>
      </c>
      <c r="K140" s="2">
        <v>4</v>
      </c>
      <c r="L140" s="2" t="s">
        <v>78</v>
      </c>
      <c r="M140" s="2">
        <v>4</v>
      </c>
      <c r="N140" s="2">
        <v>5</v>
      </c>
      <c r="O140" s="2">
        <v>1</v>
      </c>
      <c r="P140" s="2" t="s">
        <v>44</v>
      </c>
      <c r="Q140" s="2" t="s">
        <v>85</v>
      </c>
      <c r="R140" s="2">
        <v>1</v>
      </c>
      <c r="S140" s="2">
        <v>4</v>
      </c>
      <c r="T140" s="2" t="s">
        <v>49</v>
      </c>
      <c r="U140" s="2" t="s">
        <v>60</v>
      </c>
      <c r="V140" s="2" t="s">
        <v>51</v>
      </c>
      <c r="W140" s="3">
        <v>45354</v>
      </c>
      <c r="X140" s="2" t="b">
        <v>1</v>
      </c>
      <c r="Y140" s="2" t="b">
        <v>0</v>
      </c>
      <c r="Z140" s="2" t="s">
        <v>62</v>
      </c>
      <c r="AA140" s="2" t="s">
        <v>53</v>
      </c>
      <c r="AB140" s="2">
        <v>3</v>
      </c>
      <c r="AC140" s="2">
        <f>SUMIF(N:N,Ecommerce_Consumer_Behavior_Analysis_Data3[[#This Row],[Brand_Loyalty]],M:M)</f>
        <v>603</v>
      </c>
      <c r="AD140" s="2" t="e" cm="1" vm="1">
        <f t="array" aca="1" ref="AD140" ca="1">SUMIFS(Y:Y,Ecommerce_Consumer_Behavior_Analysis_Data3[[#This Row],[Payment_Method]],V:V)</f>
        <v>#VALUE!</v>
      </c>
      <c r="AE140" s="2">
        <f t="shared" si="5"/>
        <v>333.8</v>
      </c>
    </row>
    <row r="141" spans="1:33" x14ac:dyDescent="0.25">
      <c r="A141" s="2" t="s">
        <v>370</v>
      </c>
      <c r="B141" s="2">
        <v>43</v>
      </c>
      <c r="C141" s="2" t="s">
        <v>43</v>
      </c>
      <c r="D141" s="2" t="s">
        <v>44</v>
      </c>
      <c r="E141" s="2" t="s">
        <v>76</v>
      </c>
      <c r="F141" s="2" t="s">
        <v>32</v>
      </c>
      <c r="G141" s="2" t="s">
        <v>30</v>
      </c>
      <c r="H141" s="2" t="s">
        <v>371</v>
      </c>
      <c r="I141" s="2" t="s">
        <v>126</v>
      </c>
      <c r="J141" s="2">
        <v>439.91</v>
      </c>
      <c r="K141" s="2">
        <v>5</v>
      </c>
      <c r="L141" s="2" t="s">
        <v>78</v>
      </c>
      <c r="M141" s="2">
        <v>1</v>
      </c>
      <c r="N141" s="2">
        <v>4</v>
      </c>
      <c r="O141" s="2">
        <v>2</v>
      </c>
      <c r="P141" s="2" t="s">
        <v>59</v>
      </c>
      <c r="Q141" s="2" t="s">
        <v>37</v>
      </c>
      <c r="R141" s="2">
        <v>0</v>
      </c>
      <c r="S141" s="2">
        <v>9</v>
      </c>
      <c r="T141" s="2" t="s">
        <v>49</v>
      </c>
      <c r="U141" s="2" t="s">
        <v>60</v>
      </c>
      <c r="V141" s="2" t="s">
        <v>66</v>
      </c>
      <c r="W141" s="3">
        <v>45354</v>
      </c>
      <c r="X141" s="2" t="b">
        <v>0</v>
      </c>
      <c r="Y141" s="2" t="b">
        <v>0</v>
      </c>
      <c r="Z141" s="2" t="s">
        <v>40</v>
      </c>
      <c r="AA141" s="2" t="s">
        <v>67</v>
      </c>
      <c r="AB141" s="2">
        <v>10</v>
      </c>
      <c r="AC141" s="2">
        <f>SUMIF(N:N,Ecommerce_Consumer_Behavior_Analysis_Data3[[#This Row],[Brand_Loyalty]],M:M)</f>
        <v>603</v>
      </c>
      <c r="AD141" s="2" t="e" cm="1" vm="1">
        <f t="array" aca="1" ref="AD141" ca="1">SUMIFS(Y:Y,Ecommerce_Consumer_Behavior_Analysis_Data3[[#This Row],[Payment_Method]],V:V)</f>
        <v>#VALUE!</v>
      </c>
      <c r="AE141" s="2">
        <f t="shared" si="5"/>
        <v>333.8</v>
      </c>
    </row>
    <row r="142" spans="1:33" x14ac:dyDescent="0.25">
      <c r="A142" s="2" t="s">
        <v>372</v>
      </c>
      <c r="B142" s="2">
        <v>31</v>
      </c>
      <c r="C142" s="2" t="s">
        <v>43</v>
      </c>
      <c r="D142" s="2" t="s">
        <v>44</v>
      </c>
      <c r="E142" s="2" t="s">
        <v>69</v>
      </c>
      <c r="F142" s="2" t="s">
        <v>45</v>
      </c>
      <c r="G142" s="2" t="s">
        <v>44</v>
      </c>
      <c r="H142" s="2" t="s">
        <v>373</v>
      </c>
      <c r="I142" s="2" t="s">
        <v>65</v>
      </c>
      <c r="J142" s="2">
        <v>309.22000000000003</v>
      </c>
      <c r="K142" s="2">
        <v>5</v>
      </c>
      <c r="L142" s="2" t="s">
        <v>35</v>
      </c>
      <c r="M142" s="2">
        <v>3</v>
      </c>
      <c r="N142" s="2">
        <v>5</v>
      </c>
      <c r="O142" s="2">
        <v>2</v>
      </c>
      <c r="P142" s="2" t="s">
        <v>59</v>
      </c>
      <c r="Q142" s="2" t="s">
        <v>50</v>
      </c>
      <c r="R142" s="2">
        <v>2</v>
      </c>
      <c r="S142" s="2">
        <v>4</v>
      </c>
      <c r="T142" s="2" t="s">
        <v>36</v>
      </c>
      <c r="U142" s="2" t="s">
        <v>38</v>
      </c>
      <c r="V142" s="2" t="s">
        <v>86</v>
      </c>
      <c r="W142" s="3">
        <v>45375</v>
      </c>
      <c r="X142" s="2" t="b">
        <v>0</v>
      </c>
      <c r="Y142" s="2" t="b">
        <v>0</v>
      </c>
      <c r="Z142" s="2" t="s">
        <v>74</v>
      </c>
      <c r="AA142" s="2" t="s">
        <v>53</v>
      </c>
      <c r="AB142" s="2">
        <v>10</v>
      </c>
      <c r="AC142" s="2">
        <f>SUMIF(N:N,Ecommerce_Consumer_Behavior_Analysis_Data3[[#This Row],[Brand_Loyalty]],M:M)</f>
        <v>597</v>
      </c>
      <c r="AD142" s="2" t="e" cm="1" vm="1">
        <f t="array" aca="1" ref="AD142" ca="1">SUMIFS(Y:Y,Ecommerce_Consumer_Behavior_Analysis_Data3[[#This Row],[Payment_Method]],V:V)</f>
        <v>#VALUE!</v>
      </c>
      <c r="AE142" s="2">
        <f t="shared" si="5"/>
        <v>333.8</v>
      </c>
    </row>
    <row r="143" spans="1:33" x14ac:dyDescent="0.25">
      <c r="A143" s="2" t="s">
        <v>374</v>
      </c>
      <c r="B143" s="2">
        <v>27</v>
      </c>
      <c r="C143" s="2" t="s">
        <v>43</v>
      </c>
      <c r="D143" s="2" t="s">
        <v>30</v>
      </c>
      <c r="E143" s="2" t="s">
        <v>69</v>
      </c>
      <c r="F143" s="2" t="s">
        <v>56</v>
      </c>
      <c r="G143" s="2" t="s">
        <v>30</v>
      </c>
      <c r="H143" s="2" t="s">
        <v>375</v>
      </c>
      <c r="I143" s="2" t="s">
        <v>158</v>
      </c>
      <c r="J143" s="2">
        <v>146.59</v>
      </c>
      <c r="K143" s="2">
        <v>10</v>
      </c>
      <c r="L143" s="2" t="s">
        <v>35</v>
      </c>
      <c r="M143" s="2">
        <v>5</v>
      </c>
      <c r="N143" s="2">
        <v>1</v>
      </c>
      <c r="O143" s="2">
        <v>2</v>
      </c>
      <c r="P143" s="2" t="s">
        <v>59</v>
      </c>
      <c r="Q143" s="2" t="s">
        <v>85</v>
      </c>
      <c r="R143" s="2">
        <v>0</v>
      </c>
      <c r="S143" s="2">
        <v>2</v>
      </c>
      <c r="T143" s="2" t="s">
        <v>36</v>
      </c>
      <c r="U143" s="2" t="s">
        <v>60</v>
      </c>
      <c r="V143" s="2" t="s">
        <v>86</v>
      </c>
      <c r="W143" s="3">
        <v>45313</v>
      </c>
      <c r="X143" s="2" t="b">
        <v>0</v>
      </c>
      <c r="Y143" s="2" t="b">
        <v>1</v>
      </c>
      <c r="Z143" s="2" t="s">
        <v>62</v>
      </c>
      <c r="AA143" s="2" t="s">
        <v>41</v>
      </c>
      <c r="AB143" s="2">
        <v>3</v>
      </c>
      <c r="AC143" s="2">
        <f>SUMIF(N:N,Ecommerce_Consumer_Behavior_Analysis_Data3[[#This Row],[Brand_Loyalty]],M:M)</f>
        <v>641</v>
      </c>
      <c r="AD143" s="2" t="e" cm="1" vm="1">
        <f t="array" aca="1" ref="AD143" ca="1">SUMIFS(Y:Y,Ecommerce_Consumer_Behavior_Analysis_Data3[[#This Row],[Payment_Method]],V:V)</f>
        <v>#VALUE!</v>
      </c>
      <c r="AE143" s="2">
        <f t="shared" si="5"/>
        <v>101.31</v>
      </c>
    </row>
    <row r="144" spans="1:33" x14ac:dyDescent="0.25">
      <c r="A144" s="2" t="s">
        <v>376</v>
      </c>
      <c r="B144" s="2">
        <v>48</v>
      </c>
      <c r="C144" s="2" t="s">
        <v>43</v>
      </c>
      <c r="D144" s="2" t="s">
        <v>30</v>
      </c>
      <c r="E144" s="2" t="s">
        <v>55</v>
      </c>
      <c r="F144" s="2" t="s">
        <v>45</v>
      </c>
      <c r="G144" s="2" t="s">
        <v>30</v>
      </c>
      <c r="H144" s="2" t="s">
        <v>377</v>
      </c>
      <c r="I144" s="2" t="s">
        <v>107</v>
      </c>
      <c r="J144" s="2">
        <v>298.73</v>
      </c>
      <c r="K144" s="2">
        <v>4</v>
      </c>
      <c r="L144" s="2" t="s">
        <v>78</v>
      </c>
      <c r="M144" s="2">
        <v>1</v>
      </c>
      <c r="N144" s="2">
        <v>5</v>
      </c>
      <c r="O144" s="2">
        <v>1</v>
      </c>
      <c r="P144" s="2" t="s">
        <v>44</v>
      </c>
      <c r="Q144" s="2" t="s">
        <v>50</v>
      </c>
      <c r="R144" s="2">
        <v>0</v>
      </c>
      <c r="S144" s="2">
        <v>2</v>
      </c>
      <c r="T144" s="2" t="s">
        <v>59</v>
      </c>
      <c r="U144" s="2" t="s">
        <v>38</v>
      </c>
      <c r="V144" s="2" t="s">
        <v>61</v>
      </c>
      <c r="W144" s="3">
        <v>45598</v>
      </c>
      <c r="X144" s="2" t="b">
        <v>0</v>
      </c>
      <c r="Y144" s="2" t="b">
        <v>1</v>
      </c>
      <c r="Z144" s="2" t="s">
        <v>40</v>
      </c>
      <c r="AA144" s="2" t="s">
        <v>41</v>
      </c>
      <c r="AB144" s="2">
        <v>4</v>
      </c>
      <c r="AC144" s="2">
        <f>SUMIF(N:N,Ecommerce_Consumer_Behavior_Analysis_Data3[[#This Row],[Brand_Loyalty]],M:M)</f>
        <v>603</v>
      </c>
      <c r="AD144" s="2" t="e" cm="1" vm="1">
        <f t="array" aca="1" ref="AD144" ca="1">SUMIFS(Y:Y,Ecommerce_Consumer_Behavior_Analysis_Data3[[#This Row],[Payment_Method]],V:V)</f>
        <v>#VALUE!</v>
      </c>
      <c r="AE144" s="2">
        <f t="shared" si="5"/>
        <v>333.8</v>
      </c>
    </row>
    <row r="145" spans="1:31" x14ac:dyDescent="0.25">
      <c r="A145" s="2" t="s">
        <v>378</v>
      </c>
      <c r="B145" s="2">
        <v>19</v>
      </c>
      <c r="C145" s="2" t="s">
        <v>352</v>
      </c>
      <c r="D145" s="2" t="s">
        <v>44</v>
      </c>
      <c r="E145" s="2" t="s">
        <v>55</v>
      </c>
      <c r="F145" s="2" t="s">
        <v>32</v>
      </c>
      <c r="G145" s="2" t="s">
        <v>44</v>
      </c>
      <c r="H145" s="2" t="s">
        <v>379</v>
      </c>
      <c r="I145" s="2" t="s">
        <v>47</v>
      </c>
      <c r="J145" s="2">
        <v>395.01</v>
      </c>
      <c r="K145" s="2">
        <v>2</v>
      </c>
      <c r="L145" s="2" t="s">
        <v>35</v>
      </c>
      <c r="M145" s="2">
        <v>1</v>
      </c>
      <c r="N145" s="2">
        <v>2</v>
      </c>
      <c r="O145" s="2">
        <v>2</v>
      </c>
      <c r="P145" s="2" t="s">
        <v>49</v>
      </c>
      <c r="Q145" s="2" t="s">
        <v>85</v>
      </c>
      <c r="R145" s="2">
        <v>0</v>
      </c>
      <c r="S145" s="2">
        <v>6</v>
      </c>
      <c r="T145" s="2" t="s">
        <v>49</v>
      </c>
      <c r="U145" s="2" t="s">
        <v>79</v>
      </c>
      <c r="V145" s="2" t="s">
        <v>39</v>
      </c>
      <c r="W145" s="3">
        <v>45400</v>
      </c>
      <c r="X145" s="2" t="b">
        <v>1</v>
      </c>
      <c r="Y145" s="2" t="b">
        <v>0</v>
      </c>
      <c r="Z145" s="2" t="s">
        <v>52</v>
      </c>
      <c r="AA145" s="2" t="s">
        <v>53</v>
      </c>
      <c r="AB145" s="2">
        <v>3</v>
      </c>
      <c r="AC145" s="2">
        <f>SUMIF(N:N,Ecommerce_Consumer_Behavior_Analysis_Data3[[#This Row],[Brand_Loyalty]],M:M)</f>
        <v>603</v>
      </c>
      <c r="AD145" s="2" t="e" cm="1" vm="1">
        <f t="array" aca="1" ref="AD145" ca="1">SUMIFS(Y:Y,Ecommerce_Consumer_Behavior_Analysis_Data3[[#This Row],[Payment_Method]],V:V)</f>
        <v>#VALUE!</v>
      </c>
      <c r="AE145" s="2">
        <f t="shared" si="5"/>
        <v>333.8</v>
      </c>
    </row>
    <row r="146" spans="1:31" x14ac:dyDescent="0.25">
      <c r="A146" s="2" t="s">
        <v>380</v>
      </c>
      <c r="B146" s="2">
        <v>41</v>
      </c>
      <c r="C146" s="2" t="s">
        <v>43</v>
      </c>
      <c r="D146" s="2" t="s">
        <v>30</v>
      </c>
      <c r="E146" s="2" t="s">
        <v>31</v>
      </c>
      <c r="F146" s="2" t="s">
        <v>32</v>
      </c>
      <c r="G146" s="2" t="s">
        <v>44</v>
      </c>
      <c r="H146" s="2" t="s">
        <v>381</v>
      </c>
      <c r="I146" s="2" t="s">
        <v>117</v>
      </c>
      <c r="J146" s="2">
        <v>371.19</v>
      </c>
      <c r="K146" s="2">
        <v>10</v>
      </c>
      <c r="L146" s="2" t="s">
        <v>35</v>
      </c>
      <c r="M146" s="2">
        <v>1</v>
      </c>
      <c r="N146" s="2">
        <v>2</v>
      </c>
      <c r="O146" s="2">
        <v>2</v>
      </c>
      <c r="P146" s="2" t="s">
        <v>44</v>
      </c>
      <c r="Q146" s="2" t="s">
        <v>37</v>
      </c>
      <c r="R146" s="2">
        <v>1</v>
      </c>
      <c r="S146" s="2">
        <v>8</v>
      </c>
      <c r="T146" s="2" t="s">
        <v>49</v>
      </c>
      <c r="U146" s="2" t="s">
        <v>79</v>
      </c>
      <c r="V146" s="2" t="s">
        <v>39</v>
      </c>
      <c r="W146" s="3">
        <v>45531</v>
      </c>
      <c r="X146" s="2" t="b">
        <v>0</v>
      </c>
      <c r="Y146" s="2" t="b">
        <v>0</v>
      </c>
      <c r="Z146" s="2" t="s">
        <v>74</v>
      </c>
      <c r="AA146" s="2" t="s">
        <v>67</v>
      </c>
      <c r="AB146" s="2">
        <v>1</v>
      </c>
      <c r="AC146" s="2">
        <f>SUMIF(N:N,Ecommerce_Consumer_Behavior_Analysis_Data3[[#This Row],[Brand_Loyalty]],M:M)</f>
        <v>603</v>
      </c>
      <c r="AD146" s="2" t="e" cm="1" vm="1">
        <f t="array" aca="1" ref="AD146" ca="1">SUMIFS(Y:Y,Ecommerce_Consumer_Behavior_Analysis_Data3[[#This Row],[Payment_Method]],V:V)</f>
        <v>#VALUE!</v>
      </c>
      <c r="AE146" s="2">
        <f t="shared" si="5"/>
        <v>101.31</v>
      </c>
    </row>
    <row r="147" spans="1:31" x14ac:dyDescent="0.25">
      <c r="A147" s="2" t="s">
        <v>382</v>
      </c>
      <c r="B147" s="2">
        <v>33</v>
      </c>
      <c r="C147" s="2" t="s">
        <v>29</v>
      </c>
      <c r="D147" s="2" t="s">
        <v>30</v>
      </c>
      <c r="E147" s="2" t="s">
        <v>31</v>
      </c>
      <c r="F147" s="2" t="s">
        <v>56</v>
      </c>
      <c r="G147" s="2" t="s">
        <v>44</v>
      </c>
      <c r="H147" s="2" t="s">
        <v>383</v>
      </c>
      <c r="I147" s="2" t="s">
        <v>117</v>
      </c>
      <c r="J147" s="2">
        <v>193.76</v>
      </c>
      <c r="K147" s="2">
        <v>10</v>
      </c>
      <c r="L147" s="2" t="s">
        <v>35</v>
      </c>
      <c r="M147" s="2">
        <v>4</v>
      </c>
      <c r="N147" s="2">
        <v>3</v>
      </c>
      <c r="O147" s="2">
        <v>1</v>
      </c>
      <c r="P147" s="2" t="s">
        <v>49</v>
      </c>
      <c r="Q147" s="2" t="s">
        <v>50</v>
      </c>
      <c r="R147" s="2">
        <v>0</v>
      </c>
      <c r="S147" s="2">
        <v>2</v>
      </c>
      <c r="T147" s="2" t="s">
        <v>59</v>
      </c>
      <c r="U147" s="2" t="s">
        <v>79</v>
      </c>
      <c r="V147" s="2" t="s">
        <v>61</v>
      </c>
      <c r="W147" s="3">
        <v>45325</v>
      </c>
      <c r="X147" s="2" t="b">
        <v>0</v>
      </c>
      <c r="Y147" s="2" t="b">
        <v>0</v>
      </c>
      <c r="Z147" s="2" t="s">
        <v>52</v>
      </c>
      <c r="AA147" s="2" t="s">
        <v>41</v>
      </c>
      <c r="AB147" s="2">
        <v>12</v>
      </c>
      <c r="AC147" s="2">
        <f>SUMIF(N:N,Ecommerce_Consumer_Behavior_Analysis_Data3[[#This Row],[Brand_Loyalty]],M:M)</f>
        <v>603</v>
      </c>
      <c r="AD147" s="2" t="e" cm="1" vm="1">
        <f t="array" aca="1" ref="AD147" ca="1">SUMIFS(Y:Y,Ecommerce_Consumer_Behavior_Analysis_Data3[[#This Row],[Payment_Method]],V:V)</f>
        <v>#VALUE!</v>
      </c>
      <c r="AE147" s="2">
        <f t="shared" si="5"/>
        <v>333.8</v>
      </c>
    </row>
    <row r="148" spans="1:31" x14ac:dyDescent="0.25">
      <c r="A148" s="2" t="s">
        <v>384</v>
      </c>
      <c r="B148" s="2">
        <v>43</v>
      </c>
      <c r="C148" s="2" t="s">
        <v>43</v>
      </c>
      <c r="D148" s="2" t="s">
        <v>30</v>
      </c>
      <c r="E148" s="2" t="s">
        <v>76</v>
      </c>
      <c r="F148" s="2" t="s">
        <v>56</v>
      </c>
      <c r="G148" s="2" t="s">
        <v>44</v>
      </c>
      <c r="H148" s="2" t="s">
        <v>385</v>
      </c>
      <c r="I148" s="2" t="s">
        <v>123</v>
      </c>
      <c r="J148" s="2">
        <v>424.27</v>
      </c>
      <c r="K148" s="2">
        <v>6</v>
      </c>
      <c r="L148" s="2" t="s">
        <v>78</v>
      </c>
      <c r="M148" s="2">
        <v>1</v>
      </c>
      <c r="N148" s="2">
        <v>4</v>
      </c>
      <c r="O148" s="2">
        <v>2</v>
      </c>
      <c r="P148" s="2" t="s">
        <v>36</v>
      </c>
      <c r="Q148" s="2" t="s">
        <v>50</v>
      </c>
      <c r="R148" s="2">
        <v>2</v>
      </c>
      <c r="S148" s="2">
        <v>8</v>
      </c>
      <c r="T148" s="2" t="s">
        <v>59</v>
      </c>
      <c r="U148" s="2" t="s">
        <v>38</v>
      </c>
      <c r="V148" s="2" t="s">
        <v>86</v>
      </c>
      <c r="W148" s="3">
        <v>45550</v>
      </c>
      <c r="X148" s="2" t="b">
        <v>1</v>
      </c>
      <c r="Y148" s="2" t="b">
        <v>1</v>
      </c>
      <c r="Z148" s="2" t="s">
        <v>74</v>
      </c>
      <c r="AA148" s="2" t="s">
        <v>53</v>
      </c>
      <c r="AB148" s="2">
        <v>12</v>
      </c>
      <c r="AC148" s="2">
        <f>SUMIF(N:N,Ecommerce_Consumer_Behavior_Analysis_Data3[[#This Row],[Brand_Loyalty]],M:M)</f>
        <v>603</v>
      </c>
      <c r="AD148" s="2" t="e" cm="1" vm="1">
        <f t="array" aca="1" ref="AD148" ca="1">SUMIFS(Y:Y,Ecommerce_Consumer_Behavior_Analysis_Data3[[#This Row],[Payment_Method]],V:V)</f>
        <v>#VALUE!</v>
      </c>
      <c r="AE148" s="2">
        <f t="shared" si="5"/>
        <v>101.31</v>
      </c>
    </row>
    <row r="149" spans="1:31" x14ac:dyDescent="0.25">
      <c r="A149" s="2" t="s">
        <v>386</v>
      </c>
      <c r="B149" s="2">
        <v>38</v>
      </c>
      <c r="C149" s="2" t="s">
        <v>43</v>
      </c>
      <c r="D149" s="2" t="s">
        <v>44</v>
      </c>
      <c r="E149" s="2" t="s">
        <v>55</v>
      </c>
      <c r="F149" s="2" t="s">
        <v>32</v>
      </c>
      <c r="G149" s="2" t="s">
        <v>44</v>
      </c>
      <c r="H149" s="2" t="s">
        <v>387</v>
      </c>
      <c r="I149" s="2" t="s">
        <v>246</v>
      </c>
      <c r="J149" s="2">
        <v>496.11</v>
      </c>
      <c r="K149" s="2">
        <v>2</v>
      </c>
      <c r="L149" s="2" t="s">
        <v>35</v>
      </c>
      <c r="M149" s="2">
        <v>2</v>
      </c>
      <c r="N149" s="2">
        <v>3</v>
      </c>
      <c r="O149" s="2">
        <v>1</v>
      </c>
      <c r="P149" s="2" t="s">
        <v>44</v>
      </c>
      <c r="Q149" s="2" t="s">
        <v>37</v>
      </c>
      <c r="R149" s="2">
        <v>2</v>
      </c>
      <c r="S149" s="2">
        <v>8</v>
      </c>
      <c r="T149" s="2" t="s">
        <v>44</v>
      </c>
      <c r="U149" s="2" t="s">
        <v>60</v>
      </c>
      <c r="V149" s="2" t="s">
        <v>51</v>
      </c>
      <c r="W149" s="3">
        <v>45451</v>
      </c>
      <c r="X149" s="2" t="b">
        <v>1</v>
      </c>
      <c r="Y149" s="2" t="b">
        <v>0</v>
      </c>
      <c r="Z149" s="2" t="s">
        <v>62</v>
      </c>
      <c r="AA149" s="2" t="s">
        <v>53</v>
      </c>
      <c r="AB149" s="2">
        <v>12</v>
      </c>
      <c r="AC149" s="2">
        <f>SUMIF(N:N,Ecommerce_Consumer_Behavior_Analysis_Data3[[#This Row],[Brand_Loyalty]],M:M)</f>
        <v>582</v>
      </c>
      <c r="AD149" s="2" t="e" cm="1" vm="1">
        <f t="array" aca="1" ref="AD149" ca="1">SUMIFS(Y:Y,Ecommerce_Consumer_Behavior_Analysis_Data3[[#This Row],[Payment_Method]],V:V)</f>
        <v>#VALUE!</v>
      </c>
      <c r="AE149" s="2">
        <f t="shared" si="5"/>
        <v>211.7</v>
      </c>
    </row>
    <row r="150" spans="1:31" x14ac:dyDescent="0.25">
      <c r="A150" s="2" t="s">
        <v>388</v>
      </c>
      <c r="B150" s="2">
        <v>41</v>
      </c>
      <c r="C150" s="2" t="s">
        <v>43</v>
      </c>
      <c r="D150" s="2" t="s">
        <v>44</v>
      </c>
      <c r="E150" s="2" t="s">
        <v>69</v>
      </c>
      <c r="F150" s="2" t="s">
        <v>32</v>
      </c>
      <c r="G150" s="2" t="s">
        <v>30</v>
      </c>
      <c r="H150" s="2" t="s">
        <v>389</v>
      </c>
      <c r="I150" s="2" t="s">
        <v>123</v>
      </c>
      <c r="J150" s="2">
        <v>341.91</v>
      </c>
      <c r="K150" s="2">
        <v>3</v>
      </c>
      <c r="L150" s="2" t="s">
        <v>78</v>
      </c>
      <c r="M150" s="2">
        <v>4</v>
      </c>
      <c r="N150" s="2">
        <v>4</v>
      </c>
      <c r="O150" s="2">
        <v>0</v>
      </c>
      <c r="P150" s="2" t="s">
        <v>59</v>
      </c>
      <c r="Q150" s="2" t="s">
        <v>50</v>
      </c>
      <c r="R150" s="2">
        <v>1</v>
      </c>
      <c r="S150" s="2">
        <v>9</v>
      </c>
      <c r="T150" s="2" t="s">
        <v>36</v>
      </c>
      <c r="U150" s="2" t="s">
        <v>38</v>
      </c>
      <c r="V150" s="2" t="s">
        <v>86</v>
      </c>
      <c r="W150" s="3">
        <v>45443</v>
      </c>
      <c r="X150" s="2" t="b">
        <v>0</v>
      </c>
      <c r="Y150" s="2" t="b">
        <v>0</v>
      </c>
      <c r="Z150" s="2" t="s">
        <v>62</v>
      </c>
      <c r="AA150" s="2" t="s">
        <v>67</v>
      </c>
      <c r="AB150" s="2">
        <v>7</v>
      </c>
      <c r="AC150" s="2">
        <f>SUMIF(N:N,Ecommerce_Consumer_Behavior_Analysis_Data3[[#This Row],[Brand_Loyalty]],M:M)</f>
        <v>603</v>
      </c>
      <c r="AD150" s="2" t="e" cm="1" vm="1">
        <f t="array" aca="1" ref="AD150" ca="1">SUMIFS(Y:Y,Ecommerce_Consumer_Behavior_Analysis_Data3[[#This Row],[Payment_Method]],V:V)</f>
        <v>#VALUE!</v>
      </c>
      <c r="AE150" s="2">
        <f t="shared" si="5"/>
        <v>333.8</v>
      </c>
    </row>
    <row r="151" spans="1:31" x14ac:dyDescent="0.25">
      <c r="A151" s="2" t="s">
        <v>390</v>
      </c>
      <c r="B151" s="2">
        <v>40</v>
      </c>
      <c r="C151" s="2" t="s">
        <v>43</v>
      </c>
      <c r="D151" s="2" t="s">
        <v>44</v>
      </c>
      <c r="E151" s="2" t="s">
        <v>31</v>
      </c>
      <c r="F151" s="2" t="s">
        <v>56</v>
      </c>
      <c r="G151" s="2" t="s">
        <v>44</v>
      </c>
      <c r="H151" s="2" t="s">
        <v>391</v>
      </c>
      <c r="I151" s="2" t="s">
        <v>34</v>
      </c>
      <c r="J151" s="2">
        <v>127.66</v>
      </c>
      <c r="K151" s="2">
        <v>11</v>
      </c>
      <c r="L151" s="2" t="s">
        <v>78</v>
      </c>
      <c r="M151" s="2">
        <v>1</v>
      </c>
      <c r="N151" s="2">
        <v>2</v>
      </c>
      <c r="O151" s="2">
        <v>2</v>
      </c>
      <c r="P151" s="2" t="s">
        <v>59</v>
      </c>
      <c r="Q151" s="2" t="s">
        <v>50</v>
      </c>
      <c r="R151" s="2">
        <v>2</v>
      </c>
      <c r="S151" s="2">
        <v>7</v>
      </c>
      <c r="T151" s="2" t="s">
        <v>36</v>
      </c>
      <c r="U151" s="2" t="s">
        <v>60</v>
      </c>
      <c r="V151" s="2" t="s">
        <v>39</v>
      </c>
      <c r="W151" s="3">
        <v>45345</v>
      </c>
      <c r="X151" s="2" t="b">
        <v>0</v>
      </c>
      <c r="Y151" s="2" t="b">
        <v>1</v>
      </c>
      <c r="Z151" s="2" t="s">
        <v>74</v>
      </c>
      <c r="AA151" s="2" t="s">
        <v>53</v>
      </c>
      <c r="AB151" s="2">
        <v>7</v>
      </c>
      <c r="AC151" s="2">
        <f>SUMIF(N:N,Ecommerce_Consumer_Behavior_Analysis_Data3[[#This Row],[Brand_Loyalty]],M:M)</f>
        <v>603</v>
      </c>
      <c r="AD151" s="2" t="e" cm="1" vm="1">
        <f t="array" aca="1" ref="AD151" ca="1">SUMIFS(Y:Y,Ecommerce_Consumer_Behavior_Analysis_Data3[[#This Row],[Payment_Method]],V:V)</f>
        <v>#VALUE!</v>
      </c>
      <c r="AE151" s="2">
        <f t="shared" si="5"/>
        <v>333.8</v>
      </c>
    </row>
    <row r="152" spans="1:31" x14ac:dyDescent="0.25">
      <c r="A152" s="2" t="s">
        <v>392</v>
      </c>
      <c r="B152" s="2">
        <v>47</v>
      </c>
      <c r="C152" s="2" t="s">
        <v>148</v>
      </c>
      <c r="D152" s="2" t="s">
        <v>30</v>
      </c>
      <c r="E152" s="2" t="s">
        <v>55</v>
      </c>
      <c r="F152" s="2" t="s">
        <v>32</v>
      </c>
      <c r="G152" s="2" t="s">
        <v>30</v>
      </c>
      <c r="H152" s="2" t="s">
        <v>393</v>
      </c>
      <c r="I152" s="2" t="s">
        <v>120</v>
      </c>
      <c r="J152" s="2">
        <v>227.47</v>
      </c>
      <c r="K152" s="2">
        <v>2</v>
      </c>
      <c r="L152" s="2" t="s">
        <v>78</v>
      </c>
      <c r="M152" s="2">
        <v>2</v>
      </c>
      <c r="N152" s="2">
        <v>2</v>
      </c>
      <c r="O152" s="2">
        <v>2</v>
      </c>
      <c r="P152" s="2" t="s">
        <v>59</v>
      </c>
      <c r="Q152" s="2" t="s">
        <v>85</v>
      </c>
      <c r="R152" s="2">
        <v>1</v>
      </c>
      <c r="S152" s="2">
        <v>4</v>
      </c>
      <c r="T152" s="2" t="s">
        <v>44</v>
      </c>
      <c r="U152" s="2" t="s">
        <v>38</v>
      </c>
      <c r="V152" s="2" t="s">
        <v>66</v>
      </c>
      <c r="W152" s="3">
        <v>45595</v>
      </c>
      <c r="X152" s="2" t="b">
        <v>1</v>
      </c>
      <c r="Y152" s="2" t="b">
        <v>0</v>
      </c>
      <c r="Z152" s="2" t="s">
        <v>40</v>
      </c>
      <c r="AA152" s="2" t="s">
        <v>67</v>
      </c>
      <c r="AB152" s="2">
        <v>9</v>
      </c>
      <c r="AC152" s="2">
        <f>SUMIF(N:N,Ecommerce_Consumer_Behavior_Analysis_Data3[[#This Row],[Brand_Loyalty]],M:M)</f>
        <v>582</v>
      </c>
      <c r="AD152" s="2" t="e" cm="1" vm="1">
        <f t="array" aca="1" ref="AD152" ca="1">SUMIFS(Y:Y,Ecommerce_Consumer_Behavior_Analysis_Data3[[#This Row],[Payment_Method]],V:V)</f>
        <v>#VALUE!</v>
      </c>
      <c r="AE152" s="2">
        <f t="shared" si="5"/>
        <v>333.8</v>
      </c>
    </row>
    <row r="153" spans="1:31" x14ac:dyDescent="0.25">
      <c r="A153" s="2" t="s">
        <v>394</v>
      </c>
      <c r="B153" s="2">
        <v>35</v>
      </c>
      <c r="C153" s="2" t="s">
        <v>43</v>
      </c>
      <c r="D153" s="2" t="s">
        <v>44</v>
      </c>
      <c r="E153" s="2" t="s">
        <v>69</v>
      </c>
      <c r="F153" s="2" t="s">
        <v>32</v>
      </c>
      <c r="G153" s="2" t="s">
        <v>44</v>
      </c>
      <c r="H153" s="2" t="s">
        <v>395</v>
      </c>
      <c r="I153" s="2" t="s">
        <v>142</v>
      </c>
      <c r="J153" s="2">
        <v>342.99</v>
      </c>
      <c r="K153" s="2">
        <v>3</v>
      </c>
      <c r="L153" s="2" t="s">
        <v>48</v>
      </c>
      <c r="M153" s="2">
        <v>4</v>
      </c>
      <c r="N153" s="2">
        <v>2</v>
      </c>
      <c r="O153" s="2">
        <v>2</v>
      </c>
      <c r="P153" s="2" t="s">
        <v>59</v>
      </c>
      <c r="Q153" s="2" t="s">
        <v>85</v>
      </c>
      <c r="R153" s="2">
        <v>0</v>
      </c>
      <c r="S153" s="2">
        <v>6</v>
      </c>
      <c r="T153" s="2" t="s">
        <v>49</v>
      </c>
      <c r="U153" s="2" t="s">
        <v>60</v>
      </c>
      <c r="V153" s="2" t="s">
        <v>66</v>
      </c>
      <c r="W153" s="3">
        <v>45618</v>
      </c>
      <c r="X153" s="2" t="b">
        <v>0</v>
      </c>
      <c r="Y153" s="2" t="b">
        <v>1</v>
      </c>
      <c r="Z153" s="2" t="s">
        <v>62</v>
      </c>
      <c r="AA153" s="2" t="s">
        <v>67</v>
      </c>
      <c r="AB153" s="2">
        <v>6</v>
      </c>
      <c r="AC153" s="2">
        <f>SUMIF(N:N,Ecommerce_Consumer_Behavior_Analysis_Data3[[#This Row],[Brand_Loyalty]],M:M)</f>
        <v>603</v>
      </c>
      <c r="AD153" s="2" t="e" cm="1" vm="1">
        <f t="array" aca="1" ref="AD153" ca="1">SUMIFS(Y:Y,Ecommerce_Consumer_Behavior_Analysis_Data3[[#This Row],[Payment_Method]],V:V)</f>
        <v>#VALUE!</v>
      </c>
      <c r="AE153" s="2">
        <f t="shared" si="5"/>
        <v>211.7</v>
      </c>
    </row>
    <row r="154" spans="1:31" x14ac:dyDescent="0.25">
      <c r="A154" s="2" t="s">
        <v>396</v>
      </c>
      <c r="B154" s="2">
        <v>49</v>
      </c>
      <c r="C154" s="2" t="s">
        <v>190</v>
      </c>
      <c r="D154" s="2" t="s">
        <v>44</v>
      </c>
      <c r="E154" s="2" t="s">
        <v>31</v>
      </c>
      <c r="F154" s="2" t="s">
        <v>56</v>
      </c>
      <c r="G154" s="2" t="s">
        <v>30</v>
      </c>
      <c r="H154" s="2" t="s">
        <v>397</v>
      </c>
      <c r="I154" s="2" t="s">
        <v>114</v>
      </c>
      <c r="J154" s="2">
        <v>306.48</v>
      </c>
      <c r="K154" s="2">
        <v>5</v>
      </c>
      <c r="L154" s="2" t="s">
        <v>35</v>
      </c>
      <c r="M154" s="2">
        <v>1</v>
      </c>
      <c r="N154" s="2">
        <v>3</v>
      </c>
      <c r="O154" s="2">
        <v>0</v>
      </c>
      <c r="P154" s="2" t="s">
        <v>49</v>
      </c>
      <c r="Q154" s="2" t="s">
        <v>85</v>
      </c>
      <c r="R154" s="2">
        <v>0</v>
      </c>
      <c r="S154" s="2">
        <v>9</v>
      </c>
      <c r="T154" s="2" t="s">
        <v>59</v>
      </c>
      <c r="U154" s="2" t="s">
        <v>38</v>
      </c>
      <c r="V154" s="2" t="s">
        <v>39</v>
      </c>
      <c r="W154" s="3">
        <v>45550</v>
      </c>
      <c r="X154" s="2" t="b">
        <v>0</v>
      </c>
      <c r="Y154" s="2" t="b">
        <v>1</v>
      </c>
      <c r="Z154" s="2" t="s">
        <v>40</v>
      </c>
      <c r="AA154" s="2" t="s">
        <v>53</v>
      </c>
      <c r="AB154" s="2">
        <v>14</v>
      </c>
      <c r="AC154" s="2">
        <f>SUMIF(N:N,Ecommerce_Consumer_Behavior_Analysis_Data3[[#This Row],[Brand_Loyalty]],M:M)</f>
        <v>603</v>
      </c>
      <c r="AD154" s="2" t="e" cm="1" vm="1">
        <f t="array" aca="1" ref="AD154" ca="1">SUMIFS(Y:Y,Ecommerce_Consumer_Behavior_Analysis_Data3[[#This Row],[Payment_Method]],V:V)</f>
        <v>#VALUE!</v>
      </c>
      <c r="AE154" s="2">
        <f t="shared" si="5"/>
        <v>211.7</v>
      </c>
    </row>
    <row r="155" spans="1:31" x14ac:dyDescent="0.25">
      <c r="A155" s="2" t="s">
        <v>398</v>
      </c>
      <c r="B155" s="2">
        <v>22</v>
      </c>
      <c r="C155" s="2" t="s">
        <v>43</v>
      </c>
      <c r="D155" s="2" t="s">
        <v>30</v>
      </c>
      <c r="E155" s="2" t="s">
        <v>76</v>
      </c>
      <c r="F155" s="2" t="s">
        <v>56</v>
      </c>
      <c r="G155" s="2" t="s">
        <v>44</v>
      </c>
      <c r="H155" s="2" t="s">
        <v>399</v>
      </c>
      <c r="I155" s="2" t="s">
        <v>65</v>
      </c>
      <c r="J155" s="2">
        <v>308.54000000000002</v>
      </c>
      <c r="K155" s="2">
        <v>3</v>
      </c>
      <c r="L155" s="2" t="s">
        <v>35</v>
      </c>
      <c r="M155" s="2">
        <v>1</v>
      </c>
      <c r="N155" s="2">
        <v>3</v>
      </c>
      <c r="O155" s="2">
        <v>0</v>
      </c>
      <c r="P155" s="2" t="s">
        <v>44</v>
      </c>
      <c r="Q155" s="2" t="s">
        <v>50</v>
      </c>
      <c r="R155" s="2">
        <v>1</v>
      </c>
      <c r="S155" s="2">
        <v>5</v>
      </c>
      <c r="T155" s="2" t="s">
        <v>44</v>
      </c>
      <c r="U155" s="2" t="s">
        <v>79</v>
      </c>
      <c r="V155" s="2" t="s">
        <v>39</v>
      </c>
      <c r="W155" s="3">
        <v>45564</v>
      </c>
      <c r="X155" s="2" t="b">
        <v>0</v>
      </c>
      <c r="Y155" s="2" t="b">
        <v>1</v>
      </c>
      <c r="Z155" s="2" t="s">
        <v>52</v>
      </c>
      <c r="AA155" s="2" t="s">
        <v>53</v>
      </c>
      <c r="AB155" s="2">
        <v>7</v>
      </c>
      <c r="AC155" s="2">
        <f>SUMIF(N:N,Ecommerce_Consumer_Behavior_Analysis_Data3[[#This Row],[Brand_Loyalty]],M:M)</f>
        <v>603</v>
      </c>
      <c r="AD155" s="2" t="e" cm="1" vm="1">
        <f t="array" aca="1" ref="AD155" ca="1">SUMIFS(Y:Y,Ecommerce_Consumer_Behavior_Analysis_Data3[[#This Row],[Payment_Method]],V:V)</f>
        <v>#VALUE!</v>
      </c>
      <c r="AE155" s="2">
        <f t="shared" si="5"/>
        <v>333.8</v>
      </c>
    </row>
    <row r="156" spans="1:31" x14ac:dyDescent="0.25">
      <c r="A156" s="2" t="s">
        <v>400</v>
      </c>
      <c r="B156" s="2">
        <v>49</v>
      </c>
      <c r="C156" s="2" t="s">
        <v>43</v>
      </c>
      <c r="D156" s="2" t="s">
        <v>44</v>
      </c>
      <c r="E156" s="2" t="s">
        <v>55</v>
      </c>
      <c r="F156" s="2" t="s">
        <v>56</v>
      </c>
      <c r="G156" s="2" t="s">
        <v>30</v>
      </c>
      <c r="H156" s="2" t="s">
        <v>401</v>
      </c>
      <c r="I156" s="2" t="s">
        <v>194</v>
      </c>
      <c r="J156" s="2">
        <v>124.17</v>
      </c>
      <c r="K156" s="2">
        <v>12</v>
      </c>
      <c r="L156" s="2" t="s">
        <v>35</v>
      </c>
      <c r="M156" s="2">
        <v>5</v>
      </c>
      <c r="N156" s="2">
        <v>2</v>
      </c>
      <c r="O156" s="2">
        <v>2</v>
      </c>
      <c r="P156" s="2" t="s">
        <v>44</v>
      </c>
      <c r="Q156" s="2" t="s">
        <v>85</v>
      </c>
      <c r="R156" s="2">
        <v>2</v>
      </c>
      <c r="S156" s="2">
        <v>4</v>
      </c>
      <c r="T156" s="2" t="s">
        <v>44</v>
      </c>
      <c r="U156" s="2" t="s">
        <v>60</v>
      </c>
      <c r="V156" s="2" t="s">
        <v>61</v>
      </c>
      <c r="W156" s="3">
        <v>45612</v>
      </c>
      <c r="X156" s="2" t="b">
        <v>1</v>
      </c>
      <c r="Y156" s="2" t="b">
        <v>1</v>
      </c>
      <c r="Z156" s="2" t="s">
        <v>74</v>
      </c>
      <c r="AA156" s="2" t="s">
        <v>53</v>
      </c>
      <c r="AB156" s="2">
        <v>6</v>
      </c>
      <c r="AC156" s="2">
        <f>SUMIF(N:N,Ecommerce_Consumer_Behavior_Analysis_Data3[[#This Row],[Brand_Loyalty]],M:M)</f>
        <v>641</v>
      </c>
      <c r="AD156" s="2" t="e" cm="1" vm="1">
        <f t="array" aca="1" ref="AD156" ca="1">SUMIFS(Y:Y,Ecommerce_Consumer_Behavior_Analysis_Data3[[#This Row],[Payment_Method]],V:V)</f>
        <v>#VALUE!</v>
      </c>
      <c r="AE156" s="2">
        <f t="shared" si="5"/>
        <v>211.7</v>
      </c>
    </row>
    <row r="157" spans="1:31" x14ac:dyDescent="0.25">
      <c r="A157" s="2" t="s">
        <v>402</v>
      </c>
      <c r="B157" s="2">
        <v>27</v>
      </c>
      <c r="C157" s="2" t="s">
        <v>29</v>
      </c>
      <c r="D157" s="2" t="s">
        <v>30</v>
      </c>
      <c r="E157" s="2" t="s">
        <v>31</v>
      </c>
      <c r="F157" s="2" t="s">
        <v>56</v>
      </c>
      <c r="G157" s="2" t="s">
        <v>30</v>
      </c>
      <c r="H157" s="2" t="s">
        <v>403</v>
      </c>
      <c r="I157" s="2" t="s">
        <v>194</v>
      </c>
      <c r="J157" s="2">
        <v>78</v>
      </c>
      <c r="K157" s="2">
        <v>5</v>
      </c>
      <c r="L157" s="2" t="s">
        <v>78</v>
      </c>
      <c r="M157" s="2">
        <v>1</v>
      </c>
      <c r="N157" s="2">
        <v>5</v>
      </c>
      <c r="O157" s="2">
        <v>0</v>
      </c>
      <c r="P157" s="2" t="s">
        <v>36</v>
      </c>
      <c r="Q157" s="2" t="s">
        <v>50</v>
      </c>
      <c r="R157" s="2">
        <v>1</v>
      </c>
      <c r="S157" s="2">
        <v>1</v>
      </c>
      <c r="T157" s="2" t="s">
        <v>59</v>
      </c>
      <c r="U157" s="2" t="s">
        <v>79</v>
      </c>
      <c r="V157" s="2" t="s">
        <v>61</v>
      </c>
      <c r="W157" s="3">
        <v>45605</v>
      </c>
      <c r="X157" s="2" t="b">
        <v>1</v>
      </c>
      <c r="Y157" s="2" t="b">
        <v>0</v>
      </c>
      <c r="Z157" s="2" t="s">
        <v>52</v>
      </c>
      <c r="AA157" s="2" t="s">
        <v>41</v>
      </c>
      <c r="AB157" s="2">
        <v>11</v>
      </c>
      <c r="AC157" s="2">
        <f>SUMIF(N:N,Ecommerce_Consumer_Behavior_Analysis_Data3[[#This Row],[Brand_Loyalty]],M:M)</f>
        <v>603</v>
      </c>
      <c r="AD157" s="2" t="e" cm="1" vm="1">
        <f t="array" aca="1" ref="AD157" ca="1">SUMIFS(Y:Y,Ecommerce_Consumer_Behavior_Analysis_Data3[[#This Row],[Payment_Method]],V:V)</f>
        <v>#VALUE!</v>
      </c>
      <c r="AE157" s="2">
        <f t="shared" si="5"/>
        <v>211.7</v>
      </c>
    </row>
    <row r="158" spans="1:31" x14ac:dyDescent="0.25">
      <c r="A158" s="2" t="s">
        <v>404</v>
      </c>
      <c r="B158" s="2">
        <v>27</v>
      </c>
      <c r="C158" s="2" t="s">
        <v>29</v>
      </c>
      <c r="D158" s="2" t="s">
        <v>44</v>
      </c>
      <c r="E158" s="2" t="s">
        <v>31</v>
      </c>
      <c r="F158" s="2" t="s">
        <v>32</v>
      </c>
      <c r="G158" s="2" t="s">
        <v>30</v>
      </c>
      <c r="H158" s="2" t="s">
        <v>405</v>
      </c>
      <c r="I158" s="2" t="s">
        <v>104</v>
      </c>
      <c r="J158" s="2">
        <v>393.03</v>
      </c>
      <c r="K158" s="2">
        <v>4</v>
      </c>
      <c r="L158" s="2" t="s">
        <v>35</v>
      </c>
      <c r="M158" s="2">
        <v>4</v>
      </c>
      <c r="N158" s="2">
        <v>4</v>
      </c>
      <c r="O158" s="2">
        <v>0</v>
      </c>
      <c r="P158" s="2" t="s">
        <v>44</v>
      </c>
      <c r="Q158" s="2" t="s">
        <v>37</v>
      </c>
      <c r="R158" s="2">
        <v>1</v>
      </c>
      <c r="S158" s="2">
        <v>3</v>
      </c>
      <c r="T158" s="2" t="s">
        <v>49</v>
      </c>
      <c r="U158" s="2" t="s">
        <v>60</v>
      </c>
      <c r="V158" s="2" t="s">
        <v>86</v>
      </c>
      <c r="W158" s="3">
        <v>45538</v>
      </c>
      <c r="X158" s="2" t="b">
        <v>1</v>
      </c>
      <c r="Y158" s="2" t="b">
        <v>1</v>
      </c>
      <c r="Z158" s="2" t="s">
        <v>74</v>
      </c>
      <c r="AA158" s="2" t="s">
        <v>53</v>
      </c>
      <c r="AB158" s="2">
        <v>7</v>
      </c>
      <c r="AC158" s="2">
        <f>SUMIF(N:N,Ecommerce_Consumer_Behavior_Analysis_Data3[[#This Row],[Brand_Loyalty]],M:M)</f>
        <v>603</v>
      </c>
      <c r="AD158" s="2" t="e" cm="1" vm="1">
        <f t="array" aca="1" ref="AD158" ca="1">SUMIFS(Y:Y,Ecommerce_Consumer_Behavior_Analysis_Data3[[#This Row],[Payment_Method]],V:V)</f>
        <v>#VALUE!</v>
      </c>
      <c r="AE158" s="2">
        <f t="shared" si="5"/>
        <v>211.7</v>
      </c>
    </row>
    <row r="159" spans="1:31" x14ac:dyDescent="0.25">
      <c r="A159" s="2" t="s">
        <v>406</v>
      </c>
      <c r="B159" s="2">
        <v>37</v>
      </c>
      <c r="C159" s="2" t="s">
        <v>29</v>
      </c>
      <c r="D159" s="2" t="s">
        <v>44</v>
      </c>
      <c r="E159" s="2" t="s">
        <v>55</v>
      </c>
      <c r="F159" s="2" t="s">
        <v>56</v>
      </c>
      <c r="G159" s="2" t="s">
        <v>30</v>
      </c>
      <c r="H159" s="2" t="s">
        <v>407</v>
      </c>
      <c r="I159" s="2" t="s">
        <v>107</v>
      </c>
      <c r="J159" s="2">
        <v>102.09</v>
      </c>
      <c r="K159" s="2">
        <v>3</v>
      </c>
      <c r="L159" s="2" t="s">
        <v>35</v>
      </c>
      <c r="M159" s="2">
        <v>1</v>
      </c>
      <c r="N159" s="2">
        <v>4</v>
      </c>
      <c r="O159" s="2">
        <v>0</v>
      </c>
      <c r="P159" s="2" t="s">
        <v>36</v>
      </c>
      <c r="Q159" s="2" t="s">
        <v>85</v>
      </c>
      <c r="R159" s="2">
        <v>1</v>
      </c>
      <c r="S159" s="2">
        <v>9</v>
      </c>
      <c r="T159" s="2" t="s">
        <v>49</v>
      </c>
      <c r="U159" s="2" t="s">
        <v>38</v>
      </c>
      <c r="V159" s="2" t="s">
        <v>51</v>
      </c>
      <c r="W159" s="3">
        <v>45364</v>
      </c>
      <c r="X159" s="2" t="b">
        <v>0</v>
      </c>
      <c r="Y159" s="2" t="b">
        <v>1</v>
      </c>
      <c r="Z159" s="2" t="s">
        <v>40</v>
      </c>
      <c r="AA159" s="2" t="s">
        <v>67</v>
      </c>
      <c r="AB159" s="2">
        <v>1</v>
      </c>
      <c r="AC159" s="2">
        <f>SUMIF(N:N,Ecommerce_Consumer_Behavior_Analysis_Data3[[#This Row],[Brand_Loyalty]],M:M)</f>
        <v>603</v>
      </c>
      <c r="AD159" s="2" t="e" cm="1" vm="1">
        <f t="array" aca="1" ref="AD159" ca="1">SUMIFS(Y:Y,Ecommerce_Consumer_Behavior_Analysis_Data3[[#This Row],[Payment_Method]],V:V)</f>
        <v>#VALUE!</v>
      </c>
      <c r="AE159" s="2">
        <f t="shared" si="5"/>
        <v>333.8</v>
      </c>
    </row>
    <row r="160" spans="1:31" x14ac:dyDescent="0.25">
      <c r="A160" s="2" t="s">
        <v>408</v>
      </c>
      <c r="B160" s="2">
        <v>32</v>
      </c>
      <c r="C160" s="2" t="s">
        <v>43</v>
      </c>
      <c r="D160" s="2" t="s">
        <v>30</v>
      </c>
      <c r="E160" s="2" t="s">
        <v>31</v>
      </c>
      <c r="F160" s="2" t="s">
        <v>32</v>
      </c>
      <c r="G160" s="2" t="s">
        <v>44</v>
      </c>
      <c r="H160" s="2" t="s">
        <v>409</v>
      </c>
      <c r="I160" s="2" t="s">
        <v>104</v>
      </c>
      <c r="J160" s="2">
        <v>426.21</v>
      </c>
      <c r="K160" s="2">
        <v>3</v>
      </c>
      <c r="L160" s="2" t="s">
        <v>35</v>
      </c>
      <c r="M160" s="2">
        <v>1</v>
      </c>
      <c r="N160" s="2">
        <v>4</v>
      </c>
      <c r="O160" s="2">
        <v>2</v>
      </c>
      <c r="P160" s="2" t="s">
        <v>44</v>
      </c>
      <c r="Q160" s="2" t="s">
        <v>37</v>
      </c>
      <c r="R160" s="2">
        <v>2</v>
      </c>
      <c r="S160" s="2">
        <v>5</v>
      </c>
      <c r="T160" s="2" t="s">
        <v>44</v>
      </c>
      <c r="U160" s="2" t="s">
        <v>60</v>
      </c>
      <c r="V160" s="2" t="s">
        <v>66</v>
      </c>
      <c r="W160" s="3">
        <v>45400</v>
      </c>
      <c r="X160" s="2" t="b">
        <v>0</v>
      </c>
      <c r="Y160" s="2" t="b">
        <v>1</v>
      </c>
      <c r="Z160" s="2" t="s">
        <v>52</v>
      </c>
      <c r="AA160" s="2" t="s">
        <v>53</v>
      </c>
      <c r="AB160" s="2">
        <v>2</v>
      </c>
      <c r="AC160" s="2">
        <f>SUMIF(N:N,Ecommerce_Consumer_Behavior_Analysis_Data3[[#This Row],[Brand_Loyalty]],M:M)</f>
        <v>603</v>
      </c>
      <c r="AD160" s="2" t="e" cm="1" vm="1">
        <f t="array" aca="1" ref="AD160" ca="1">SUMIFS(Y:Y,Ecommerce_Consumer_Behavior_Analysis_Data3[[#This Row],[Payment_Method]],V:V)</f>
        <v>#VALUE!</v>
      </c>
      <c r="AE160" s="2">
        <f t="shared" si="5"/>
        <v>101.31</v>
      </c>
    </row>
    <row r="161" spans="1:31" x14ac:dyDescent="0.25">
      <c r="A161" s="2" t="s">
        <v>410</v>
      </c>
      <c r="B161" s="2">
        <v>42</v>
      </c>
      <c r="C161" s="2" t="s">
        <v>43</v>
      </c>
      <c r="D161" s="2" t="s">
        <v>30</v>
      </c>
      <c r="E161" s="2" t="s">
        <v>69</v>
      </c>
      <c r="F161" s="2" t="s">
        <v>56</v>
      </c>
      <c r="G161" s="2" t="s">
        <v>44</v>
      </c>
      <c r="H161" s="2" t="s">
        <v>411</v>
      </c>
      <c r="I161" s="2" t="s">
        <v>135</v>
      </c>
      <c r="J161" s="2">
        <v>140.31</v>
      </c>
      <c r="K161" s="2">
        <v>2</v>
      </c>
      <c r="L161" s="2" t="s">
        <v>78</v>
      </c>
      <c r="M161" s="2">
        <v>2</v>
      </c>
      <c r="N161" s="2">
        <v>4</v>
      </c>
      <c r="O161" s="2">
        <v>1</v>
      </c>
      <c r="P161" s="2" t="s">
        <v>59</v>
      </c>
      <c r="Q161" s="2" t="s">
        <v>85</v>
      </c>
      <c r="R161" s="2">
        <v>2</v>
      </c>
      <c r="S161" s="2">
        <v>5</v>
      </c>
      <c r="T161" s="2" t="s">
        <v>36</v>
      </c>
      <c r="U161" s="2" t="s">
        <v>79</v>
      </c>
      <c r="V161" s="2" t="s">
        <v>86</v>
      </c>
      <c r="W161" s="3">
        <v>45433</v>
      </c>
      <c r="X161" s="2" t="b">
        <v>1</v>
      </c>
      <c r="Y161" s="2" t="b">
        <v>1</v>
      </c>
      <c r="Z161" s="2" t="s">
        <v>62</v>
      </c>
      <c r="AA161" s="2" t="s">
        <v>67</v>
      </c>
      <c r="AB161" s="2">
        <v>8</v>
      </c>
      <c r="AC161" s="2">
        <f>SUMIF(N:N,Ecommerce_Consumer_Behavior_Analysis_Data3[[#This Row],[Brand_Loyalty]],M:M)</f>
        <v>582</v>
      </c>
      <c r="AD161" s="2" t="e" cm="1" vm="1">
        <f t="array" aca="1" ref="AD161" ca="1">SUMIFS(Y:Y,Ecommerce_Consumer_Behavior_Analysis_Data3[[#This Row],[Payment_Method]],V:V)</f>
        <v>#VALUE!</v>
      </c>
      <c r="AE161" s="2">
        <f t="shared" si="5"/>
        <v>426.22</v>
      </c>
    </row>
    <row r="162" spans="1:31" x14ac:dyDescent="0.25">
      <c r="A162" s="2" t="s">
        <v>412</v>
      </c>
      <c r="B162" s="2">
        <v>18</v>
      </c>
      <c r="C162" s="2" t="s">
        <v>29</v>
      </c>
      <c r="D162" s="2" t="s">
        <v>44</v>
      </c>
      <c r="E162" s="2" t="s">
        <v>69</v>
      </c>
      <c r="F162" s="2" t="s">
        <v>56</v>
      </c>
      <c r="G162" s="2" t="s">
        <v>30</v>
      </c>
      <c r="H162" s="2" t="s">
        <v>413</v>
      </c>
      <c r="I162" s="2" t="s">
        <v>120</v>
      </c>
      <c r="J162" s="2">
        <v>413.7</v>
      </c>
      <c r="K162" s="2">
        <v>8</v>
      </c>
      <c r="L162" s="2" t="s">
        <v>35</v>
      </c>
      <c r="M162" s="2">
        <v>3</v>
      </c>
      <c r="N162" s="2">
        <v>3</v>
      </c>
      <c r="O162" s="2">
        <v>0.3</v>
      </c>
      <c r="P162" s="2" t="s">
        <v>59</v>
      </c>
      <c r="Q162" s="2" t="s">
        <v>85</v>
      </c>
      <c r="R162" s="2">
        <v>0</v>
      </c>
      <c r="S162" s="2">
        <v>9</v>
      </c>
      <c r="T162" s="2" t="s">
        <v>44</v>
      </c>
      <c r="U162" s="2" t="s">
        <v>79</v>
      </c>
      <c r="V162" s="2" t="s">
        <v>66</v>
      </c>
      <c r="W162" s="3">
        <v>45460</v>
      </c>
      <c r="X162" s="2" t="b">
        <v>0</v>
      </c>
      <c r="Y162" s="2" t="b">
        <v>1</v>
      </c>
      <c r="Z162" s="2" t="s">
        <v>40</v>
      </c>
      <c r="AA162" s="2" t="s">
        <v>41</v>
      </c>
      <c r="AB162" s="2">
        <v>6</v>
      </c>
      <c r="AC162" s="2">
        <f>SUMIF(N:N,Ecommerce_Consumer_Behavior_Analysis_Data3[[#This Row],[Brand_Loyalty]],M:M)</f>
        <v>597</v>
      </c>
      <c r="AD162" s="2" t="e" cm="1" vm="1">
        <f t="array" aca="1" ref="AD162" ca="1">SUMIFS(Y:Y,Ecommerce_Consumer_Behavior_Analysis_Data3[[#This Row],[Payment_Method]],V:V)</f>
        <v>#VALUE!</v>
      </c>
      <c r="AE162" s="2">
        <f t="shared" si="5"/>
        <v>211.7</v>
      </c>
    </row>
    <row r="163" spans="1:31" x14ac:dyDescent="0.25">
      <c r="A163" s="2" t="s">
        <v>414</v>
      </c>
      <c r="B163" s="2">
        <v>49</v>
      </c>
      <c r="C163" s="2" t="s">
        <v>43</v>
      </c>
      <c r="D163" s="2" t="s">
        <v>44</v>
      </c>
      <c r="E163" s="2" t="s">
        <v>69</v>
      </c>
      <c r="F163" s="2" t="s">
        <v>56</v>
      </c>
      <c r="G163" s="2" t="s">
        <v>30</v>
      </c>
      <c r="H163" s="2" t="s">
        <v>415</v>
      </c>
      <c r="I163" s="2" t="s">
        <v>135</v>
      </c>
      <c r="J163" s="2">
        <v>348.63</v>
      </c>
      <c r="K163" s="2">
        <v>4</v>
      </c>
      <c r="L163" s="2" t="s">
        <v>78</v>
      </c>
      <c r="M163" s="2">
        <v>5</v>
      </c>
      <c r="N163" s="2">
        <v>2</v>
      </c>
      <c r="O163" s="2">
        <v>0</v>
      </c>
      <c r="P163" s="2" t="s">
        <v>44</v>
      </c>
      <c r="Q163" s="2" t="s">
        <v>37</v>
      </c>
      <c r="R163" s="2">
        <v>0</v>
      </c>
      <c r="S163" s="2">
        <v>7</v>
      </c>
      <c r="T163" s="2" t="s">
        <v>36</v>
      </c>
      <c r="U163" s="2" t="s">
        <v>60</v>
      </c>
      <c r="V163" s="2" t="s">
        <v>61</v>
      </c>
      <c r="W163" s="3">
        <v>45383</v>
      </c>
      <c r="X163" s="2" t="b">
        <v>0</v>
      </c>
      <c r="Y163" s="2" t="b">
        <v>0</v>
      </c>
      <c r="Z163" s="2" t="s">
        <v>74</v>
      </c>
      <c r="AA163" s="2" t="s">
        <v>41</v>
      </c>
      <c r="AB163" s="2">
        <v>6</v>
      </c>
      <c r="AC163" s="2">
        <f>SUMIF(N:N,Ecommerce_Consumer_Behavior_Analysis_Data3[[#This Row],[Brand_Loyalty]],M:M)</f>
        <v>641</v>
      </c>
      <c r="AD163" s="2" t="e" cm="1" vm="1">
        <f t="array" aca="1" ref="AD163" ca="1">SUMIFS(Y:Y,Ecommerce_Consumer_Behavior_Analysis_Data3[[#This Row],[Payment_Method]],V:V)</f>
        <v>#VALUE!</v>
      </c>
      <c r="AE163" s="2">
        <f t="shared" si="5"/>
        <v>211.7</v>
      </c>
    </row>
    <row r="164" spans="1:31" x14ac:dyDescent="0.25">
      <c r="A164" s="2" t="s">
        <v>416</v>
      </c>
      <c r="B164" s="2">
        <v>23</v>
      </c>
      <c r="C164" s="2" t="s">
        <v>29</v>
      </c>
      <c r="D164" s="2" t="s">
        <v>30</v>
      </c>
      <c r="E164" s="2" t="s">
        <v>69</v>
      </c>
      <c r="F164" s="2" t="s">
        <v>45</v>
      </c>
      <c r="G164" s="2" t="s">
        <v>30</v>
      </c>
      <c r="H164" s="2" t="s">
        <v>417</v>
      </c>
      <c r="I164" s="2" t="s">
        <v>101</v>
      </c>
      <c r="J164" s="2">
        <v>91.27</v>
      </c>
      <c r="K164" s="2">
        <v>7</v>
      </c>
      <c r="L164" s="2" t="s">
        <v>48</v>
      </c>
      <c r="M164" s="2">
        <v>5</v>
      </c>
      <c r="N164" s="2">
        <v>1</v>
      </c>
      <c r="O164" s="2">
        <v>0</v>
      </c>
      <c r="P164" s="2" t="s">
        <v>44</v>
      </c>
      <c r="Q164" s="2" t="s">
        <v>50</v>
      </c>
      <c r="R164" s="2">
        <v>2</v>
      </c>
      <c r="S164" s="2">
        <v>6</v>
      </c>
      <c r="T164" s="2" t="s">
        <v>36</v>
      </c>
      <c r="U164" s="2" t="s">
        <v>38</v>
      </c>
      <c r="V164" s="2" t="s">
        <v>86</v>
      </c>
      <c r="W164" s="3">
        <v>45464</v>
      </c>
      <c r="X164" s="2" t="b">
        <v>1</v>
      </c>
      <c r="Y164" s="2" t="b">
        <v>1</v>
      </c>
      <c r="Z164" s="2" t="s">
        <v>74</v>
      </c>
      <c r="AA164" s="2" t="s">
        <v>67</v>
      </c>
      <c r="AB164" s="2">
        <v>13</v>
      </c>
      <c r="AC164" s="2">
        <f>SUMIF(N:N,Ecommerce_Consumer_Behavior_Analysis_Data3[[#This Row],[Brand_Loyalty]],M:M)</f>
        <v>641</v>
      </c>
      <c r="AD164" s="2" t="e" cm="1" vm="1">
        <f t="array" aca="1" ref="AD164" ca="1">SUMIFS(Y:Y,Ecommerce_Consumer_Behavior_Analysis_Data3[[#This Row],[Payment_Method]],V:V)</f>
        <v>#VALUE!</v>
      </c>
      <c r="AE164" s="2">
        <f t="shared" si="5"/>
        <v>333.8</v>
      </c>
    </row>
    <row r="165" spans="1:31" x14ac:dyDescent="0.25">
      <c r="A165" s="2" t="s">
        <v>418</v>
      </c>
      <c r="B165" s="2">
        <v>29</v>
      </c>
      <c r="C165" s="2" t="s">
        <v>29</v>
      </c>
      <c r="D165" s="2" t="s">
        <v>44</v>
      </c>
      <c r="E165" s="2" t="s">
        <v>76</v>
      </c>
      <c r="F165" s="2" t="s">
        <v>32</v>
      </c>
      <c r="G165" s="2" t="s">
        <v>44</v>
      </c>
      <c r="H165" s="2" t="s">
        <v>419</v>
      </c>
      <c r="I165" s="2" t="s">
        <v>98</v>
      </c>
      <c r="J165" s="2">
        <v>359.94</v>
      </c>
      <c r="K165" s="2">
        <v>11</v>
      </c>
      <c r="L165" s="2" t="s">
        <v>35</v>
      </c>
      <c r="M165" s="2">
        <v>2</v>
      </c>
      <c r="N165" s="2">
        <v>5</v>
      </c>
      <c r="O165" s="2">
        <v>2</v>
      </c>
      <c r="P165" s="2" t="s">
        <v>36</v>
      </c>
      <c r="Q165" s="2" t="s">
        <v>85</v>
      </c>
      <c r="R165" s="2">
        <v>1</v>
      </c>
      <c r="S165" s="2">
        <v>8</v>
      </c>
      <c r="T165" s="2" t="s">
        <v>59</v>
      </c>
      <c r="U165" s="2" t="s">
        <v>60</v>
      </c>
      <c r="V165" s="2" t="s">
        <v>86</v>
      </c>
      <c r="W165" s="3">
        <v>45645</v>
      </c>
      <c r="X165" s="2" t="b">
        <v>0</v>
      </c>
      <c r="Y165" s="2" t="b">
        <v>1</v>
      </c>
      <c r="Z165" s="2" t="s">
        <v>52</v>
      </c>
      <c r="AA165" s="2" t="s">
        <v>67</v>
      </c>
      <c r="AB165" s="2">
        <v>9</v>
      </c>
      <c r="AC165" s="2">
        <f>SUMIF(N:N,Ecommerce_Consumer_Behavior_Analysis_Data3[[#This Row],[Brand_Loyalty]],M:M)</f>
        <v>582</v>
      </c>
      <c r="AD165" s="2" t="e" cm="1" vm="1">
        <f t="array" aca="1" ref="AD165" ca="1">SUMIFS(Y:Y,Ecommerce_Consumer_Behavior_Analysis_Data3[[#This Row],[Payment_Method]],V:V)</f>
        <v>#VALUE!</v>
      </c>
      <c r="AE165" s="2">
        <f t="shared" si="5"/>
        <v>333.8</v>
      </c>
    </row>
    <row r="166" spans="1:31" x14ac:dyDescent="0.25">
      <c r="A166" s="2" t="s">
        <v>420</v>
      </c>
      <c r="B166" s="2">
        <v>25</v>
      </c>
      <c r="C166" s="2" t="s">
        <v>43</v>
      </c>
      <c r="D166" s="2" t="s">
        <v>30</v>
      </c>
      <c r="E166" s="2" t="s">
        <v>76</v>
      </c>
      <c r="F166" s="2" t="s">
        <v>45</v>
      </c>
      <c r="G166" s="2" t="s">
        <v>30</v>
      </c>
      <c r="H166" s="2" t="s">
        <v>421</v>
      </c>
      <c r="I166" s="2" t="s">
        <v>34</v>
      </c>
      <c r="J166" s="2">
        <v>138.19999999999999</v>
      </c>
      <c r="K166" s="2">
        <v>8</v>
      </c>
      <c r="L166" s="2" t="s">
        <v>48</v>
      </c>
      <c r="M166" s="2">
        <v>1</v>
      </c>
      <c r="N166" s="2">
        <v>2</v>
      </c>
      <c r="O166" s="2">
        <v>2</v>
      </c>
      <c r="P166" s="2" t="s">
        <v>44</v>
      </c>
      <c r="Q166" s="2" t="s">
        <v>50</v>
      </c>
      <c r="R166" s="2">
        <v>0</v>
      </c>
      <c r="S166" s="2">
        <v>6</v>
      </c>
      <c r="T166" s="2" t="s">
        <v>59</v>
      </c>
      <c r="U166" s="2" t="s">
        <v>79</v>
      </c>
      <c r="V166" s="2" t="s">
        <v>61</v>
      </c>
      <c r="W166" s="3">
        <v>45353</v>
      </c>
      <c r="X166" s="2" t="b">
        <v>0</v>
      </c>
      <c r="Y166" s="2" t="b">
        <v>1</v>
      </c>
      <c r="Z166" s="2" t="s">
        <v>40</v>
      </c>
      <c r="AA166" s="2" t="s">
        <v>41</v>
      </c>
      <c r="AB166" s="2">
        <v>12</v>
      </c>
      <c r="AC166" s="2">
        <f>SUMIF(N:N,Ecommerce_Consumer_Behavior_Analysis_Data3[[#This Row],[Brand_Loyalty]],M:M)</f>
        <v>603</v>
      </c>
      <c r="AD166" s="2" t="e" cm="1" vm="1">
        <f t="array" aca="1" ref="AD166" ca="1">SUMIFS(Y:Y,Ecommerce_Consumer_Behavior_Analysis_Data3[[#This Row],[Payment_Method]],V:V)</f>
        <v>#VALUE!</v>
      </c>
      <c r="AE166" s="2">
        <f t="shared" si="5"/>
        <v>101.31</v>
      </c>
    </row>
    <row r="167" spans="1:31" x14ac:dyDescent="0.25">
      <c r="A167" s="2" t="s">
        <v>422</v>
      </c>
      <c r="B167" s="2">
        <v>38</v>
      </c>
      <c r="C167" s="2" t="s">
        <v>274</v>
      </c>
      <c r="D167" s="2" t="s">
        <v>44</v>
      </c>
      <c r="E167" s="2" t="s">
        <v>76</v>
      </c>
      <c r="F167" s="2" t="s">
        <v>45</v>
      </c>
      <c r="G167" s="2" t="s">
        <v>44</v>
      </c>
      <c r="H167" s="2" t="s">
        <v>423</v>
      </c>
      <c r="I167" s="2" t="s">
        <v>65</v>
      </c>
      <c r="J167" s="2">
        <v>196.33</v>
      </c>
      <c r="K167" s="2">
        <v>11</v>
      </c>
      <c r="L167" s="2" t="s">
        <v>78</v>
      </c>
      <c r="M167" s="2">
        <v>4</v>
      </c>
      <c r="N167" s="2">
        <v>3</v>
      </c>
      <c r="O167" s="2">
        <v>1</v>
      </c>
      <c r="P167" s="2" t="s">
        <v>49</v>
      </c>
      <c r="Q167" s="2" t="s">
        <v>50</v>
      </c>
      <c r="R167" s="2">
        <v>0</v>
      </c>
      <c r="S167" s="2">
        <v>5</v>
      </c>
      <c r="T167" s="2" t="s">
        <v>36</v>
      </c>
      <c r="U167" s="2" t="s">
        <v>79</v>
      </c>
      <c r="V167" s="2" t="s">
        <v>61</v>
      </c>
      <c r="W167" s="3">
        <v>45472</v>
      </c>
      <c r="X167" s="2" t="b">
        <v>1</v>
      </c>
      <c r="Y167" s="2" t="b">
        <v>1</v>
      </c>
      <c r="Z167" s="2" t="s">
        <v>74</v>
      </c>
      <c r="AA167" s="2" t="s">
        <v>53</v>
      </c>
      <c r="AB167" s="2">
        <v>11</v>
      </c>
      <c r="AC167" s="2">
        <f>SUMIF(N:N,Ecommerce_Consumer_Behavior_Analysis_Data3[[#This Row],[Brand_Loyalty]],M:M)</f>
        <v>603</v>
      </c>
      <c r="AD167" s="2" t="e" cm="1" vm="1">
        <f t="array" aca="1" ref="AD167" ca="1">SUMIFS(Y:Y,Ecommerce_Consumer_Behavior_Analysis_Data3[[#This Row],[Payment_Method]],V:V)</f>
        <v>#VALUE!</v>
      </c>
      <c r="AE167" s="2">
        <f t="shared" si="5"/>
        <v>101.31</v>
      </c>
    </row>
    <row r="168" spans="1:31" x14ac:dyDescent="0.25">
      <c r="A168" s="2" t="s">
        <v>424</v>
      </c>
      <c r="B168" s="2">
        <v>32</v>
      </c>
      <c r="C168" s="2" t="s">
        <v>29</v>
      </c>
      <c r="D168" s="2" t="s">
        <v>30</v>
      </c>
      <c r="E168" s="2" t="s">
        <v>69</v>
      </c>
      <c r="F168" s="2" t="s">
        <v>32</v>
      </c>
      <c r="G168" s="2" t="s">
        <v>30</v>
      </c>
      <c r="H168" s="2" t="s">
        <v>311</v>
      </c>
      <c r="I168" s="2" t="s">
        <v>114</v>
      </c>
      <c r="J168" s="2">
        <v>249.24</v>
      </c>
      <c r="K168" s="2">
        <v>8</v>
      </c>
      <c r="L168" s="2" t="s">
        <v>48</v>
      </c>
      <c r="M168" s="2">
        <v>4</v>
      </c>
      <c r="N168" s="2">
        <v>3</v>
      </c>
      <c r="O168" s="2">
        <v>1</v>
      </c>
      <c r="P168" s="2" t="s">
        <v>49</v>
      </c>
      <c r="Q168" s="2" t="s">
        <v>37</v>
      </c>
      <c r="R168" s="2">
        <v>2</v>
      </c>
      <c r="S168" s="2">
        <v>3</v>
      </c>
      <c r="T168" s="2" t="s">
        <v>44</v>
      </c>
      <c r="U168" s="2" t="s">
        <v>60</v>
      </c>
      <c r="V168" s="2" t="s">
        <v>86</v>
      </c>
      <c r="W168" s="3">
        <v>45533</v>
      </c>
      <c r="X168" s="2" t="b">
        <v>0</v>
      </c>
      <c r="Y168" s="2" t="b">
        <v>1</v>
      </c>
      <c r="Z168" s="2" t="s">
        <v>40</v>
      </c>
      <c r="AA168" s="2" t="s">
        <v>53</v>
      </c>
      <c r="AB168" s="2">
        <v>7</v>
      </c>
      <c r="AC168" s="2">
        <f>SUMIF(N:N,Ecommerce_Consumer_Behavior_Analysis_Data3[[#This Row],[Brand_Loyalty]],M:M)</f>
        <v>603</v>
      </c>
      <c r="AD168" s="2" t="e" cm="1" vm="1">
        <f t="array" aca="1" ref="AD168" ca="1">SUMIFS(Y:Y,Ecommerce_Consumer_Behavior_Analysis_Data3[[#This Row],[Payment_Method]],V:V)</f>
        <v>#VALUE!</v>
      </c>
      <c r="AE168" s="2">
        <f t="shared" si="5"/>
        <v>333.8</v>
      </c>
    </row>
    <row r="169" spans="1:31" x14ac:dyDescent="0.25">
      <c r="A169" s="2" t="s">
        <v>425</v>
      </c>
      <c r="B169" s="2">
        <v>45</v>
      </c>
      <c r="C169" s="2" t="s">
        <v>43</v>
      </c>
      <c r="D169" s="2" t="s">
        <v>44</v>
      </c>
      <c r="E169" s="2" t="s">
        <v>76</v>
      </c>
      <c r="F169" s="2" t="s">
        <v>45</v>
      </c>
      <c r="G169" s="2" t="s">
        <v>44</v>
      </c>
      <c r="H169" s="2" t="s">
        <v>426</v>
      </c>
      <c r="I169" s="2" t="s">
        <v>71</v>
      </c>
      <c r="J169" s="2">
        <v>129.1</v>
      </c>
      <c r="K169" s="2">
        <v>12</v>
      </c>
      <c r="L169" s="2" t="s">
        <v>35</v>
      </c>
      <c r="M169" s="2">
        <v>5</v>
      </c>
      <c r="N169" s="2">
        <v>3</v>
      </c>
      <c r="O169" s="2">
        <v>2</v>
      </c>
      <c r="P169" s="2" t="s">
        <v>59</v>
      </c>
      <c r="Q169" s="2" t="s">
        <v>50</v>
      </c>
      <c r="R169" s="2">
        <v>0</v>
      </c>
      <c r="S169" s="2">
        <v>8</v>
      </c>
      <c r="T169" s="2" t="s">
        <v>44</v>
      </c>
      <c r="U169" s="2" t="s">
        <v>79</v>
      </c>
      <c r="V169" s="2" t="s">
        <v>39</v>
      </c>
      <c r="W169" s="3">
        <v>45397</v>
      </c>
      <c r="X169" s="2" t="b">
        <v>1</v>
      </c>
      <c r="Y169" s="2" t="b">
        <v>0</v>
      </c>
      <c r="Z169" s="2" t="s">
        <v>74</v>
      </c>
      <c r="AA169" s="2" t="s">
        <v>41</v>
      </c>
      <c r="AB169" s="2">
        <v>7</v>
      </c>
      <c r="AC169" s="2">
        <f>SUMIF(N:N,Ecommerce_Consumer_Behavior_Analysis_Data3[[#This Row],[Brand_Loyalty]],M:M)</f>
        <v>641</v>
      </c>
      <c r="AD169" s="2" t="e" cm="1" vm="1">
        <f t="array" aca="1" ref="AD169" ca="1">SUMIFS(Y:Y,Ecommerce_Consumer_Behavior_Analysis_Data3[[#This Row],[Payment_Method]],V:V)</f>
        <v>#VALUE!</v>
      </c>
      <c r="AE169" s="2">
        <f t="shared" si="5"/>
        <v>211.7</v>
      </c>
    </row>
    <row r="170" spans="1:31" x14ac:dyDescent="0.25">
      <c r="A170" s="2" t="s">
        <v>427</v>
      </c>
      <c r="B170" s="2">
        <v>45</v>
      </c>
      <c r="C170" s="2" t="s">
        <v>29</v>
      </c>
      <c r="D170" s="2" t="s">
        <v>44</v>
      </c>
      <c r="E170" s="2" t="s">
        <v>31</v>
      </c>
      <c r="F170" s="2" t="s">
        <v>56</v>
      </c>
      <c r="G170" s="2" t="s">
        <v>44</v>
      </c>
      <c r="H170" s="2" t="s">
        <v>428</v>
      </c>
      <c r="I170" s="2" t="s">
        <v>123</v>
      </c>
      <c r="J170" s="2">
        <v>112.69</v>
      </c>
      <c r="K170" s="2">
        <v>10</v>
      </c>
      <c r="L170" s="2" t="s">
        <v>48</v>
      </c>
      <c r="M170" s="2">
        <v>1</v>
      </c>
      <c r="N170" s="2">
        <v>4</v>
      </c>
      <c r="O170" s="2">
        <v>0</v>
      </c>
      <c r="P170" s="2" t="s">
        <v>44</v>
      </c>
      <c r="Q170" s="2" t="s">
        <v>50</v>
      </c>
      <c r="R170" s="2">
        <v>0</v>
      </c>
      <c r="S170" s="2">
        <v>7</v>
      </c>
      <c r="T170" s="2" t="s">
        <v>49</v>
      </c>
      <c r="U170" s="2" t="s">
        <v>60</v>
      </c>
      <c r="V170" s="2" t="s">
        <v>61</v>
      </c>
      <c r="W170" s="3">
        <v>45531</v>
      </c>
      <c r="X170" s="2" t="b">
        <v>0</v>
      </c>
      <c r="Y170" s="2" t="b">
        <v>1</v>
      </c>
      <c r="Z170" s="2" t="s">
        <v>40</v>
      </c>
      <c r="AA170" s="2" t="s">
        <v>53</v>
      </c>
      <c r="AB170" s="2">
        <v>1</v>
      </c>
      <c r="AC170" s="2">
        <f>SUMIF(N:N,Ecommerce_Consumer_Behavior_Analysis_Data3[[#This Row],[Brand_Loyalty]],M:M)</f>
        <v>603</v>
      </c>
      <c r="AD170" s="2" t="e" cm="1" vm="1">
        <f t="array" aca="1" ref="AD170" ca="1">SUMIFS(Y:Y,Ecommerce_Consumer_Behavior_Analysis_Data3[[#This Row],[Payment_Method]],V:V)</f>
        <v>#VALUE!</v>
      </c>
      <c r="AE170" s="2">
        <f t="shared" si="5"/>
        <v>333.8</v>
      </c>
    </row>
    <row r="171" spans="1:31" x14ac:dyDescent="0.25">
      <c r="A171" s="2" t="s">
        <v>429</v>
      </c>
      <c r="B171" s="2">
        <v>46</v>
      </c>
      <c r="C171" s="2" t="s">
        <v>43</v>
      </c>
      <c r="D171" s="2" t="s">
        <v>30</v>
      </c>
      <c r="E171" s="2" t="s">
        <v>69</v>
      </c>
      <c r="F171" s="2" t="s">
        <v>32</v>
      </c>
      <c r="G171" s="2" t="s">
        <v>44</v>
      </c>
      <c r="H171" s="2" t="s">
        <v>430</v>
      </c>
      <c r="I171" s="2" t="s">
        <v>188</v>
      </c>
      <c r="J171" s="2">
        <v>267.85000000000002</v>
      </c>
      <c r="K171" s="2">
        <v>5</v>
      </c>
      <c r="L171" s="2" t="s">
        <v>78</v>
      </c>
      <c r="M171" s="2">
        <v>5</v>
      </c>
      <c r="N171" s="2">
        <v>2</v>
      </c>
      <c r="O171" s="2">
        <v>2</v>
      </c>
      <c r="P171" s="2" t="s">
        <v>49</v>
      </c>
      <c r="Q171" s="2" t="s">
        <v>37</v>
      </c>
      <c r="R171" s="2">
        <v>1</v>
      </c>
      <c r="S171" s="2">
        <v>5</v>
      </c>
      <c r="T171" s="2" t="s">
        <v>44</v>
      </c>
      <c r="U171" s="2" t="s">
        <v>60</v>
      </c>
      <c r="V171" s="2" t="s">
        <v>39</v>
      </c>
      <c r="W171" s="3">
        <v>45371</v>
      </c>
      <c r="X171" s="2" t="b">
        <v>0</v>
      </c>
      <c r="Y171" s="2" t="b">
        <v>1</v>
      </c>
      <c r="Z171" s="2" t="s">
        <v>40</v>
      </c>
      <c r="AA171" s="2" t="s">
        <v>53</v>
      </c>
      <c r="AB171" s="2">
        <v>7</v>
      </c>
      <c r="AC171" s="2">
        <f>SUMIF(N:N,Ecommerce_Consumer_Behavior_Analysis_Data3[[#This Row],[Brand_Loyalty]],M:M)</f>
        <v>641</v>
      </c>
      <c r="AD171" s="2" t="e" cm="1" vm="1">
        <f t="array" aca="1" ref="AD171" ca="1">SUMIFS(Y:Y,Ecommerce_Consumer_Behavior_Analysis_Data3[[#This Row],[Payment_Method]],V:V)</f>
        <v>#VALUE!</v>
      </c>
      <c r="AE171" s="2">
        <f t="shared" si="5"/>
        <v>333.8</v>
      </c>
    </row>
    <row r="172" spans="1:31" x14ac:dyDescent="0.25">
      <c r="A172" s="2" t="s">
        <v>431</v>
      </c>
      <c r="B172" s="2">
        <v>24</v>
      </c>
      <c r="C172" s="2" t="s">
        <v>43</v>
      </c>
      <c r="D172" s="2" t="s">
        <v>30</v>
      </c>
      <c r="E172" s="2" t="s">
        <v>76</v>
      </c>
      <c r="F172" s="2" t="s">
        <v>45</v>
      </c>
      <c r="G172" s="2" t="s">
        <v>30</v>
      </c>
      <c r="H172" s="2" t="s">
        <v>432</v>
      </c>
      <c r="I172" s="2" t="s">
        <v>65</v>
      </c>
      <c r="J172" s="2">
        <v>205.36</v>
      </c>
      <c r="K172" s="2">
        <v>12</v>
      </c>
      <c r="L172" s="2" t="s">
        <v>78</v>
      </c>
      <c r="M172" s="2">
        <v>1</v>
      </c>
      <c r="N172" s="2">
        <v>5</v>
      </c>
      <c r="O172" s="2">
        <v>2</v>
      </c>
      <c r="P172" s="2" t="s">
        <v>44</v>
      </c>
      <c r="Q172" s="2" t="s">
        <v>85</v>
      </c>
      <c r="R172" s="2">
        <v>0</v>
      </c>
      <c r="S172" s="2">
        <v>1</v>
      </c>
      <c r="T172" s="2" t="s">
        <v>59</v>
      </c>
      <c r="U172" s="2" t="s">
        <v>38</v>
      </c>
      <c r="V172" s="2" t="s">
        <v>39</v>
      </c>
      <c r="W172" s="3">
        <v>45409</v>
      </c>
      <c r="X172" s="2" t="b">
        <v>0</v>
      </c>
      <c r="Y172" s="2" t="b">
        <v>0</v>
      </c>
      <c r="Z172" s="2" t="s">
        <v>62</v>
      </c>
      <c r="AA172" s="2" t="s">
        <v>67</v>
      </c>
      <c r="AB172" s="2">
        <v>5</v>
      </c>
      <c r="AC172" s="2">
        <f>SUMIF(N:N,Ecommerce_Consumer_Behavior_Analysis_Data3[[#This Row],[Brand_Loyalty]],M:M)</f>
        <v>603</v>
      </c>
      <c r="AD172" s="2" t="e" cm="1" vm="1">
        <f t="array" aca="1" ref="AD172" ca="1">SUMIFS(Y:Y,Ecommerce_Consumer_Behavior_Analysis_Data3[[#This Row],[Payment_Method]],V:V)</f>
        <v>#VALUE!</v>
      </c>
      <c r="AE172" s="2">
        <f t="shared" si="5"/>
        <v>101.31</v>
      </c>
    </row>
    <row r="173" spans="1:31" x14ac:dyDescent="0.25">
      <c r="A173" s="2" t="s">
        <v>433</v>
      </c>
      <c r="B173" s="2">
        <v>48</v>
      </c>
      <c r="C173" s="2" t="s">
        <v>212</v>
      </c>
      <c r="D173" s="2" t="s">
        <v>44</v>
      </c>
      <c r="E173" s="2" t="s">
        <v>76</v>
      </c>
      <c r="F173" s="2" t="s">
        <v>56</v>
      </c>
      <c r="G173" s="2" t="s">
        <v>44</v>
      </c>
      <c r="H173" s="2" t="s">
        <v>434</v>
      </c>
      <c r="I173" s="2" t="s">
        <v>142</v>
      </c>
      <c r="J173" s="2">
        <v>79.099999999999994</v>
      </c>
      <c r="K173" s="2">
        <v>10</v>
      </c>
      <c r="L173" s="2" t="s">
        <v>48</v>
      </c>
      <c r="M173" s="2">
        <v>5</v>
      </c>
      <c r="N173" s="2">
        <v>3</v>
      </c>
      <c r="O173" s="2">
        <v>1</v>
      </c>
      <c r="P173" s="2" t="s">
        <v>36</v>
      </c>
      <c r="Q173" s="2" t="s">
        <v>50</v>
      </c>
      <c r="R173" s="2">
        <v>0</v>
      </c>
      <c r="S173" s="2">
        <v>9</v>
      </c>
      <c r="T173" s="2" t="s">
        <v>49</v>
      </c>
      <c r="U173" s="2" t="s">
        <v>38</v>
      </c>
      <c r="V173" s="2" t="s">
        <v>61</v>
      </c>
      <c r="W173" s="3">
        <v>45417</v>
      </c>
      <c r="X173" s="2" t="b">
        <v>1</v>
      </c>
      <c r="Y173" s="2" t="b">
        <v>0</v>
      </c>
      <c r="Z173" s="2" t="s">
        <v>40</v>
      </c>
      <c r="AA173" s="2" t="s">
        <v>67</v>
      </c>
      <c r="AB173" s="2">
        <v>4</v>
      </c>
      <c r="AC173" s="2">
        <f>SUMIF(N:N,Ecommerce_Consumer_Behavior_Analysis_Data3[[#This Row],[Brand_Loyalty]],M:M)</f>
        <v>641</v>
      </c>
      <c r="AD173" s="2" t="e" cm="1" vm="1">
        <f t="array" aca="1" ref="AD173" ca="1">SUMIFS(Y:Y,Ecommerce_Consumer_Behavior_Analysis_Data3[[#This Row],[Payment_Method]],V:V)</f>
        <v>#VALUE!</v>
      </c>
      <c r="AE173" s="2">
        <f t="shared" si="5"/>
        <v>211.7</v>
      </c>
    </row>
    <row r="174" spans="1:31" x14ac:dyDescent="0.25">
      <c r="A174" s="2" t="s">
        <v>435</v>
      </c>
      <c r="B174" s="2">
        <v>35</v>
      </c>
      <c r="C174" s="2" t="s">
        <v>43</v>
      </c>
      <c r="D174" s="2" t="s">
        <v>44</v>
      </c>
      <c r="E174" s="2" t="s">
        <v>69</v>
      </c>
      <c r="F174" s="2" t="s">
        <v>45</v>
      </c>
      <c r="G174" s="2" t="s">
        <v>30</v>
      </c>
      <c r="H174" s="2" t="s">
        <v>436</v>
      </c>
      <c r="I174" s="2" t="s">
        <v>104</v>
      </c>
      <c r="J174" s="2">
        <v>256.63</v>
      </c>
      <c r="K174" s="2">
        <v>12</v>
      </c>
      <c r="L174" s="2" t="s">
        <v>48</v>
      </c>
      <c r="M174" s="2">
        <v>1</v>
      </c>
      <c r="N174" s="2">
        <v>4</v>
      </c>
      <c r="O174" s="2">
        <v>0</v>
      </c>
      <c r="P174" s="2" t="s">
        <v>44</v>
      </c>
      <c r="Q174" s="2" t="s">
        <v>37</v>
      </c>
      <c r="R174" s="2">
        <v>2</v>
      </c>
      <c r="S174" s="2">
        <v>2</v>
      </c>
      <c r="T174" s="2" t="s">
        <v>36</v>
      </c>
      <c r="U174" s="2" t="s">
        <v>60</v>
      </c>
      <c r="V174" s="2" t="s">
        <v>61</v>
      </c>
      <c r="W174" s="3">
        <v>45459</v>
      </c>
      <c r="X174" s="2" t="b">
        <v>1</v>
      </c>
      <c r="Y174" s="2" t="b">
        <v>1</v>
      </c>
      <c r="Z174" s="2" t="s">
        <v>62</v>
      </c>
      <c r="AA174" s="2" t="s">
        <v>53</v>
      </c>
      <c r="AB174" s="2">
        <v>10</v>
      </c>
      <c r="AC174" s="2">
        <f>SUMIF(N:N,Ecommerce_Consumer_Behavior_Analysis_Data3[[#This Row],[Brand_Loyalty]],M:M)</f>
        <v>603</v>
      </c>
      <c r="AD174" s="2" t="e" cm="1" vm="1">
        <f t="array" aca="1" ref="AD174" ca="1">SUMIFS(Y:Y,Ecommerce_Consumer_Behavior_Analysis_Data3[[#This Row],[Payment_Method]],V:V)</f>
        <v>#VALUE!</v>
      </c>
      <c r="AE174" s="2">
        <f t="shared" si="5"/>
        <v>211.7</v>
      </c>
    </row>
    <row r="175" spans="1:31" x14ac:dyDescent="0.25">
      <c r="A175" s="2" t="s">
        <v>437</v>
      </c>
      <c r="B175" s="2">
        <v>50</v>
      </c>
      <c r="C175" s="2" t="s">
        <v>29</v>
      </c>
      <c r="D175" s="2" t="s">
        <v>44</v>
      </c>
      <c r="E175" s="2" t="s">
        <v>76</v>
      </c>
      <c r="F175" s="2" t="s">
        <v>45</v>
      </c>
      <c r="G175" s="2" t="s">
        <v>30</v>
      </c>
      <c r="H175" s="2" t="s">
        <v>438</v>
      </c>
      <c r="I175" s="2" t="s">
        <v>82</v>
      </c>
      <c r="J175" s="2">
        <v>409.98</v>
      </c>
      <c r="K175" s="2">
        <v>12</v>
      </c>
      <c r="L175" s="2" t="s">
        <v>35</v>
      </c>
      <c r="M175" s="2">
        <v>5</v>
      </c>
      <c r="N175" s="2">
        <v>4</v>
      </c>
      <c r="O175" s="2">
        <v>0</v>
      </c>
      <c r="P175" s="2" t="s">
        <v>36</v>
      </c>
      <c r="Q175" s="2" t="s">
        <v>50</v>
      </c>
      <c r="R175" s="2">
        <v>2</v>
      </c>
      <c r="S175" s="2">
        <v>1</v>
      </c>
      <c r="T175" s="2" t="s">
        <v>49</v>
      </c>
      <c r="U175" s="2" t="s">
        <v>79</v>
      </c>
      <c r="V175" s="2" t="s">
        <v>51</v>
      </c>
      <c r="W175" s="3">
        <v>45580</v>
      </c>
      <c r="X175" s="2" t="b">
        <v>1</v>
      </c>
      <c r="Y175" s="2" t="b">
        <v>0</v>
      </c>
      <c r="Z175" s="2" t="s">
        <v>52</v>
      </c>
      <c r="AA175" s="2" t="s">
        <v>67</v>
      </c>
      <c r="AB175" s="2">
        <v>8</v>
      </c>
      <c r="AC175" s="2">
        <f>SUMIF(N:N,Ecommerce_Consumer_Behavior_Analysis_Data3[[#This Row],[Brand_Loyalty]],M:M)</f>
        <v>641</v>
      </c>
      <c r="AD175" s="2" t="e" cm="1" vm="1">
        <f t="array" aca="1" ref="AD175" ca="1">SUMIFS(Y:Y,Ecommerce_Consumer_Behavior_Analysis_Data3[[#This Row],[Payment_Method]],V:V)</f>
        <v>#VALUE!</v>
      </c>
      <c r="AE175" s="2">
        <f t="shared" si="5"/>
        <v>333.8</v>
      </c>
    </row>
    <row r="176" spans="1:31" x14ac:dyDescent="0.25">
      <c r="A176" s="2" t="s">
        <v>439</v>
      </c>
      <c r="B176" s="2">
        <v>34</v>
      </c>
      <c r="C176" s="2" t="s">
        <v>43</v>
      </c>
      <c r="D176" s="2" t="s">
        <v>30</v>
      </c>
      <c r="E176" s="2" t="s">
        <v>69</v>
      </c>
      <c r="F176" s="2" t="s">
        <v>45</v>
      </c>
      <c r="G176" s="2" t="s">
        <v>44</v>
      </c>
      <c r="H176" s="2" t="s">
        <v>440</v>
      </c>
      <c r="I176" s="2" t="s">
        <v>90</v>
      </c>
      <c r="J176" s="2">
        <v>291.60000000000002</v>
      </c>
      <c r="K176" s="2">
        <v>2</v>
      </c>
      <c r="L176" s="2" t="s">
        <v>48</v>
      </c>
      <c r="M176" s="2">
        <v>3</v>
      </c>
      <c r="N176" s="2">
        <v>3</v>
      </c>
      <c r="O176" s="2">
        <v>2</v>
      </c>
      <c r="P176" s="2" t="s">
        <v>44</v>
      </c>
      <c r="Q176" s="2" t="s">
        <v>37</v>
      </c>
      <c r="R176" s="2">
        <v>0</v>
      </c>
      <c r="S176" s="2">
        <v>7</v>
      </c>
      <c r="T176" s="2" t="s">
        <v>36</v>
      </c>
      <c r="U176" s="2" t="s">
        <v>79</v>
      </c>
      <c r="V176" s="2" t="s">
        <v>86</v>
      </c>
      <c r="W176" s="3">
        <v>45505</v>
      </c>
      <c r="X176" s="2" t="b">
        <v>0</v>
      </c>
      <c r="Y176" s="2" t="b">
        <v>1</v>
      </c>
      <c r="Z176" s="2" t="s">
        <v>40</v>
      </c>
      <c r="AA176" s="2" t="s">
        <v>53</v>
      </c>
      <c r="AB176" s="2">
        <v>3</v>
      </c>
      <c r="AC176" s="2">
        <f>SUMIF(N:N,Ecommerce_Consumer_Behavior_Analysis_Data3[[#This Row],[Brand_Loyalty]],M:M)</f>
        <v>597</v>
      </c>
      <c r="AD176" s="2" t="e" cm="1" vm="1">
        <f t="array" aca="1" ref="AD176" ca="1">SUMIFS(Y:Y,Ecommerce_Consumer_Behavior_Analysis_Data3[[#This Row],[Payment_Method]],V:V)</f>
        <v>#VALUE!</v>
      </c>
      <c r="AE176" s="2">
        <f t="shared" si="5"/>
        <v>333.8</v>
      </c>
    </row>
    <row r="177" spans="1:31" x14ac:dyDescent="0.25">
      <c r="A177" s="2" t="s">
        <v>441</v>
      </c>
      <c r="B177" s="2">
        <v>50</v>
      </c>
      <c r="C177" s="2" t="s">
        <v>29</v>
      </c>
      <c r="D177" s="2" t="s">
        <v>30</v>
      </c>
      <c r="E177" s="2" t="s">
        <v>55</v>
      </c>
      <c r="F177" s="2" t="s">
        <v>32</v>
      </c>
      <c r="G177" s="2" t="s">
        <v>30</v>
      </c>
      <c r="H177" s="2" t="s">
        <v>442</v>
      </c>
      <c r="I177" s="2" t="s">
        <v>65</v>
      </c>
      <c r="J177" s="2">
        <v>101.7</v>
      </c>
      <c r="K177" s="2">
        <v>7</v>
      </c>
      <c r="L177" s="2" t="s">
        <v>78</v>
      </c>
      <c r="M177" s="2">
        <v>3</v>
      </c>
      <c r="N177" s="2">
        <v>4</v>
      </c>
      <c r="O177" s="2">
        <v>2</v>
      </c>
      <c r="P177" s="2" t="s">
        <v>49</v>
      </c>
      <c r="Q177" s="2" t="s">
        <v>50</v>
      </c>
      <c r="R177" s="2">
        <v>2</v>
      </c>
      <c r="S177" s="2">
        <v>2</v>
      </c>
      <c r="T177" s="2" t="s">
        <v>36</v>
      </c>
      <c r="U177" s="2" t="s">
        <v>38</v>
      </c>
      <c r="V177" s="2" t="s">
        <v>61</v>
      </c>
      <c r="W177" s="3">
        <v>45468</v>
      </c>
      <c r="X177" s="2" t="b">
        <v>0</v>
      </c>
      <c r="Y177" s="2" t="b">
        <v>1</v>
      </c>
      <c r="Z177" s="2" t="s">
        <v>52</v>
      </c>
      <c r="AA177" s="2" t="s">
        <v>53</v>
      </c>
      <c r="AB177" s="2">
        <v>4</v>
      </c>
      <c r="AC177" s="2">
        <f>SUMIF(N:N,Ecommerce_Consumer_Behavior_Analysis_Data3[[#This Row],[Brand_Loyalty]],M:M)</f>
        <v>597</v>
      </c>
      <c r="AD177" s="2" t="e" cm="1" vm="1">
        <f t="array" aca="1" ref="AD177" ca="1">SUMIFS(Y:Y,Ecommerce_Consumer_Behavior_Analysis_Data3[[#This Row],[Payment_Method]],V:V)</f>
        <v>#VALUE!</v>
      </c>
      <c r="AE177" s="2">
        <f t="shared" si="5"/>
        <v>333.8</v>
      </c>
    </row>
    <row r="178" spans="1:31" x14ac:dyDescent="0.25">
      <c r="A178" s="2" t="s">
        <v>443</v>
      </c>
      <c r="B178" s="2">
        <v>50</v>
      </c>
      <c r="C178" s="2" t="s">
        <v>29</v>
      </c>
      <c r="D178" s="2" t="s">
        <v>30</v>
      </c>
      <c r="E178" s="2" t="s">
        <v>55</v>
      </c>
      <c r="F178" s="2" t="s">
        <v>45</v>
      </c>
      <c r="G178" s="2" t="s">
        <v>30</v>
      </c>
      <c r="H178" s="2" t="s">
        <v>444</v>
      </c>
      <c r="I178" s="2" t="s">
        <v>104</v>
      </c>
      <c r="J178" s="2">
        <v>369.73</v>
      </c>
      <c r="K178" s="2">
        <v>2</v>
      </c>
      <c r="L178" s="2" t="s">
        <v>78</v>
      </c>
      <c r="M178" s="2">
        <v>1</v>
      </c>
      <c r="N178" s="2">
        <v>2</v>
      </c>
      <c r="O178" s="2">
        <v>2</v>
      </c>
      <c r="P178" s="2" t="s">
        <v>36</v>
      </c>
      <c r="Q178" s="2" t="s">
        <v>50</v>
      </c>
      <c r="R178" s="2">
        <v>0</v>
      </c>
      <c r="S178" s="2">
        <v>3</v>
      </c>
      <c r="T178" s="2" t="s">
        <v>36</v>
      </c>
      <c r="U178" s="2" t="s">
        <v>38</v>
      </c>
      <c r="V178" s="2" t="s">
        <v>61</v>
      </c>
      <c r="W178" s="3">
        <v>45326</v>
      </c>
      <c r="X178" s="2" t="b">
        <v>1</v>
      </c>
      <c r="Y178" s="2" t="b">
        <v>1</v>
      </c>
      <c r="Z178" s="2" t="s">
        <v>52</v>
      </c>
      <c r="AA178" s="2" t="s">
        <v>41</v>
      </c>
      <c r="AB178" s="2">
        <v>12</v>
      </c>
      <c r="AC178" s="2">
        <f>SUMIF(N:N,Ecommerce_Consumer_Behavior_Analysis_Data3[[#This Row],[Brand_Loyalty]],M:M)</f>
        <v>603</v>
      </c>
      <c r="AD178" s="2" t="e" cm="1" vm="1">
        <f t="array" aca="1" ref="AD178" ca="1">SUMIFS(Y:Y,Ecommerce_Consumer_Behavior_Analysis_Data3[[#This Row],[Payment_Method]],V:V)</f>
        <v>#VALUE!</v>
      </c>
      <c r="AE178" s="2">
        <f t="shared" si="5"/>
        <v>333.8</v>
      </c>
    </row>
    <row r="179" spans="1:31" x14ac:dyDescent="0.25">
      <c r="A179" s="2" t="s">
        <v>445</v>
      </c>
      <c r="B179" s="2">
        <v>46</v>
      </c>
      <c r="C179" s="2" t="s">
        <v>43</v>
      </c>
      <c r="D179" s="2" t="s">
        <v>30</v>
      </c>
      <c r="E179" s="2" t="s">
        <v>55</v>
      </c>
      <c r="F179" s="2" t="s">
        <v>32</v>
      </c>
      <c r="G179" s="2" t="s">
        <v>44</v>
      </c>
      <c r="H179" s="2" t="s">
        <v>446</v>
      </c>
      <c r="I179" s="2" t="s">
        <v>123</v>
      </c>
      <c r="J179" s="2">
        <v>71</v>
      </c>
      <c r="K179" s="2">
        <v>12</v>
      </c>
      <c r="L179" s="2" t="s">
        <v>78</v>
      </c>
      <c r="M179" s="2">
        <v>1</v>
      </c>
      <c r="N179" s="2">
        <v>5</v>
      </c>
      <c r="O179" s="2">
        <v>2</v>
      </c>
      <c r="P179" s="2" t="s">
        <v>44</v>
      </c>
      <c r="Q179" s="2" t="s">
        <v>50</v>
      </c>
      <c r="R179" s="2">
        <v>2</v>
      </c>
      <c r="S179" s="2">
        <v>9</v>
      </c>
      <c r="T179" s="2" t="s">
        <v>59</v>
      </c>
      <c r="U179" s="2" t="s">
        <v>60</v>
      </c>
      <c r="V179" s="2" t="s">
        <v>86</v>
      </c>
      <c r="W179" s="3">
        <v>45469</v>
      </c>
      <c r="X179" s="2" t="b">
        <v>0</v>
      </c>
      <c r="Y179" s="2" t="b">
        <v>0</v>
      </c>
      <c r="Z179" s="2" t="s">
        <v>52</v>
      </c>
      <c r="AA179" s="2" t="s">
        <v>41</v>
      </c>
      <c r="AB179" s="2">
        <v>13</v>
      </c>
      <c r="AC179" s="2">
        <f>SUMIF(N:N,Ecommerce_Consumer_Behavior_Analysis_Data3[[#This Row],[Brand_Loyalty]],M:M)</f>
        <v>603</v>
      </c>
      <c r="AD179" s="2" t="e" cm="1" vm="1">
        <f t="array" aca="1" ref="AD179" ca="1">SUMIFS(Y:Y,Ecommerce_Consumer_Behavior_Analysis_Data3[[#This Row],[Payment_Method]],V:V)</f>
        <v>#VALUE!</v>
      </c>
      <c r="AE179" s="2">
        <f t="shared" si="5"/>
        <v>333.8</v>
      </c>
    </row>
    <row r="180" spans="1:31" x14ac:dyDescent="0.25">
      <c r="A180" s="2" t="s">
        <v>447</v>
      </c>
      <c r="B180" s="2">
        <v>47</v>
      </c>
      <c r="C180" s="2" t="s">
        <v>43</v>
      </c>
      <c r="D180" s="2" t="s">
        <v>30</v>
      </c>
      <c r="E180" s="2" t="s">
        <v>55</v>
      </c>
      <c r="F180" s="2" t="s">
        <v>56</v>
      </c>
      <c r="G180" s="2" t="s">
        <v>30</v>
      </c>
      <c r="H180" s="2" t="s">
        <v>448</v>
      </c>
      <c r="I180" s="2" t="s">
        <v>114</v>
      </c>
      <c r="J180" s="2">
        <v>280.05</v>
      </c>
      <c r="K180" s="2">
        <v>10</v>
      </c>
      <c r="L180" s="2" t="s">
        <v>48</v>
      </c>
      <c r="M180" s="2">
        <v>4</v>
      </c>
      <c r="N180" s="2">
        <v>1</v>
      </c>
      <c r="O180" s="2">
        <v>2</v>
      </c>
      <c r="P180" s="2" t="s">
        <v>49</v>
      </c>
      <c r="Q180" s="2" t="s">
        <v>85</v>
      </c>
      <c r="R180" s="2">
        <v>1</v>
      </c>
      <c r="S180" s="2">
        <v>2</v>
      </c>
      <c r="T180" s="2" t="s">
        <v>44</v>
      </c>
      <c r="U180" s="2" t="s">
        <v>60</v>
      </c>
      <c r="V180" s="2" t="s">
        <v>39</v>
      </c>
      <c r="W180" s="3">
        <v>45479</v>
      </c>
      <c r="X180" s="2" t="b">
        <v>1</v>
      </c>
      <c r="Y180" s="2" t="b">
        <v>0</v>
      </c>
      <c r="Z180" s="2" t="s">
        <v>52</v>
      </c>
      <c r="AA180" s="2" t="s">
        <v>41</v>
      </c>
      <c r="AB180" s="2">
        <v>11</v>
      </c>
      <c r="AC180" s="2">
        <f>SUMIF(N:N,Ecommerce_Consumer_Behavior_Analysis_Data3[[#This Row],[Brand_Loyalty]],M:M)</f>
        <v>603</v>
      </c>
      <c r="AD180" s="2" t="e" cm="1" vm="1">
        <f t="array" aca="1" ref="AD180" ca="1">SUMIFS(Y:Y,Ecommerce_Consumer_Behavior_Analysis_Data3[[#This Row],[Payment_Method]],V:V)</f>
        <v>#VALUE!</v>
      </c>
      <c r="AE180" s="2">
        <f t="shared" si="5"/>
        <v>101.31</v>
      </c>
    </row>
    <row r="181" spans="1:31" x14ac:dyDescent="0.25">
      <c r="A181" s="2" t="s">
        <v>449</v>
      </c>
      <c r="B181" s="2">
        <v>35</v>
      </c>
      <c r="C181" s="2" t="s">
        <v>43</v>
      </c>
      <c r="D181" s="2" t="s">
        <v>44</v>
      </c>
      <c r="E181" s="2" t="s">
        <v>69</v>
      </c>
      <c r="F181" s="2" t="s">
        <v>56</v>
      </c>
      <c r="G181" s="2" t="s">
        <v>30</v>
      </c>
      <c r="H181" s="2" t="s">
        <v>450</v>
      </c>
      <c r="I181" s="2" t="s">
        <v>246</v>
      </c>
      <c r="J181" s="2">
        <v>54.71</v>
      </c>
      <c r="K181" s="2">
        <v>4</v>
      </c>
      <c r="L181" s="2" t="s">
        <v>35</v>
      </c>
      <c r="M181" s="2">
        <v>5</v>
      </c>
      <c r="N181" s="2">
        <v>2</v>
      </c>
      <c r="O181" s="2">
        <v>1</v>
      </c>
      <c r="P181" s="2" t="s">
        <v>59</v>
      </c>
      <c r="Q181" s="2" t="s">
        <v>85</v>
      </c>
      <c r="R181" s="2">
        <v>1</v>
      </c>
      <c r="S181" s="2">
        <v>3</v>
      </c>
      <c r="T181" s="2" t="s">
        <v>36</v>
      </c>
      <c r="U181" s="2" t="s">
        <v>79</v>
      </c>
      <c r="V181" s="2" t="s">
        <v>51</v>
      </c>
      <c r="W181" s="3">
        <v>45591</v>
      </c>
      <c r="X181" s="2" t="b">
        <v>1</v>
      </c>
      <c r="Y181" s="2" t="b">
        <v>1</v>
      </c>
      <c r="Z181" s="2" t="s">
        <v>40</v>
      </c>
      <c r="AA181" s="2" t="s">
        <v>67</v>
      </c>
      <c r="AB181" s="2">
        <v>3</v>
      </c>
      <c r="AC181" s="2">
        <f>SUMIF(N:N,Ecommerce_Consumer_Behavior_Analysis_Data3[[#This Row],[Brand_Loyalty]],M:M)</f>
        <v>641</v>
      </c>
      <c r="AD181" s="2" t="e" cm="1" vm="1">
        <f t="array" aca="1" ref="AD181" ca="1">SUMIFS(Y:Y,Ecommerce_Consumer_Behavior_Analysis_Data3[[#This Row],[Payment_Method]],V:V)</f>
        <v>#VALUE!</v>
      </c>
      <c r="AE181" s="2">
        <f t="shared" si="5"/>
        <v>333.8</v>
      </c>
    </row>
    <row r="182" spans="1:31" x14ac:dyDescent="0.25">
      <c r="A182" s="2" t="s">
        <v>451</v>
      </c>
      <c r="B182" s="2">
        <v>27</v>
      </c>
      <c r="C182" s="2" t="s">
        <v>43</v>
      </c>
      <c r="D182" s="2" t="s">
        <v>44</v>
      </c>
      <c r="E182" s="2" t="s">
        <v>69</v>
      </c>
      <c r="F182" s="2" t="s">
        <v>32</v>
      </c>
      <c r="G182" s="2" t="s">
        <v>30</v>
      </c>
      <c r="H182" s="2" t="s">
        <v>452</v>
      </c>
      <c r="I182" s="2" t="s">
        <v>114</v>
      </c>
      <c r="J182" s="2">
        <v>119.51</v>
      </c>
      <c r="K182" s="2">
        <v>11</v>
      </c>
      <c r="L182" s="2" t="s">
        <v>35</v>
      </c>
      <c r="M182" s="2">
        <v>5</v>
      </c>
      <c r="N182" s="2">
        <v>5</v>
      </c>
      <c r="O182" s="2">
        <v>2</v>
      </c>
      <c r="P182" s="2" t="s">
        <v>59</v>
      </c>
      <c r="Q182" s="2" t="s">
        <v>85</v>
      </c>
      <c r="R182" s="2">
        <v>2</v>
      </c>
      <c r="S182" s="2">
        <v>8</v>
      </c>
      <c r="T182" s="2" t="s">
        <v>59</v>
      </c>
      <c r="U182" s="2" t="s">
        <v>79</v>
      </c>
      <c r="V182" s="2" t="s">
        <v>51</v>
      </c>
      <c r="W182" s="3">
        <v>45419</v>
      </c>
      <c r="X182" s="2" t="b">
        <v>0</v>
      </c>
      <c r="Y182" s="2" t="b">
        <v>0</v>
      </c>
      <c r="Z182" s="2" t="s">
        <v>74</v>
      </c>
      <c r="AA182" s="2" t="s">
        <v>41</v>
      </c>
      <c r="AB182" s="2">
        <v>1</v>
      </c>
      <c r="AC182" s="2">
        <f>SUMIF(N:N,Ecommerce_Consumer_Behavior_Analysis_Data3[[#This Row],[Brand_Loyalty]],M:M)</f>
        <v>641</v>
      </c>
      <c r="AD182" s="2" t="e" cm="1" vm="1">
        <f t="array" aca="1" ref="AD182" ca="1">SUMIFS(Y:Y,Ecommerce_Consumer_Behavior_Analysis_Data3[[#This Row],[Payment_Method]],V:V)</f>
        <v>#VALUE!</v>
      </c>
      <c r="AE182" s="2">
        <f t="shared" si="5"/>
        <v>101.31</v>
      </c>
    </row>
    <row r="183" spans="1:31" x14ac:dyDescent="0.25">
      <c r="A183" s="2" t="s">
        <v>453</v>
      </c>
      <c r="B183" s="2">
        <v>37</v>
      </c>
      <c r="C183" s="2" t="s">
        <v>29</v>
      </c>
      <c r="D183" s="2" t="s">
        <v>44</v>
      </c>
      <c r="E183" s="2" t="s">
        <v>55</v>
      </c>
      <c r="F183" s="2" t="s">
        <v>56</v>
      </c>
      <c r="G183" s="2" t="s">
        <v>44</v>
      </c>
      <c r="H183" s="2" t="s">
        <v>454</v>
      </c>
      <c r="I183" s="2" t="s">
        <v>135</v>
      </c>
      <c r="J183" s="2">
        <v>57.5</v>
      </c>
      <c r="K183" s="2">
        <v>12</v>
      </c>
      <c r="L183" s="2" t="s">
        <v>78</v>
      </c>
      <c r="M183" s="2">
        <v>5</v>
      </c>
      <c r="N183" s="2">
        <v>1</v>
      </c>
      <c r="O183" s="2">
        <v>1</v>
      </c>
      <c r="P183" s="2" t="s">
        <v>36</v>
      </c>
      <c r="Q183" s="2" t="s">
        <v>50</v>
      </c>
      <c r="R183" s="2">
        <v>0</v>
      </c>
      <c r="S183" s="2">
        <v>3</v>
      </c>
      <c r="T183" s="2" t="s">
        <v>36</v>
      </c>
      <c r="U183" s="2" t="s">
        <v>79</v>
      </c>
      <c r="V183" s="2" t="s">
        <v>86</v>
      </c>
      <c r="W183" s="3">
        <v>45634</v>
      </c>
      <c r="X183" s="2" t="b">
        <v>1</v>
      </c>
      <c r="Y183" s="2" t="b">
        <v>1</v>
      </c>
      <c r="Z183" s="2" t="s">
        <v>62</v>
      </c>
      <c r="AA183" s="2" t="s">
        <v>41</v>
      </c>
      <c r="AB183" s="2">
        <v>13</v>
      </c>
      <c r="AC183" s="2">
        <f>SUMIF(N:N,Ecommerce_Consumer_Behavior_Analysis_Data3[[#This Row],[Brand_Loyalty]],M:M)</f>
        <v>641</v>
      </c>
      <c r="AD183" s="2" t="e" cm="1" vm="1">
        <f t="array" aca="1" ref="AD183" ca="1">SUMIFS(Y:Y,Ecommerce_Consumer_Behavior_Analysis_Data3[[#This Row],[Payment_Method]],V:V)</f>
        <v>#VALUE!</v>
      </c>
      <c r="AE183" s="2">
        <f t="shared" si="5"/>
        <v>101.31</v>
      </c>
    </row>
    <row r="184" spans="1:31" x14ac:dyDescent="0.25">
      <c r="A184" s="2" t="s">
        <v>455</v>
      </c>
      <c r="B184" s="2">
        <v>38</v>
      </c>
      <c r="C184" s="2" t="s">
        <v>29</v>
      </c>
      <c r="D184" s="2" t="s">
        <v>44</v>
      </c>
      <c r="E184" s="2" t="s">
        <v>31</v>
      </c>
      <c r="F184" s="2" t="s">
        <v>32</v>
      </c>
      <c r="G184" s="2" t="s">
        <v>44</v>
      </c>
      <c r="H184" s="2" t="s">
        <v>456</v>
      </c>
      <c r="I184" s="2" t="s">
        <v>82</v>
      </c>
      <c r="J184" s="2">
        <v>225.05</v>
      </c>
      <c r="K184" s="2">
        <v>5</v>
      </c>
      <c r="L184" s="2" t="s">
        <v>35</v>
      </c>
      <c r="M184" s="2">
        <v>2</v>
      </c>
      <c r="N184" s="2">
        <v>1</v>
      </c>
      <c r="O184" s="2">
        <v>1</v>
      </c>
      <c r="P184" s="2" t="s">
        <v>44</v>
      </c>
      <c r="Q184" s="2" t="s">
        <v>37</v>
      </c>
      <c r="R184" s="2">
        <v>1</v>
      </c>
      <c r="S184" s="2">
        <v>1</v>
      </c>
      <c r="T184" s="2" t="s">
        <v>59</v>
      </c>
      <c r="U184" s="2" t="s">
        <v>79</v>
      </c>
      <c r="V184" s="2" t="s">
        <v>39</v>
      </c>
      <c r="W184" s="3">
        <v>45470</v>
      </c>
      <c r="X184" s="2" t="b">
        <v>0</v>
      </c>
      <c r="Y184" s="2" t="b">
        <v>0</v>
      </c>
      <c r="Z184" s="2" t="s">
        <v>40</v>
      </c>
      <c r="AA184" s="2" t="s">
        <v>41</v>
      </c>
      <c r="AB184" s="2">
        <v>10</v>
      </c>
      <c r="AC184" s="2">
        <f>SUMIF(N:N,Ecommerce_Consumer_Behavior_Analysis_Data3[[#This Row],[Brand_Loyalty]],M:M)</f>
        <v>582</v>
      </c>
      <c r="AD184" s="2" t="e" cm="1" vm="1">
        <f t="array" aca="1" ref="AD184" ca="1">SUMIFS(Y:Y,Ecommerce_Consumer_Behavior_Analysis_Data3[[#This Row],[Payment_Method]],V:V)</f>
        <v>#VALUE!</v>
      </c>
      <c r="AE184" s="2">
        <f t="shared" si="5"/>
        <v>101.31</v>
      </c>
    </row>
    <row r="185" spans="1:31" x14ac:dyDescent="0.25">
      <c r="A185" s="2" t="s">
        <v>457</v>
      </c>
      <c r="B185" s="2">
        <v>41</v>
      </c>
      <c r="C185" s="2" t="s">
        <v>29</v>
      </c>
      <c r="D185" s="2" t="s">
        <v>44</v>
      </c>
      <c r="E185" s="2" t="s">
        <v>76</v>
      </c>
      <c r="F185" s="2" t="s">
        <v>45</v>
      </c>
      <c r="G185" s="2" t="s">
        <v>44</v>
      </c>
      <c r="H185" s="2" t="s">
        <v>458</v>
      </c>
      <c r="I185" s="2" t="s">
        <v>47</v>
      </c>
      <c r="J185" s="2">
        <v>441.15</v>
      </c>
      <c r="K185" s="2">
        <v>7</v>
      </c>
      <c r="L185" s="2" t="s">
        <v>78</v>
      </c>
      <c r="M185" s="2">
        <v>3</v>
      </c>
      <c r="N185" s="2">
        <v>1</v>
      </c>
      <c r="O185" s="2">
        <v>1</v>
      </c>
      <c r="P185" s="2" t="s">
        <v>59</v>
      </c>
      <c r="Q185" s="2" t="s">
        <v>37</v>
      </c>
      <c r="R185" s="2">
        <v>1</v>
      </c>
      <c r="S185" s="2">
        <v>1</v>
      </c>
      <c r="T185" s="2" t="s">
        <v>36</v>
      </c>
      <c r="U185" s="2" t="s">
        <v>60</v>
      </c>
      <c r="V185" s="2" t="s">
        <v>61</v>
      </c>
      <c r="W185" s="3">
        <v>45535</v>
      </c>
      <c r="X185" s="2" t="b">
        <v>0</v>
      </c>
      <c r="Y185" s="2" t="b">
        <v>0</v>
      </c>
      <c r="Z185" s="2" t="s">
        <v>40</v>
      </c>
      <c r="AA185" s="2" t="s">
        <v>41</v>
      </c>
      <c r="AB185" s="2">
        <v>8</v>
      </c>
      <c r="AC185" s="2">
        <f>SUMIF(N:N,Ecommerce_Consumer_Behavior_Analysis_Data3[[#This Row],[Brand_Loyalty]],M:M)</f>
        <v>597</v>
      </c>
      <c r="AD185" s="2" t="e" cm="1" vm="1">
        <f t="array" aca="1" ref="AD185" ca="1">SUMIFS(Y:Y,Ecommerce_Consumer_Behavior_Analysis_Data3[[#This Row],[Payment_Method]],V:V)</f>
        <v>#VALUE!</v>
      </c>
      <c r="AE185" s="2">
        <f t="shared" si="5"/>
        <v>101.31</v>
      </c>
    </row>
    <row r="186" spans="1:31" x14ac:dyDescent="0.25">
      <c r="A186" s="2" t="s">
        <v>459</v>
      </c>
      <c r="B186" s="2">
        <v>48</v>
      </c>
      <c r="C186" s="2" t="s">
        <v>43</v>
      </c>
      <c r="D186" s="2" t="s">
        <v>30</v>
      </c>
      <c r="E186" s="2" t="s">
        <v>76</v>
      </c>
      <c r="F186" s="2" t="s">
        <v>45</v>
      </c>
      <c r="G186" s="2" t="s">
        <v>30</v>
      </c>
      <c r="H186" s="2" t="s">
        <v>460</v>
      </c>
      <c r="I186" s="2" t="s">
        <v>101</v>
      </c>
      <c r="J186" s="2">
        <v>481.21</v>
      </c>
      <c r="K186" s="2">
        <v>3</v>
      </c>
      <c r="L186" s="2" t="s">
        <v>35</v>
      </c>
      <c r="M186" s="2">
        <v>1</v>
      </c>
      <c r="N186" s="2">
        <v>2</v>
      </c>
      <c r="O186" s="2">
        <v>1</v>
      </c>
      <c r="P186" s="2" t="s">
        <v>44</v>
      </c>
      <c r="Q186" s="2" t="s">
        <v>50</v>
      </c>
      <c r="R186" s="2">
        <v>0</v>
      </c>
      <c r="S186" s="2">
        <v>1</v>
      </c>
      <c r="T186" s="2" t="s">
        <v>36</v>
      </c>
      <c r="U186" s="2" t="s">
        <v>79</v>
      </c>
      <c r="V186" s="2" t="s">
        <v>39</v>
      </c>
      <c r="W186" s="3">
        <v>45609</v>
      </c>
      <c r="X186" s="2" t="b">
        <v>0</v>
      </c>
      <c r="Y186" s="2" t="b">
        <v>0</v>
      </c>
      <c r="Z186" s="2" t="s">
        <v>52</v>
      </c>
      <c r="AA186" s="2" t="s">
        <v>41</v>
      </c>
      <c r="AB186" s="2">
        <v>11</v>
      </c>
      <c r="AC186" s="2">
        <f>SUMIF(N:N,Ecommerce_Consumer_Behavior_Analysis_Data3[[#This Row],[Brand_Loyalty]],M:M)</f>
        <v>603</v>
      </c>
      <c r="AD186" s="2" t="e" cm="1" vm="1">
        <f t="array" aca="1" ref="AD186" ca="1">SUMIFS(Y:Y,Ecommerce_Consumer_Behavior_Analysis_Data3[[#This Row],[Payment_Method]],V:V)</f>
        <v>#VALUE!</v>
      </c>
      <c r="AE186" s="2">
        <f t="shared" si="5"/>
        <v>101.31</v>
      </c>
    </row>
    <row r="187" spans="1:31" x14ac:dyDescent="0.25">
      <c r="A187" s="2" t="s">
        <v>461</v>
      </c>
      <c r="B187" s="2">
        <v>48</v>
      </c>
      <c r="C187" s="2" t="s">
        <v>29</v>
      </c>
      <c r="D187" s="2" t="s">
        <v>44</v>
      </c>
      <c r="E187" s="2" t="s">
        <v>31</v>
      </c>
      <c r="F187" s="2" t="s">
        <v>32</v>
      </c>
      <c r="G187" s="2" t="s">
        <v>30</v>
      </c>
      <c r="H187" s="2" t="s">
        <v>462</v>
      </c>
      <c r="I187" s="2" t="s">
        <v>135</v>
      </c>
      <c r="J187" s="2">
        <v>102.96</v>
      </c>
      <c r="K187" s="2">
        <v>3</v>
      </c>
      <c r="L187" s="2" t="s">
        <v>35</v>
      </c>
      <c r="M187" s="2">
        <v>1</v>
      </c>
      <c r="N187" s="2">
        <v>1</v>
      </c>
      <c r="O187" s="2">
        <v>1</v>
      </c>
      <c r="P187" s="2" t="s">
        <v>59</v>
      </c>
      <c r="Q187" s="2" t="s">
        <v>85</v>
      </c>
      <c r="R187" s="2">
        <v>0</v>
      </c>
      <c r="S187" s="2">
        <v>7</v>
      </c>
      <c r="T187" s="2" t="s">
        <v>59</v>
      </c>
      <c r="U187" s="2" t="s">
        <v>79</v>
      </c>
      <c r="V187" s="2" t="s">
        <v>51</v>
      </c>
      <c r="W187" s="3">
        <v>45645</v>
      </c>
      <c r="X187" s="2" t="b">
        <v>0</v>
      </c>
      <c r="Y187" s="2" t="b">
        <v>1</v>
      </c>
      <c r="Z187" s="2" t="s">
        <v>52</v>
      </c>
      <c r="AA187" s="2" t="s">
        <v>53</v>
      </c>
      <c r="AB187" s="2">
        <v>4</v>
      </c>
      <c r="AC187" s="2">
        <f>SUMIF(N:N,Ecommerce_Consumer_Behavior_Analysis_Data3[[#This Row],[Brand_Loyalty]],M:M)</f>
        <v>603</v>
      </c>
      <c r="AD187" s="2" t="e" cm="1" vm="1">
        <f t="array" aca="1" ref="AD187" ca="1">SUMIFS(Y:Y,Ecommerce_Consumer_Behavior_Analysis_Data3[[#This Row],[Payment_Method]],V:V)</f>
        <v>#VALUE!</v>
      </c>
      <c r="AE187" s="2">
        <f t="shared" si="5"/>
        <v>211.7</v>
      </c>
    </row>
    <row r="188" spans="1:31" x14ac:dyDescent="0.25">
      <c r="A188" s="2" t="s">
        <v>463</v>
      </c>
      <c r="B188" s="2">
        <v>45</v>
      </c>
      <c r="C188" s="2" t="s">
        <v>29</v>
      </c>
      <c r="D188" s="2" t="s">
        <v>44</v>
      </c>
      <c r="E188" s="2" t="s">
        <v>76</v>
      </c>
      <c r="F188" s="2" t="s">
        <v>32</v>
      </c>
      <c r="G188" s="2" t="s">
        <v>44</v>
      </c>
      <c r="H188" s="2" t="s">
        <v>464</v>
      </c>
      <c r="I188" s="2" t="s">
        <v>117</v>
      </c>
      <c r="J188" s="2">
        <v>331.57</v>
      </c>
      <c r="K188" s="2">
        <v>11</v>
      </c>
      <c r="L188" s="2" t="s">
        <v>35</v>
      </c>
      <c r="M188" s="2">
        <v>3</v>
      </c>
      <c r="N188" s="2">
        <v>1</v>
      </c>
      <c r="O188" s="2">
        <v>0</v>
      </c>
      <c r="P188" s="2" t="s">
        <v>59</v>
      </c>
      <c r="Q188" s="2" t="s">
        <v>37</v>
      </c>
      <c r="R188" s="2">
        <v>1</v>
      </c>
      <c r="S188" s="2">
        <v>6</v>
      </c>
      <c r="T188" s="2" t="s">
        <v>49</v>
      </c>
      <c r="U188" s="2" t="s">
        <v>79</v>
      </c>
      <c r="V188" s="2" t="s">
        <v>61</v>
      </c>
      <c r="W188" s="3">
        <v>45418</v>
      </c>
      <c r="X188" s="2" t="b">
        <v>0</v>
      </c>
      <c r="Y188" s="2" t="b">
        <v>0</v>
      </c>
      <c r="Z188" s="2" t="s">
        <v>62</v>
      </c>
      <c r="AA188" s="2" t="s">
        <v>67</v>
      </c>
      <c r="AB188" s="2">
        <v>14</v>
      </c>
      <c r="AC188" s="2">
        <f>SUMIF(N:N,Ecommerce_Consumer_Behavior_Analysis_Data3[[#This Row],[Brand_Loyalty]],M:M)</f>
        <v>597</v>
      </c>
      <c r="AD188" s="2" t="e" cm="1" vm="1">
        <f t="array" aca="1" ref="AD188" ca="1">SUMIFS(Y:Y,Ecommerce_Consumer_Behavior_Analysis_Data3[[#This Row],[Payment_Method]],V:V)</f>
        <v>#VALUE!</v>
      </c>
      <c r="AE188" s="2">
        <f t="shared" si="5"/>
        <v>333.8</v>
      </c>
    </row>
    <row r="189" spans="1:31" x14ac:dyDescent="0.25">
      <c r="A189" s="2" t="s">
        <v>465</v>
      </c>
      <c r="B189" s="2">
        <v>26</v>
      </c>
      <c r="C189" s="2" t="s">
        <v>190</v>
      </c>
      <c r="D189" s="2" t="s">
        <v>30</v>
      </c>
      <c r="E189" s="2" t="s">
        <v>69</v>
      </c>
      <c r="F189" s="2" t="s">
        <v>45</v>
      </c>
      <c r="G189" s="2" t="s">
        <v>30</v>
      </c>
      <c r="H189" s="2" t="s">
        <v>466</v>
      </c>
      <c r="I189" s="2" t="s">
        <v>117</v>
      </c>
      <c r="J189" s="2">
        <v>101.29</v>
      </c>
      <c r="K189" s="2">
        <v>11</v>
      </c>
      <c r="L189" s="2" t="s">
        <v>48</v>
      </c>
      <c r="M189" s="2">
        <v>1</v>
      </c>
      <c r="N189" s="2">
        <v>1</v>
      </c>
      <c r="O189" s="2">
        <v>2</v>
      </c>
      <c r="P189" s="2" t="s">
        <v>49</v>
      </c>
      <c r="Q189" s="2" t="s">
        <v>50</v>
      </c>
      <c r="R189" s="2">
        <v>2</v>
      </c>
      <c r="S189" s="2">
        <v>7</v>
      </c>
      <c r="T189" s="2" t="s">
        <v>49</v>
      </c>
      <c r="U189" s="2" t="s">
        <v>60</v>
      </c>
      <c r="V189" s="2" t="s">
        <v>86</v>
      </c>
      <c r="W189" s="3">
        <v>45595</v>
      </c>
      <c r="X189" s="2" t="b">
        <v>0</v>
      </c>
      <c r="Y189" s="2" t="b">
        <v>1</v>
      </c>
      <c r="Z189" s="2" t="s">
        <v>40</v>
      </c>
      <c r="AA189" s="2" t="s">
        <v>41</v>
      </c>
      <c r="AB189" s="2">
        <v>4</v>
      </c>
      <c r="AC189" s="2">
        <f>SUMIF(N:N,Ecommerce_Consumer_Behavior_Analysis_Data3[[#This Row],[Brand_Loyalty]],M:M)</f>
        <v>603</v>
      </c>
      <c r="AD189" s="2" t="e" cm="1" vm="1">
        <f t="array" aca="1" ref="AD189" ca="1">SUMIFS(Y:Y,Ecommerce_Consumer_Behavior_Analysis_Data3[[#This Row],[Payment_Method]],V:V)</f>
        <v>#VALUE!</v>
      </c>
      <c r="AE189" s="2">
        <f t="shared" si="5"/>
        <v>101.31</v>
      </c>
    </row>
    <row r="190" spans="1:31" x14ac:dyDescent="0.25">
      <c r="A190" s="2" t="s">
        <v>467</v>
      </c>
      <c r="B190" s="2">
        <v>50</v>
      </c>
      <c r="C190" s="2" t="s">
        <v>29</v>
      </c>
      <c r="D190" s="2" t="s">
        <v>30</v>
      </c>
      <c r="E190" s="2" t="s">
        <v>55</v>
      </c>
      <c r="F190" s="2" t="s">
        <v>56</v>
      </c>
      <c r="G190" s="2" t="s">
        <v>44</v>
      </c>
      <c r="H190" s="2" t="s">
        <v>468</v>
      </c>
      <c r="I190" s="2" t="s">
        <v>114</v>
      </c>
      <c r="J190" s="2">
        <v>143.52000000000001</v>
      </c>
      <c r="K190" s="2">
        <v>9</v>
      </c>
      <c r="L190" s="2" t="s">
        <v>48</v>
      </c>
      <c r="M190" s="2">
        <v>2</v>
      </c>
      <c r="N190" s="2">
        <v>5</v>
      </c>
      <c r="O190" s="2">
        <v>1</v>
      </c>
      <c r="P190" s="2" t="s">
        <v>49</v>
      </c>
      <c r="Q190" s="2" t="s">
        <v>37</v>
      </c>
      <c r="R190" s="2">
        <v>2</v>
      </c>
      <c r="S190" s="2">
        <v>3</v>
      </c>
      <c r="T190" s="2" t="s">
        <v>36</v>
      </c>
      <c r="U190" s="2" t="s">
        <v>38</v>
      </c>
      <c r="V190" s="2" t="s">
        <v>39</v>
      </c>
      <c r="W190" s="3">
        <v>45393</v>
      </c>
      <c r="X190" s="2" t="b">
        <v>1</v>
      </c>
      <c r="Y190" s="2" t="b">
        <v>0</v>
      </c>
      <c r="Z190" s="2" t="s">
        <v>62</v>
      </c>
      <c r="AA190" s="2" t="s">
        <v>67</v>
      </c>
      <c r="AB190" s="2">
        <v>12</v>
      </c>
      <c r="AC190" s="2">
        <f>SUMIF(N:N,Ecommerce_Consumer_Behavior_Analysis_Data3[[#This Row],[Brand_Loyalty]],M:M)</f>
        <v>582</v>
      </c>
      <c r="AD190" s="2" t="e" cm="1" vm="1">
        <f t="array" aca="1" ref="AD190" ca="1">SUMIFS(Y:Y,Ecommerce_Consumer_Behavior_Analysis_Data3[[#This Row],[Payment_Method]],V:V)</f>
        <v>#VALUE!</v>
      </c>
      <c r="AE190" s="2">
        <f t="shared" si="5"/>
        <v>101.31</v>
      </c>
    </row>
    <row r="191" spans="1:31" x14ac:dyDescent="0.25">
      <c r="A191" s="2" t="s">
        <v>469</v>
      </c>
      <c r="B191" s="2">
        <v>39</v>
      </c>
      <c r="C191" s="2" t="s">
        <v>43</v>
      </c>
      <c r="D191" s="2" t="s">
        <v>30</v>
      </c>
      <c r="E191" s="2" t="s">
        <v>69</v>
      </c>
      <c r="F191" s="2" t="s">
        <v>32</v>
      </c>
      <c r="G191" s="2" t="s">
        <v>30</v>
      </c>
      <c r="H191" s="2" t="s">
        <v>470</v>
      </c>
      <c r="I191" s="2" t="s">
        <v>90</v>
      </c>
      <c r="J191" s="2">
        <v>276.48</v>
      </c>
      <c r="K191" s="2">
        <v>3</v>
      </c>
      <c r="L191" s="2" t="s">
        <v>35</v>
      </c>
      <c r="M191" s="2">
        <v>1</v>
      </c>
      <c r="N191" s="2">
        <v>2</v>
      </c>
      <c r="O191" s="2">
        <v>1</v>
      </c>
      <c r="P191" s="2" t="s">
        <v>36</v>
      </c>
      <c r="Q191" s="2" t="s">
        <v>37</v>
      </c>
      <c r="R191" s="2">
        <v>0</v>
      </c>
      <c r="S191" s="2">
        <v>4</v>
      </c>
      <c r="T191" s="2" t="s">
        <v>59</v>
      </c>
      <c r="U191" s="2" t="s">
        <v>79</v>
      </c>
      <c r="V191" s="2" t="s">
        <v>86</v>
      </c>
      <c r="W191" s="3">
        <v>45417</v>
      </c>
      <c r="X191" s="2" t="b">
        <v>0</v>
      </c>
      <c r="Y191" s="2" t="b">
        <v>0</v>
      </c>
      <c r="Z191" s="2" t="s">
        <v>40</v>
      </c>
      <c r="AA191" s="2" t="s">
        <v>67</v>
      </c>
      <c r="AB191" s="2">
        <v>7</v>
      </c>
      <c r="AC191" s="2">
        <f>SUMIF(N:N,Ecommerce_Consumer_Behavior_Analysis_Data3[[#This Row],[Brand_Loyalty]],M:M)</f>
        <v>603</v>
      </c>
      <c r="AD191" s="2" t="e" cm="1" vm="1">
        <f t="array" aca="1" ref="AD191" ca="1">SUMIFS(Y:Y,Ecommerce_Consumer_Behavior_Analysis_Data3[[#This Row],[Payment_Method]],V:V)</f>
        <v>#VALUE!</v>
      </c>
      <c r="AE191" s="2">
        <f t="shared" si="5"/>
        <v>211.7</v>
      </c>
    </row>
    <row r="192" spans="1:31" x14ac:dyDescent="0.25">
      <c r="A192" s="2" t="s">
        <v>471</v>
      </c>
      <c r="B192" s="2">
        <v>20</v>
      </c>
      <c r="C192" s="2" t="s">
        <v>43</v>
      </c>
      <c r="D192" s="2" t="s">
        <v>44</v>
      </c>
      <c r="E192" s="2" t="s">
        <v>69</v>
      </c>
      <c r="F192" s="2" t="s">
        <v>45</v>
      </c>
      <c r="G192" s="2" t="s">
        <v>44</v>
      </c>
      <c r="H192" s="2" t="s">
        <v>472</v>
      </c>
      <c r="I192" s="2" t="s">
        <v>126</v>
      </c>
      <c r="J192" s="2">
        <v>352.87</v>
      </c>
      <c r="K192" s="2">
        <v>11</v>
      </c>
      <c r="L192" s="2" t="s">
        <v>48</v>
      </c>
      <c r="M192" s="2">
        <v>5</v>
      </c>
      <c r="N192" s="2">
        <v>3</v>
      </c>
      <c r="O192" s="2">
        <v>0</v>
      </c>
      <c r="P192" s="2" t="s">
        <v>44</v>
      </c>
      <c r="Q192" s="2" t="s">
        <v>50</v>
      </c>
      <c r="R192" s="2">
        <v>0</v>
      </c>
      <c r="S192" s="2">
        <v>6</v>
      </c>
      <c r="T192" s="2" t="s">
        <v>44</v>
      </c>
      <c r="U192" s="2" t="s">
        <v>38</v>
      </c>
      <c r="V192" s="2" t="s">
        <v>51</v>
      </c>
      <c r="W192" s="3">
        <v>45341</v>
      </c>
      <c r="X192" s="2" t="b">
        <v>0</v>
      </c>
      <c r="Y192" s="2" t="b">
        <v>0</v>
      </c>
      <c r="Z192" s="2" t="s">
        <v>52</v>
      </c>
      <c r="AA192" s="2" t="s">
        <v>53</v>
      </c>
      <c r="AB192" s="2">
        <v>12</v>
      </c>
      <c r="AC192" s="2">
        <f>SUMIF(N:N,Ecommerce_Consumer_Behavior_Analysis_Data3[[#This Row],[Brand_Loyalty]],M:M)</f>
        <v>641</v>
      </c>
      <c r="AD192" s="2" t="e" cm="1" vm="1">
        <f t="array" aca="1" ref="AD192" ca="1">SUMIFS(Y:Y,Ecommerce_Consumer_Behavior_Analysis_Data3[[#This Row],[Payment_Method]],V:V)</f>
        <v>#VALUE!</v>
      </c>
      <c r="AE192" s="2">
        <f t="shared" si="5"/>
        <v>333.8</v>
      </c>
    </row>
    <row r="193" spans="1:31" x14ac:dyDescent="0.25">
      <c r="A193" s="2" t="s">
        <v>473</v>
      </c>
      <c r="B193" s="2">
        <v>48</v>
      </c>
      <c r="C193" s="2" t="s">
        <v>43</v>
      </c>
      <c r="D193" s="2" t="s">
        <v>30</v>
      </c>
      <c r="E193" s="2" t="s">
        <v>31</v>
      </c>
      <c r="F193" s="2" t="s">
        <v>56</v>
      </c>
      <c r="G193" s="2" t="s">
        <v>30</v>
      </c>
      <c r="H193" s="2" t="s">
        <v>474</v>
      </c>
      <c r="I193" s="2" t="s">
        <v>93</v>
      </c>
      <c r="J193" s="2">
        <v>228.68</v>
      </c>
      <c r="K193" s="2">
        <v>3</v>
      </c>
      <c r="L193" s="2" t="s">
        <v>35</v>
      </c>
      <c r="M193" s="2">
        <v>2</v>
      </c>
      <c r="N193" s="2">
        <v>1</v>
      </c>
      <c r="O193" s="2">
        <v>2</v>
      </c>
      <c r="P193" s="2" t="s">
        <v>59</v>
      </c>
      <c r="Q193" s="2" t="s">
        <v>85</v>
      </c>
      <c r="R193" s="2">
        <v>1</v>
      </c>
      <c r="S193" s="2">
        <v>4</v>
      </c>
      <c r="T193" s="2" t="s">
        <v>36</v>
      </c>
      <c r="U193" s="2" t="s">
        <v>38</v>
      </c>
      <c r="V193" s="2" t="s">
        <v>61</v>
      </c>
      <c r="W193" s="3">
        <v>45574</v>
      </c>
      <c r="X193" s="2" t="b">
        <v>1</v>
      </c>
      <c r="Y193" s="2" t="b">
        <v>0</v>
      </c>
      <c r="Z193" s="2" t="s">
        <v>74</v>
      </c>
      <c r="AA193" s="2" t="s">
        <v>53</v>
      </c>
      <c r="AB193" s="2">
        <v>4</v>
      </c>
      <c r="AC193" s="2">
        <f>SUMIF(N:N,Ecommerce_Consumer_Behavior_Analysis_Data3[[#This Row],[Brand_Loyalty]],M:M)</f>
        <v>582</v>
      </c>
      <c r="AD193" s="2" t="e" cm="1" vm="1">
        <f t="array" aca="1" ref="AD193" ca="1">SUMIFS(Y:Y,Ecommerce_Consumer_Behavior_Analysis_Data3[[#This Row],[Payment_Method]],V:V)</f>
        <v>#VALUE!</v>
      </c>
      <c r="AE193" s="2">
        <f t="shared" si="5"/>
        <v>211.7</v>
      </c>
    </row>
    <row r="194" spans="1:31" x14ac:dyDescent="0.25">
      <c r="A194" s="2" t="s">
        <v>475</v>
      </c>
      <c r="B194" s="2">
        <v>31</v>
      </c>
      <c r="C194" s="2" t="s">
        <v>29</v>
      </c>
      <c r="D194" s="2" t="s">
        <v>30</v>
      </c>
      <c r="E194" s="2" t="s">
        <v>76</v>
      </c>
      <c r="F194" s="2" t="s">
        <v>56</v>
      </c>
      <c r="G194" s="2" t="s">
        <v>44</v>
      </c>
      <c r="H194" s="2" t="s">
        <v>476</v>
      </c>
      <c r="I194" s="2" t="s">
        <v>47</v>
      </c>
      <c r="J194" s="2">
        <v>301.39</v>
      </c>
      <c r="K194" s="2">
        <v>6</v>
      </c>
      <c r="L194" s="2" t="s">
        <v>78</v>
      </c>
      <c r="M194" s="2">
        <v>2</v>
      </c>
      <c r="N194" s="2">
        <v>1</v>
      </c>
      <c r="O194" s="2">
        <v>0</v>
      </c>
      <c r="P194" s="2" t="s">
        <v>36</v>
      </c>
      <c r="Q194" s="2" t="s">
        <v>85</v>
      </c>
      <c r="R194" s="2">
        <v>1</v>
      </c>
      <c r="S194" s="2">
        <v>4</v>
      </c>
      <c r="T194" s="2" t="s">
        <v>59</v>
      </c>
      <c r="U194" s="2" t="s">
        <v>79</v>
      </c>
      <c r="V194" s="2" t="s">
        <v>61</v>
      </c>
      <c r="W194" s="3">
        <v>45403</v>
      </c>
      <c r="X194" s="2" t="b">
        <v>0</v>
      </c>
      <c r="Y194" s="2" t="b">
        <v>0</v>
      </c>
      <c r="Z194" s="2" t="s">
        <v>40</v>
      </c>
      <c r="AA194" s="2" t="s">
        <v>41</v>
      </c>
      <c r="AB194" s="2">
        <v>11</v>
      </c>
      <c r="AC194" s="2">
        <f>SUMIF(N:N,Ecommerce_Consumer_Behavior_Analysis_Data3[[#This Row],[Brand_Loyalty]],M:M)</f>
        <v>582</v>
      </c>
      <c r="AD194" s="2" t="e" cm="1" vm="1">
        <f t="array" aca="1" ref="AD194" ca="1">SUMIFS(Y:Y,Ecommerce_Consumer_Behavior_Analysis_Data3[[#This Row],[Payment_Method]],V:V)</f>
        <v>#VALUE!</v>
      </c>
      <c r="AE194" s="2">
        <f t="shared" ref="AE194:AE257" si="7">INDEX(J:J,MATCH(O195,O:O,0))</f>
        <v>101.31</v>
      </c>
    </row>
    <row r="195" spans="1:31" x14ac:dyDescent="0.25">
      <c r="A195" s="2" t="s">
        <v>477</v>
      </c>
      <c r="B195" s="2">
        <v>25</v>
      </c>
      <c r="C195" s="2" t="s">
        <v>29</v>
      </c>
      <c r="D195" s="2" t="s">
        <v>30</v>
      </c>
      <c r="E195" s="2" t="s">
        <v>31</v>
      </c>
      <c r="F195" s="2" t="s">
        <v>32</v>
      </c>
      <c r="G195" s="2" t="s">
        <v>44</v>
      </c>
      <c r="H195" s="2" t="s">
        <v>478</v>
      </c>
      <c r="I195" s="2" t="s">
        <v>82</v>
      </c>
      <c r="J195" s="2">
        <v>473.5</v>
      </c>
      <c r="K195" s="2">
        <v>11</v>
      </c>
      <c r="L195" s="2" t="s">
        <v>35</v>
      </c>
      <c r="M195" s="2">
        <v>2</v>
      </c>
      <c r="N195" s="2">
        <v>4</v>
      </c>
      <c r="O195" s="2">
        <v>1</v>
      </c>
      <c r="P195" s="2" t="s">
        <v>59</v>
      </c>
      <c r="Q195" s="2" t="s">
        <v>37</v>
      </c>
      <c r="R195" s="2">
        <v>2</v>
      </c>
      <c r="S195" s="2">
        <v>3</v>
      </c>
      <c r="T195" s="2" t="s">
        <v>44</v>
      </c>
      <c r="U195" s="2" t="s">
        <v>38</v>
      </c>
      <c r="V195" s="2" t="s">
        <v>66</v>
      </c>
      <c r="W195" s="3">
        <v>45497</v>
      </c>
      <c r="X195" s="2" t="b">
        <v>0</v>
      </c>
      <c r="Y195" s="2" t="b">
        <v>1</v>
      </c>
      <c r="Z195" s="2" t="s">
        <v>62</v>
      </c>
      <c r="AA195" s="2" t="s">
        <v>67</v>
      </c>
      <c r="AB195" s="2">
        <v>10</v>
      </c>
      <c r="AC195" s="2">
        <f>SUMIF(N:N,Ecommerce_Consumer_Behavior_Analysis_Data3[[#This Row],[Brand_Loyalty]],M:M)</f>
        <v>582</v>
      </c>
      <c r="AD195" s="2" t="e" cm="1" vm="1">
        <f t="array" aca="1" ref="AD195" ca="1">SUMIFS(Y:Y,Ecommerce_Consumer_Behavior_Analysis_Data3[[#This Row],[Payment_Method]],V:V)</f>
        <v>#VALUE!</v>
      </c>
      <c r="AE195" s="2">
        <f t="shared" si="7"/>
        <v>101.31</v>
      </c>
    </row>
    <row r="196" spans="1:31" x14ac:dyDescent="0.25">
      <c r="A196" s="2" t="s">
        <v>479</v>
      </c>
      <c r="B196" s="2">
        <v>18</v>
      </c>
      <c r="C196" s="2" t="s">
        <v>274</v>
      </c>
      <c r="D196" s="2" t="s">
        <v>30</v>
      </c>
      <c r="E196" s="2" t="s">
        <v>55</v>
      </c>
      <c r="F196" s="2" t="s">
        <v>32</v>
      </c>
      <c r="G196" s="2" t="s">
        <v>44</v>
      </c>
      <c r="H196" s="2" t="s">
        <v>480</v>
      </c>
      <c r="I196" s="2" t="s">
        <v>65</v>
      </c>
      <c r="J196" s="2">
        <v>72.8</v>
      </c>
      <c r="K196" s="2">
        <v>11</v>
      </c>
      <c r="L196" s="2" t="s">
        <v>48</v>
      </c>
      <c r="M196" s="2">
        <v>2</v>
      </c>
      <c r="N196" s="2">
        <v>4</v>
      </c>
      <c r="O196" s="2">
        <v>1</v>
      </c>
      <c r="P196" s="2" t="s">
        <v>44</v>
      </c>
      <c r="Q196" s="2" t="s">
        <v>37</v>
      </c>
      <c r="R196" s="2">
        <v>2</v>
      </c>
      <c r="S196" s="2">
        <v>10</v>
      </c>
      <c r="T196" s="2" t="s">
        <v>44</v>
      </c>
      <c r="U196" s="2" t="s">
        <v>79</v>
      </c>
      <c r="V196" s="2" t="s">
        <v>51</v>
      </c>
      <c r="W196" s="3">
        <v>45524</v>
      </c>
      <c r="X196" s="2" t="b">
        <v>1</v>
      </c>
      <c r="Y196" s="2" t="b">
        <v>0</v>
      </c>
      <c r="Z196" s="2" t="s">
        <v>40</v>
      </c>
      <c r="AA196" s="2" t="s">
        <v>67</v>
      </c>
      <c r="AB196" s="2">
        <v>3</v>
      </c>
      <c r="AC196" s="2">
        <f>SUMIF(N:N,Ecommerce_Consumer_Behavior_Analysis_Data3[[#This Row],[Brand_Loyalty]],M:M)</f>
        <v>582</v>
      </c>
      <c r="AD196" s="2" t="e" cm="1" vm="1">
        <f t="array" aca="1" ref="AD196" ca="1">SUMIFS(Y:Y,Ecommerce_Consumer_Behavior_Analysis_Data3[[#This Row],[Payment_Method]],V:V)</f>
        <v>#VALUE!</v>
      </c>
      <c r="AE196" s="2">
        <f t="shared" si="7"/>
        <v>101.31</v>
      </c>
    </row>
    <row r="197" spans="1:31" x14ac:dyDescent="0.25">
      <c r="A197" s="2" t="s">
        <v>481</v>
      </c>
      <c r="B197" s="2">
        <v>18</v>
      </c>
      <c r="C197" s="2" t="s">
        <v>43</v>
      </c>
      <c r="D197" s="2" t="s">
        <v>30</v>
      </c>
      <c r="E197" s="2" t="s">
        <v>76</v>
      </c>
      <c r="F197" s="2" t="s">
        <v>32</v>
      </c>
      <c r="G197" s="2" t="s">
        <v>44</v>
      </c>
      <c r="H197" s="2" t="s">
        <v>482</v>
      </c>
      <c r="I197" s="2" t="s">
        <v>114</v>
      </c>
      <c r="J197" s="2">
        <v>171.72</v>
      </c>
      <c r="K197" s="2">
        <v>3</v>
      </c>
      <c r="L197" s="2" t="s">
        <v>78</v>
      </c>
      <c r="M197" s="2">
        <v>5</v>
      </c>
      <c r="N197" s="2">
        <v>3</v>
      </c>
      <c r="O197" s="2">
        <v>1</v>
      </c>
      <c r="P197" s="2" t="s">
        <v>59</v>
      </c>
      <c r="Q197" s="2" t="s">
        <v>85</v>
      </c>
      <c r="R197" s="2">
        <v>1</v>
      </c>
      <c r="S197" s="2">
        <v>2</v>
      </c>
      <c r="T197" s="2" t="s">
        <v>36</v>
      </c>
      <c r="U197" s="2" t="s">
        <v>79</v>
      </c>
      <c r="V197" s="2" t="s">
        <v>51</v>
      </c>
      <c r="W197" s="3">
        <v>45375</v>
      </c>
      <c r="X197" s="2" t="b">
        <v>0</v>
      </c>
      <c r="Y197" s="2" t="b">
        <v>1</v>
      </c>
      <c r="Z197" s="2" t="s">
        <v>62</v>
      </c>
      <c r="AA197" s="2" t="s">
        <v>53</v>
      </c>
      <c r="AB197" s="2">
        <v>12</v>
      </c>
      <c r="AC197" s="2">
        <f>SUMIF(N:N,Ecommerce_Consumer_Behavior_Analysis_Data3[[#This Row],[Brand_Loyalty]],M:M)</f>
        <v>641</v>
      </c>
      <c r="AD197" s="2" t="e" cm="1" vm="1">
        <f t="array" aca="1" ref="AD197" ca="1">SUMIFS(Y:Y,Ecommerce_Consumer_Behavior_Analysis_Data3[[#This Row],[Payment_Method]],V:V)</f>
        <v>#VALUE!</v>
      </c>
      <c r="AE197" s="2">
        <f t="shared" si="7"/>
        <v>211.7</v>
      </c>
    </row>
    <row r="198" spans="1:31" x14ac:dyDescent="0.25">
      <c r="A198" s="2" t="s">
        <v>483</v>
      </c>
      <c r="B198" s="2">
        <v>31</v>
      </c>
      <c r="C198" s="2" t="s">
        <v>43</v>
      </c>
      <c r="D198" s="2" t="s">
        <v>30</v>
      </c>
      <c r="E198" s="2" t="s">
        <v>69</v>
      </c>
      <c r="F198" s="2" t="s">
        <v>45</v>
      </c>
      <c r="G198" s="2" t="s">
        <v>30</v>
      </c>
      <c r="H198" s="2" t="s">
        <v>484</v>
      </c>
      <c r="I198" s="2" t="s">
        <v>120</v>
      </c>
      <c r="J198" s="2">
        <v>467.5</v>
      </c>
      <c r="K198" s="2">
        <v>6</v>
      </c>
      <c r="L198" s="2" t="s">
        <v>48</v>
      </c>
      <c r="M198" s="2">
        <v>2</v>
      </c>
      <c r="N198" s="2">
        <v>1</v>
      </c>
      <c r="O198" s="2">
        <v>0</v>
      </c>
      <c r="P198" s="2" t="s">
        <v>36</v>
      </c>
      <c r="Q198" s="2" t="s">
        <v>37</v>
      </c>
      <c r="R198" s="2">
        <v>1</v>
      </c>
      <c r="S198" s="2">
        <v>1</v>
      </c>
      <c r="T198" s="2" t="s">
        <v>44</v>
      </c>
      <c r="U198" s="2" t="s">
        <v>79</v>
      </c>
      <c r="V198" s="2" t="s">
        <v>51</v>
      </c>
      <c r="W198" s="3">
        <v>45386</v>
      </c>
      <c r="X198" s="2" t="b">
        <v>0</v>
      </c>
      <c r="Y198" s="2" t="b">
        <v>0</v>
      </c>
      <c r="Z198" s="2" t="s">
        <v>74</v>
      </c>
      <c r="AA198" s="2" t="s">
        <v>41</v>
      </c>
      <c r="AB198" s="2">
        <v>6</v>
      </c>
      <c r="AC198" s="2">
        <f>SUMIF(N:N,Ecommerce_Consumer_Behavior_Analysis_Data3[[#This Row],[Brand_Loyalty]],M:M)</f>
        <v>582</v>
      </c>
      <c r="AD198" s="2" t="e" cm="1" vm="1">
        <f t="array" aca="1" ref="AD198" ca="1">SUMIFS(Y:Y,Ecommerce_Consumer_Behavior_Analysis_Data3[[#This Row],[Payment_Method]],V:V)</f>
        <v>#VALUE!</v>
      </c>
      <c r="AE198" s="2">
        <f t="shared" si="7"/>
        <v>333.8</v>
      </c>
    </row>
    <row r="199" spans="1:31" x14ac:dyDescent="0.25">
      <c r="A199" s="2" t="s">
        <v>485</v>
      </c>
      <c r="B199" s="2">
        <v>43</v>
      </c>
      <c r="C199" s="2" t="s">
        <v>352</v>
      </c>
      <c r="D199" s="2" t="s">
        <v>44</v>
      </c>
      <c r="E199" s="2" t="s">
        <v>31</v>
      </c>
      <c r="F199" s="2" t="s">
        <v>32</v>
      </c>
      <c r="G199" s="2" t="s">
        <v>44</v>
      </c>
      <c r="H199" s="2" t="s">
        <v>486</v>
      </c>
      <c r="I199" s="2" t="s">
        <v>71</v>
      </c>
      <c r="J199" s="2">
        <v>209.79</v>
      </c>
      <c r="K199" s="2">
        <v>6</v>
      </c>
      <c r="L199" s="2" t="s">
        <v>35</v>
      </c>
      <c r="M199" s="2">
        <v>5</v>
      </c>
      <c r="N199" s="2">
        <v>1</v>
      </c>
      <c r="O199" s="2">
        <v>2</v>
      </c>
      <c r="P199" s="2" t="s">
        <v>44</v>
      </c>
      <c r="Q199" s="2" t="s">
        <v>50</v>
      </c>
      <c r="R199" s="2">
        <v>1</v>
      </c>
      <c r="S199" s="2">
        <v>9</v>
      </c>
      <c r="T199" s="2" t="s">
        <v>59</v>
      </c>
      <c r="U199" s="2" t="s">
        <v>38</v>
      </c>
      <c r="V199" s="2" t="s">
        <v>66</v>
      </c>
      <c r="W199" s="3">
        <v>45548</v>
      </c>
      <c r="X199" s="2" t="b">
        <v>1</v>
      </c>
      <c r="Y199" s="2" t="b">
        <v>1</v>
      </c>
      <c r="Z199" s="2" t="s">
        <v>40</v>
      </c>
      <c r="AA199" s="2" t="s">
        <v>53</v>
      </c>
      <c r="AB199" s="2">
        <v>10</v>
      </c>
      <c r="AC199" s="2">
        <f>SUMIF(N:N,Ecommerce_Consumer_Behavior_Analysis_Data3[[#This Row],[Brand_Loyalty]],M:M)</f>
        <v>641</v>
      </c>
      <c r="AD199" s="2" t="e" cm="1" vm="1">
        <f t="array" aca="1" ref="AD199" ca="1">SUMIFS(Y:Y,Ecommerce_Consumer_Behavior_Analysis_Data3[[#This Row],[Payment_Method]],V:V)</f>
        <v>#VALUE!</v>
      </c>
      <c r="AE199" s="2">
        <f t="shared" si="7"/>
        <v>333.8</v>
      </c>
    </row>
    <row r="200" spans="1:31" x14ac:dyDescent="0.25">
      <c r="A200" s="2" t="s">
        <v>487</v>
      </c>
      <c r="B200" s="2">
        <v>23</v>
      </c>
      <c r="C200" s="2" t="s">
        <v>43</v>
      </c>
      <c r="D200" s="2" t="s">
        <v>30</v>
      </c>
      <c r="E200" s="2" t="s">
        <v>55</v>
      </c>
      <c r="F200" s="2" t="s">
        <v>45</v>
      </c>
      <c r="G200" s="2" t="s">
        <v>30</v>
      </c>
      <c r="H200" s="2" t="s">
        <v>488</v>
      </c>
      <c r="I200" s="2" t="s">
        <v>58</v>
      </c>
      <c r="J200" s="2">
        <v>150.33000000000001</v>
      </c>
      <c r="K200" s="2">
        <v>9</v>
      </c>
      <c r="L200" s="2" t="s">
        <v>48</v>
      </c>
      <c r="M200" s="2">
        <v>4</v>
      </c>
      <c r="N200" s="2">
        <v>4</v>
      </c>
      <c r="O200" s="2">
        <v>2</v>
      </c>
      <c r="P200" s="2" t="s">
        <v>36</v>
      </c>
      <c r="Q200" s="2" t="s">
        <v>37</v>
      </c>
      <c r="R200" s="2">
        <v>2</v>
      </c>
      <c r="S200" s="2">
        <v>9</v>
      </c>
      <c r="T200" s="2" t="s">
        <v>49</v>
      </c>
      <c r="U200" s="2" t="s">
        <v>79</v>
      </c>
      <c r="V200" s="2" t="s">
        <v>61</v>
      </c>
      <c r="W200" s="3">
        <v>45406</v>
      </c>
      <c r="X200" s="2" t="b">
        <v>1</v>
      </c>
      <c r="Y200" s="2" t="b">
        <v>0</v>
      </c>
      <c r="Z200" s="2" t="s">
        <v>52</v>
      </c>
      <c r="AA200" s="2" t="s">
        <v>67</v>
      </c>
      <c r="AB200" s="2">
        <v>6</v>
      </c>
      <c r="AC200" s="2">
        <f>SUMIF(N:N,Ecommerce_Consumer_Behavior_Analysis_Data3[[#This Row],[Brand_Loyalty]],M:M)</f>
        <v>603</v>
      </c>
      <c r="AD200" s="2" t="e" cm="1" vm="1">
        <f t="array" aca="1" ref="AD200" ca="1">SUMIFS(Y:Y,Ecommerce_Consumer_Behavior_Analysis_Data3[[#This Row],[Payment_Method]],V:V)</f>
        <v>#VALUE!</v>
      </c>
      <c r="AE200" s="2">
        <f t="shared" si="7"/>
        <v>333.8</v>
      </c>
    </row>
    <row r="201" spans="1:31" x14ac:dyDescent="0.25">
      <c r="A201" s="2" t="s">
        <v>489</v>
      </c>
      <c r="B201" s="2">
        <v>29</v>
      </c>
      <c r="C201" s="2" t="s">
        <v>43</v>
      </c>
      <c r="D201" s="2" t="s">
        <v>44</v>
      </c>
      <c r="E201" s="2" t="s">
        <v>31</v>
      </c>
      <c r="F201" s="2" t="s">
        <v>32</v>
      </c>
      <c r="G201" s="2" t="s">
        <v>44</v>
      </c>
      <c r="H201" s="2" t="s">
        <v>490</v>
      </c>
      <c r="I201" s="2" t="s">
        <v>98</v>
      </c>
      <c r="J201" s="2">
        <v>98.63</v>
      </c>
      <c r="K201" s="2">
        <v>7</v>
      </c>
      <c r="L201" s="2" t="s">
        <v>78</v>
      </c>
      <c r="M201" s="2">
        <v>4</v>
      </c>
      <c r="N201" s="2">
        <v>5</v>
      </c>
      <c r="O201" s="2">
        <v>2</v>
      </c>
      <c r="P201" s="2" t="s">
        <v>44</v>
      </c>
      <c r="Q201" s="2" t="s">
        <v>37</v>
      </c>
      <c r="R201" s="2">
        <v>1</v>
      </c>
      <c r="S201" s="2">
        <v>3</v>
      </c>
      <c r="T201" s="2" t="s">
        <v>59</v>
      </c>
      <c r="U201" s="2" t="s">
        <v>38</v>
      </c>
      <c r="V201" s="2" t="s">
        <v>66</v>
      </c>
      <c r="W201" s="3">
        <v>45300</v>
      </c>
      <c r="X201" s="2" t="b">
        <v>0</v>
      </c>
      <c r="Y201" s="2" t="b">
        <v>1</v>
      </c>
      <c r="Z201" s="2" t="s">
        <v>74</v>
      </c>
      <c r="AA201" s="2" t="s">
        <v>53</v>
      </c>
      <c r="AB201" s="2">
        <v>6</v>
      </c>
      <c r="AC201" s="2">
        <f>SUMIF(N:N,Ecommerce_Consumer_Behavior_Analysis_Data3[[#This Row],[Brand_Loyalty]],M:M)</f>
        <v>603</v>
      </c>
      <c r="AD201" s="2" t="e" cm="1" vm="1">
        <f t="array" aca="1" ref="AD201" ca="1">SUMIFS(Y:Y,Ecommerce_Consumer_Behavior_Analysis_Data3[[#This Row],[Payment_Method]],V:V)</f>
        <v>#VALUE!</v>
      </c>
      <c r="AE201" s="2">
        <f t="shared" si="7"/>
        <v>333.8</v>
      </c>
    </row>
    <row r="202" spans="1:31" x14ac:dyDescent="0.25">
      <c r="A202" s="2" t="s">
        <v>491</v>
      </c>
      <c r="B202" s="2">
        <v>21</v>
      </c>
      <c r="C202" s="2" t="s">
        <v>29</v>
      </c>
      <c r="D202" s="2" t="s">
        <v>30</v>
      </c>
      <c r="E202" s="2" t="s">
        <v>76</v>
      </c>
      <c r="F202" s="2" t="s">
        <v>56</v>
      </c>
      <c r="G202" s="2" t="s">
        <v>30</v>
      </c>
      <c r="H202" s="2" t="s">
        <v>492</v>
      </c>
      <c r="I202" s="2" t="s">
        <v>188</v>
      </c>
      <c r="J202" s="2">
        <v>193.3</v>
      </c>
      <c r="K202" s="2">
        <v>11</v>
      </c>
      <c r="L202" s="2" t="s">
        <v>35</v>
      </c>
      <c r="M202" s="2">
        <v>4</v>
      </c>
      <c r="N202" s="2">
        <v>2</v>
      </c>
      <c r="O202" s="2">
        <v>2</v>
      </c>
      <c r="P202" s="2" t="s">
        <v>36</v>
      </c>
      <c r="Q202" s="2" t="s">
        <v>85</v>
      </c>
      <c r="R202" s="2">
        <v>2</v>
      </c>
      <c r="S202" s="2">
        <v>1</v>
      </c>
      <c r="T202" s="2" t="s">
        <v>49</v>
      </c>
      <c r="U202" s="2" t="s">
        <v>38</v>
      </c>
      <c r="V202" s="2" t="s">
        <v>66</v>
      </c>
      <c r="W202" s="3">
        <v>45446</v>
      </c>
      <c r="X202" s="2" t="b">
        <v>1</v>
      </c>
      <c r="Y202" s="2" t="b">
        <v>1</v>
      </c>
      <c r="Z202" s="2" t="s">
        <v>74</v>
      </c>
      <c r="AA202" s="2" t="s">
        <v>41</v>
      </c>
      <c r="AB202" s="2">
        <v>12</v>
      </c>
      <c r="AC202" s="2">
        <f>SUMIF(N:N,Ecommerce_Consumer_Behavior_Analysis_Data3[[#This Row],[Brand_Loyalty]],M:M)</f>
        <v>603</v>
      </c>
      <c r="AD202" s="2" t="e" cm="1" vm="1">
        <f t="array" aca="1" ref="AD202" ca="1">SUMIFS(Y:Y,Ecommerce_Consumer_Behavior_Analysis_Data3[[#This Row],[Payment_Method]],V:V)</f>
        <v>#VALUE!</v>
      </c>
      <c r="AE202" s="2">
        <f t="shared" si="7"/>
        <v>211.7</v>
      </c>
    </row>
    <row r="203" spans="1:31" x14ac:dyDescent="0.25">
      <c r="A203" s="2" t="s">
        <v>493</v>
      </c>
      <c r="B203" s="2">
        <v>49</v>
      </c>
      <c r="C203" s="2" t="s">
        <v>29</v>
      </c>
      <c r="D203" s="2" t="s">
        <v>30</v>
      </c>
      <c r="E203" s="2" t="s">
        <v>55</v>
      </c>
      <c r="F203" s="2" t="s">
        <v>45</v>
      </c>
      <c r="G203" s="2" t="s">
        <v>30</v>
      </c>
      <c r="H203" s="2" t="s">
        <v>494</v>
      </c>
      <c r="I203" s="2" t="s">
        <v>98</v>
      </c>
      <c r="J203" s="2">
        <v>145.02000000000001</v>
      </c>
      <c r="K203" s="2">
        <v>7</v>
      </c>
      <c r="L203" s="2" t="s">
        <v>48</v>
      </c>
      <c r="M203" s="2">
        <v>3</v>
      </c>
      <c r="N203" s="2">
        <v>2</v>
      </c>
      <c r="O203" s="2">
        <v>0</v>
      </c>
      <c r="P203" s="2" t="s">
        <v>44</v>
      </c>
      <c r="Q203" s="2" t="s">
        <v>85</v>
      </c>
      <c r="R203" s="2">
        <v>1</v>
      </c>
      <c r="S203" s="2">
        <v>1</v>
      </c>
      <c r="T203" s="2" t="s">
        <v>49</v>
      </c>
      <c r="U203" s="2" t="s">
        <v>79</v>
      </c>
      <c r="V203" s="2" t="s">
        <v>39</v>
      </c>
      <c r="W203" s="3">
        <v>45466</v>
      </c>
      <c r="X203" s="2" t="b">
        <v>1</v>
      </c>
      <c r="Y203" s="2" t="b">
        <v>1</v>
      </c>
      <c r="Z203" s="2" t="s">
        <v>52</v>
      </c>
      <c r="AA203" s="2" t="s">
        <v>67</v>
      </c>
      <c r="AB203" s="2">
        <v>9</v>
      </c>
      <c r="AC203" s="2">
        <f>SUMIF(N:N,Ecommerce_Consumer_Behavior_Analysis_Data3[[#This Row],[Brand_Loyalty]],M:M)</f>
        <v>597</v>
      </c>
      <c r="AD203" s="2" t="e" cm="1" vm="1">
        <f t="array" aca="1" ref="AD203" ca="1">SUMIFS(Y:Y,Ecommerce_Consumer_Behavior_Analysis_Data3[[#This Row],[Payment_Method]],V:V)</f>
        <v>#VALUE!</v>
      </c>
      <c r="AE203" s="2">
        <f t="shared" si="7"/>
        <v>333.8</v>
      </c>
    </row>
    <row r="204" spans="1:31" x14ac:dyDescent="0.25">
      <c r="A204" s="2" t="s">
        <v>495</v>
      </c>
      <c r="B204" s="2">
        <v>30</v>
      </c>
      <c r="C204" s="2" t="s">
        <v>29</v>
      </c>
      <c r="D204" s="2" t="s">
        <v>30</v>
      </c>
      <c r="E204" s="2" t="s">
        <v>76</v>
      </c>
      <c r="F204" s="2" t="s">
        <v>56</v>
      </c>
      <c r="G204" s="2" t="s">
        <v>30</v>
      </c>
      <c r="H204" s="2" t="s">
        <v>496</v>
      </c>
      <c r="I204" s="2" t="s">
        <v>142</v>
      </c>
      <c r="J204" s="2">
        <v>294.99</v>
      </c>
      <c r="K204" s="2">
        <v>4</v>
      </c>
      <c r="L204" s="2" t="s">
        <v>78</v>
      </c>
      <c r="M204" s="2">
        <v>3</v>
      </c>
      <c r="N204" s="2">
        <v>5</v>
      </c>
      <c r="O204" s="2">
        <v>2</v>
      </c>
      <c r="P204" s="2" t="s">
        <v>59</v>
      </c>
      <c r="Q204" s="2" t="s">
        <v>37</v>
      </c>
      <c r="R204" s="2">
        <v>1</v>
      </c>
      <c r="S204" s="2">
        <v>4</v>
      </c>
      <c r="T204" s="2" t="s">
        <v>44</v>
      </c>
      <c r="U204" s="2" t="s">
        <v>79</v>
      </c>
      <c r="V204" s="2" t="s">
        <v>51</v>
      </c>
      <c r="W204" s="3">
        <v>45626</v>
      </c>
      <c r="X204" s="2" t="b">
        <v>0</v>
      </c>
      <c r="Y204" s="2" t="b">
        <v>0</v>
      </c>
      <c r="Z204" s="2" t="s">
        <v>40</v>
      </c>
      <c r="AA204" s="2" t="s">
        <v>53</v>
      </c>
      <c r="AB204" s="2">
        <v>5</v>
      </c>
      <c r="AC204" s="2">
        <f>SUMIF(N:N,Ecommerce_Consumer_Behavior_Analysis_Data3[[#This Row],[Brand_Loyalty]],M:M)</f>
        <v>597</v>
      </c>
      <c r="AD204" s="2" t="e" cm="1" vm="1">
        <f t="array" aca="1" ref="AD204" ca="1">SUMIFS(Y:Y,Ecommerce_Consumer_Behavior_Analysis_Data3[[#This Row],[Payment_Method]],V:V)</f>
        <v>#VALUE!</v>
      </c>
      <c r="AE204" s="2">
        <f t="shared" si="7"/>
        <v>101.31</v>
      </c>
    </row>
    <row r="205" spans="1:31" x14ac:dyDescent="0.25">
      <c r="A205" s="2" t="s">
        <v>497</v>
      </c>
      <c r="B205" s="2">
        <v>31</v>
      </c>
      <c r="C205" s="2" t="s">
        <v>212</v>
      </c>
      <c r="D205" s="2" t="s">
        <v>30</v>
      </c>
      <c r="E205" s="2" t="s">
        <v>76</v>
      </c>
      <c r="F205" s="2" t="s">
        <v>45</v>
      </c>
      <c r="G205" s="2" t="s">
        <v>30</v>
      </c>
      <c r="H205" s="2" t="s">
        <v>498</v>
      </c>
      <c r="I205" s="2" t="s">
        <v>58</v>
      </c>
      <c r="J205" s="2">
        <v>305.45</v>
      </c>
      <c r="K205" s="2">
        <v>2</v>
      </c>
      <c r="L205" s="2" t="s">
        <v>35</v>
      </c>
      <c r="M205" s="2">
        <v>5</v>
      </c>
      <c r="N205" s="2">
        <v>5</v>
      </c>
      <c r="O205" s="2">
        <v>1</v>
      </c>
      <c r="P205" s="2" t="s">
        <v>36</v>
      </c>
      <c r="Q205" s="2" t="s">
        <v>85</v>
      </c>
      <c r="R205" s="2">
        <v>1</v>
      </c>
      <c r="S205" s="2">
        <v>1</v>
      </c>
      <c r="T205" s="2" t="s">
        <v>44</v>
      </c>
      <c r="U205" s="2" t="s">
        <v>60</v>
      </c>
      <c r="V205" s="2" t="s">
        <v>51</v>
      </c>
      <c r="W205" s="3">
        <v>45589</v>
      </c>
      <c r="X205" s="2" t="b">
        <v>0</v>
      </c>
      <c r="Y205" s="2" t="b">
        <v>1</v>
      </c>
      <c r="Z205" s="2" t="s">
        <v>62</v>
      </c>
      <c r="AA205" s="2" t="s">
        <v>67</v>
      </c>
      <c r="AB205" s="2">
        <v>9</v>
      </c>
      <c r="AC205" s="2">
        <f>SUMIF(N:N,Ecommerce_Consumer_Behavior_Analysis_Data3[[#This Row],[Brand_Loyalty]],M:M)</f>
        <v>641</v>
      </c>
      <c r="AD205" s="2" t="e" cm="1" vm="1">
        <f t="array" aca="1" ref="AD205" ca="1">SUMIFS(Y:Y,Ecommerce_Consumer_Behavior_Analysis_Data3[[#This Row],[Payment_Method]],V:V)</f>
        <v>#VALUE!</v>
      </c>
      <c r="AE205" s="2">
        <f t="shared" si="7"/>
        <v>211.7</v>
      </c>
    </row>
    <row r="206" spans="1:31" x14ac:dyDescent="0.25">
      <c r="A206" s="2" t="s">
        <v>499</v>
      </c>
      <c r="B206" s="2">
        <v>50</v>
      </c>
      <c r="C206" s="2" t="s">
        <v>29</v>
      </c>
      <c r="D206" s="2" t="s">
        <v>30</v>
      </c>
      <c r="E206" s="2" t="s">
        <v>69</v>
      </c>
      <c r="F206" s="2" t="s">
        <v>45</v>
      </c>
      <c r="G206" s="2" t="s">
        <v>30</v>
      </c>
      <c r="H206" s="2" t="s">
        <v>500</v>
      </c>
      <c r="I206" s="2" t="s">
        <v>126</v>
      </c>
      <c r="J206" s="2">
        <v>432.42</v>
      </c>
      <c r="K206" s="2">
        <v>2</v>
      </c>
      <c r="L206" s="2" t="s">
        <v>48</v>
      </c>
      <c r="M206" s="2">
        <v>4</v>
      </c>
      <c r="N206" s="2">
        <v>4</v>
      </c>
      <c r="O206" s="2">
        <v>0</v>
      </c>
      <c r="P206" s="2" t="s">
        <v>49</v>
      </c>
      <c r="Q206" s="2" t="s">
        <v>50</v>
      </c>
      <c r="R206" s="2">
        <v>0</v>
      </c>
      <c r="S206" s="2">
        <v>8</v>
      </c>
      <c r="T206" s="2" t="s">
        <v>36</v>
      </c>
      <c r="U206" s="2" t="s">
        <v>38</v>
      </c>
      <c r="V206" s="2" t="s">
        <v>51</v>
      </c>
      <c r="W206" s="3">
        <v>45403</v>
      </c>
      <c r="X206" s="2" t="b">
        <v>0</v>
      </c>
      <c r="Y206" s="2" t="b">
        <v>1</v>
      </c>
      <c r="Z206" s="2" t="s">
        <v>40</v>
      </c>
      <c r="AA206" s="2" t="s">
        <v>67</v>
      </c>
      <c r="AB206" s="2">
        <v>13</v>
      </c>
      <c r="AC206" s="2">
        <f>SUMIF(N:N,Ecommerce_Consumer_Behavior_Analysis_Data3[[#This Row],[Brand_Loyalty]],M:M)</f>
        <v>603</v>
      </c>
      <c r="AD206" s="2" t="e" cm="1" vm="1">
        <f t="array" aca="1" ref="AD206" ca="1">SUMIFS(Y:Y,Ecommerce_Consumer_Behavior_Analysis_Data3[[#This Row],[Payment_Method]],V:V)</f>
        <v>#VALUE!</v>
      </c>
      <c r="AE206" s="2">
        <f t="shared" si="7"/>
        <v>101.31</v>
      </c>
    </row>
    <row r="207" spans="1:31" x14ac:dyDescent="0.25">
      <c r="A207" s="2" t="s">
        <v>501</v>
      </c>
      <c r="B207" s="2">
        <v>35</v>
      </c>
      <c r="C207" s="2" t="s">
        <v>29</v>
      </c>
      <c r="D207" s="2" t="s">
        <v>30</v>
      </c>
      <c r="E207" s="2" t="s">
        <v>55</v>
      </c>
      <c r="F207" s="2" t="s">
        <v>32</v>
      </c>
      <c r="G207" s="2" t="s">
        <v>44</v>
      </c>
      <c r="H207" s="2" t="s">
        <v>502</v>
      </c>
      <c r="I207" s="2" t="s">
        <v>34</v>
      </c>
      <c r="J207" s="2">
        <v>227.58</v>
      </c>
      <c r="K207" s="2">
        <v>11</v>
      </c>
      <c r="L207" s="2" t="s">
        <v>35</v>
      </c>
      <c r="M207" s="2">
        <v>3</v>
      </c>
      <c r="N207" s="2">
        <v>1</v>
      </c>
      <c r="O207" s="2">
        <v>1</v>
      </c>
      <c r="P207" s="2" t="s">
        <v>36</v>
      </c>
      <c r="Q207" s="2" t="s">
        <v>50</v>
      </c>
      <c r="R207" s="2">
        <v>1</v>
      </c>
      <c r="S207" s="2">
        <v>8</v>
      </c>
      <c r="T207" s="2" t="s">
        <v>44</v>
      </c>
      <c r="U207" s="2" t="s">
        <v>60</v>
      </c>
      <c r="V207" s="2" t="s">
        <v>39</v>
      </c>
      <c r="W207" s="3">
        <v>45314</v>
      </c>
      <c r="X207" s="2" t="b">
        <v>0</v>
      </c>
      <c r="Y207" s="2" t="b">
        <v>1</v>
      </c>
      <c r="Z207" s="2" t="s">
        <v>40</v>
      </c>
      <c r="AA207" s="2" t="s">
        <v>67</v>
      </c>
      <c r="AB207" s="2">
        <v>6</v>
      </c>
      <c r="AC207" s="2">
        <f>SUMIF(N:N,Ecommerce_Consumer_Behavior_Analysis_Data3[[#This Row],[Brand_Loyalty]],M:M)</f>
        <v>597</v>
      </c>
      <c r="AD207" s="2" t="e" cm="1" vm="1">
        <f t="array" aca="1" ref="AD207" ca="1">SUMIFS(Y:Y,Ecommerce_Consumer_Behavior_Analysis_Data3[[#This Row],[Payment_Method]],V:V)</f>
        <v>#VALUE!</v>
      </c>
      <c r="AE207" s="2">
        <f t="shared" si="7"/>
        <v>333.8</v>
      </c>
    </row>
    <row r="208" spans="1:31" x14ac:dyDescent="0.25">
      <c r="A208" s="2" t="s">
        <v>503</v>
      </c>
      <c r="B208" s="2">
        <v>36</v>
      </c>
      <c r="C208" s="2" t="s">
        <v>43</v>
      </c>
      <c r="D208" s="2" t="s">
        <v>30</v>
      </c>
      <c r="E208" s="2" t="s">
        <v>55</v>
      </c>
      <c r="F208" s="2" t="s">
        <v>45</v>
      </c>
      <c r="G208" s="2" t="s">
        <v>44</v>
      </c>
      <c r="H208" s="2" t="s">
        <v>311</v>
      </c>
      <c r="I208" s="2" t="s">
        <v>126</v>
      </c>
      <c r="J208" s="2">
        <v>160.88999999999999</v>
      </c>
      <c r="K208" s="2">
        <v>10</v>
      </c>
      <c r="L208" s="2" t="s">
        <v>78</v>
      </c>
      <c r="M208" s="2">
        <v>5</v>
      </c>
      <c r="N208" s="2">
        <v>5</v>
      </c>
      <c r="O208" s="2">
        <v>2</v>
      </c>
      <c r="P208" s="2" t="s">
        <v>36</v>
      </c>
      <c r="Q208" s="2" t="s">
        <v>37</v>
      </c>
      <c r="R208" s="2">
        <v>2</v>
      </c>
      <c r="S208" s="2">
        <v>6</v>
      </c>
      <c r="T208" s="2" t="s">
        <v>49</v>
      </c>
      <c r="U208" s="2" t="s">
        <v>79</v>
      </c>
      <c r="V208" s="2" t="s">
        <v>51</v>
      </c>
      <c r="W208" s="3">
        <v>45466</v>
      </c>
      <c r="X208" s="2" t="b">
        <v>1</v>
      </c>
      <c r="Y208" s="2" t="b">
        <v>1</v>
      </c>
      <c r="Z208" s="2" t="s">
        <v>74</v>
      </c>
      <c r="AA208" s="2" t="s">
        <v>41</v>
      </c>
      <c r="AB208" s="2">
        <v>13</v>
      </c>
      <c r="AC208" s="2">
        <f>SUMIF(N:N,Ecommerce_Consumer_Behavior_Analysis_Data3[[#This Row],[Brand_Loyalty]],M:M)</f>
        <v>641</v>
      </c>
      <c r="AD208" s="2" t="e" cm="1" vm="1">
        <f t="array" aca="1" ref="AD208" ca="1">SUMIFS(Y:Y,Ecommerce_Consumer_Behavior_Analysis_Data3[[#This Row],[Payment_Method]],V:V)</f>
        <v>#VALUE!</v>
      </c>
      <c r="AE208" s="2">
        <f t="shared" si="7"/>
        <v>211.7</v>
      </c>
    </row>
    <row r="209" spans="1:31" x14ac:dyDescent="0.25">
      <c r="A209" s="2" t="s">
        <v>504</v>
      </c>
      <c r="B209" s="2">
        <v>24</v>
      </c>
      <c r="C209" s="2" t="s">
        <v>29</v>
      </c>
      <c r="D209" s="2" t="s">
        <v>30</v>
      </c>
      <c r="E209" s="2" t="s">
        <v>31</v>
      </c>
      <c r="F209" s="2" t="s">
        <v>56</v>
      </c>
      <c r="G209" s="2" t="s">
        <v>44</v>
      </c>
      <c r="H209" s="2" t="s">
        <v>505</v>
      </c>
      <c r="I209" s="2" t="s">
        <v>98</v>
      </c>
      <c r="J209" s="2">
        <v>139.1</v>
      </c>
      <c r="K209" s="2">
        <v>7</v>
      </c>
      <c r="L209" s="2" t="s">
        <v>78</v>
      </c>
      <c r="M209" s="2">
        <v>2</v>
      </c>
      <c r="N209" s="2">
        <v>5</v>
      </c>
      <c r="O209" s="2">
        <v>0</v>
      </c>
      <c r="P209" s="2" t="s">
        <v>59</v>
      </c>
      <c r="Q209" s="2" t="s">
        <v>37</v>
      </c>
      <c r="R209" s="2">
        <v>2</v>
      </c>
      <c r="S209" s="2">
        <v>3</v>
      </c>
      <c r="T209" s="2" t="s">
        <v>49</v>
      </c>
      <c r="U209" s="2" t="s">
        <v>79</v>
      </c>
      <c r="V209" s="2" t="s">
        <v>51</v>
      </c>
      <c r="W209" s="3">
        <v>45371</v>
      </c>
      <c r="X209" s="2" t="b">
        <v>0</v>
      </c>
      <c r="Y209" s="2" t="b">
        <v>0</v>
      </c>
      <c r="Z209" s="2" t="s">
        <v>62</v>
      </c>
      <c r="AA209" s="2" t="s">
        <v>41</v>
      </c>
      <c r="AB209" s="2">
        <v>8</v>
      </c>
      <c r="AC209" s="2">
        <f>SUMIF(N:N,Ecommerce_Consumer_Behavior_Analysis_Data3[[#This Row],[Brand_Loyalty]],M:M)</f>
        <v>582</v>
      </c>
      <c r="AD209" s="2" t="e" cm="1" vm="1">
        <f t="array" aca="1" ref="AD209" ca="1">SUMIFS(Y:Y,Ecommerce_Consumer_Behavior_Analysis_Data3[[#This Row],[Payment_Method]],V:V)</f>
        <v>#VALUE!</v>
      </c>
      <c r="AE209" s="2">
        <f t="shared" si="7"/>
        <v>333.8</v>
      </c>
    </row>
    <row r="210" spans="1:31" x14ac:dyDescent="0.25">
      <c r="A210" s="2" t="s">
        <v>506</v>
      </c>
      <c r="B210" s="2">
        <v>36</v>
      </c>
      <c r="C210" s="2" t="s">
        <v>148</v>
      </c>
      <c r="D210" s="2" t="s">
        <v>44</v>
      </c>
      <c r="E210" s="2" t="s">
        <v>31</v>
      </c>
      <c r="F210" s="2" t="s">
        <v>56</v>
      </c>
      <c r="G210" s="2" t="s">
        <v>30</v>
      </c>
      <c r="H210" s="2" t="s">
        <v>507</v>
      </c>
      <c r="I210" s="2" t="s">
        <v>71</v>
      </c>
      <c r="J210" s="2">
        <v>268.27999999999997</v>
      </c>
      <c r="K210" s="2">
        <v>9</v>
      </c>
      <c r="L210" s="2" t="s">
        <v>35</v>
      </c>
      <c r="M210" s="2">
        <v>5</v>
      </c>
      <c r="N210" s="2">
        <v>2</v>
      </c>
      <c r="O210" s="2">
        <v>2</v>
      </c>
      <c r="P210" s="2" t="s">
        <v>44</v>
      </c>
      <c r="Q210" s="2" t="s">
        <v>85</v>
      </c>
      <c r="R210" s="2">
        <v>2</v>
      </c>
      <c r="S210" s="2">
        <v>2</v>
      </c>
      <c r="T210" s="2" t="s">
        <v>44</v>
      </c>
      <c r="U210" s="2" t="s">
        <v>60</v>
      </c>
      <c r="V210" s="2" t="s">
        <v>39</v>
      </c>
      <c r="W210" s="3">
        <v>45391</v>
      </c>
      <c r="X210" s="2" t="b">
        <v>0</v>
      </c>
      <c r="Y210" s="2" t="b">
        <v>1</v>
      </c>
      <c r="Z210" s="2" t="s">
        <v>40</v>
      </c>
      <c r="AA210" s="2" t="s">
        <v>53</v>
      </c>
      <c r="AB210" s="2">
        <v>8</v>
      </c>
      <c r="AC210" s="2">
        <f>SUMIF(N:N,Ecommerce_Consumer_Behavior_Analysis_Data3[[#This Row],[Brand_Loyalty]],M:M)</f>
        <v>641</v>
      </c>
      <c r="AD210" s="2" t="e" cm="1" vm="1">
        <f t="array" aca="1" ref="AD210" ca="1">SUMIFS(Y:Y,Ecommerce_Consumer_Behavior_Analysis_Data3[[#This Row],[Payment_Method]],V:V)</f>
        <v>#VALUE!</v>
      </c>
      <c r="AE210" s="2">
        <f t="shared" si="7"/>
        <v>211.7</v>
      </c>
    </row>
    <row r="211" spans="1:31" x14ac:dyDescent="0.25">
      <c r="A211" s="2" t="s">
        <v>508</v>
      </c>
      <c r="B211" s="2">
        <v>45</v>
      </c>
      <c r="C211" s="2" t="s">
        <v>29</v>
      </c>
      <c r="D211" s="2" t="s">
        <v>30</v>
      </c>
      <c r="E211" s="2" t="s">
        <v>55</v>
      </c>
      <c r="F211" s="2" t="s">
        <v>56</v>
      </c>
      <c r="G211" s="2" t="s">
        <v>44</v>
      </c>
      <c r="H211" s="2" t="s">
        <v>509</v>
      </c>
      <c r="I211" s="2" t="s">
        <v>90</v>
      </c>
      <c r="J211" s="2">
        <v>64.489999999999995</v>
      </c>
      <c r="K211" s="2">
        <v>6</v>
      </c>
      <c r="L211" s="2" t="s">
        <v>78</v>
      </c>
      <c r="M211" s="2">
        <v>2</v>
      </c>
      <c r="N211" s="2">
        <v>1</v>
      </c>
      <c r="O211" s="2">
        <v>0</v>
      </c>
      <c r="P211" s="2" t="s">
        <v>36</v>
      </c>
      <c r="Q211" s="2" t="s">
        <v>85</v>
      </c>
      <c r="R211" s="2">
        <v>1</v>
      </c>
      <c r="S211" s="2">
        <v>10</v>
      </c>
      <c r="T211" s="2" t="s">
        <v>36</v>
      </c>
      <c r="U211" s="2" t="s">
        <v>38</v>
      </c>
      <c r="V211" s="2" t="s">
        <v>66</v>
      </c>
      <c r="W211" s="3">
        <v>45584</v>
      </c>
      <c r="X211" s="2" t="b">
        <v>0</v>
      </c>
      <c r="Y211" s="2" t="b">
        <v>0</v>
      </c>
      <c r="Z211" s="2" t="s">
        <v>74</v>
      </c>
      <c r="AA211" s="2" t="s">
        <v>67</v>
      </c>
      <c r="AB211" s="2">
        <v>7</v>
      </c>
      <c r="AC211" s="2">
        <f>SUMIF(N:N,Ecommerce_Consumer_Behavior_Analysis_Data3[[#This Row],[Brand_Loyalty]],M:M)</f>
        <v>582</v>
      </c>
      <c r="AD211" s="2" t="e" cm="1" vm="1">
        <f t="array" aca="1" ref="AD211" ca="1">SUMIFS(Y:Y,Ecommerce_Consumer_Behavior_Analysis_Data3[[#This Row],[Payment_Method]],V:V)</f>
        <v>#VALUE!</v>
      </c>
      <c r="AE211" s="2">
        <f t="shared" si="7"/>
        <v>101.31</v>
      </c>
    </row>
    <row r="212" spans="1:31" x14ac:dyDescent="0.25">
      <c r="A212" s="2" t="s">
        <v>510</v>
      </c>
      <c r="B212" s="2">
        <v>44</v>
      </c>
      <c r="C212" s="2" t="s">
        <v>43</v>
      </c>
      <c r="D212" s="2" t="s">
        <v>30</v>
      </c>
      <c r="E212" s="2" t="s">
        <v>69</v>
      </c>
      <c r="F212" s="2" t="s">
        <v>45</v>
      </c>
      <c r="G212" s="2" t="s">
        <v>30</v>
      </c>
      <c r="H212" s="2" t="s">
        <v>151</v>
      </c>
      <c r="I212" s="2" t="s">
        <v>135</v>
      </c>
      <c r="J212" s="2">
        <v>80.17</v>
      </c>
      <c r="K212" s="2">
        <v>10</v>
      </c>
      <c r="L212" s="2" t="s">
        <v>78</v>
      </c>
      <c r="M212" s="2">
        <v>1</v>
      </c>
      <c r="N212" s="2">
        <v>1</v>
      </c>
      <c r="O212" s="2">
        <v>1</v>
      </c>
      <c r="P212" s="2" t="s">
        <v>44</v>
      </c>
      <c r="Q212" s="2" t="s">
        <v>50</v>
      </c>
      <c r="R212" s="2">
        <v>1</v>
      </c>
      <c r="S212" s="2">
        <v>8</v>
      </c>
      <c r="T212" s="2" t="s">
        <v>36</v>
      </c>
      <c r="U212" s="2" t="s">
        <v>38</v>
      </c>
      <c r="V212" s="2" t="s">
        <v>39</v>
      </c>
      <c r="W212" s="3">
        <v>45422</v>
      </c>
      <c r="X212" s="2" t="b">
        <v>1</v>
      </c>
      <c r="Y212" s="2" t="b">
        <v>1</v>
      </c>
      <c r="Z212" s="2" t="s">
        <v>74</v>
      </c>
      <c r="AA212" s="2" t="s">
        <v>41</v>
      </c>
      <c r="AB212" s="2">
        <v>6</v>
      </c>
      <c r="AC212" s="2">
        <f>SUMIF(N:N,Ecommerce_Consumer_Behavior_Analysis_Data3[[#This Row],[Brand_Loyalty]],M:M)</f>
        <v>603</v>
      </c>
      <c r="AD212" s="2" t="e" cm="1" vm="1">
        <f t="array" aca="1" ref="AD212" ca="1">SUMIFS(Y:Y,Ecommerce_Consumer_Behavior_Analysis_Data3[[#This Row],[Payment_Method]],V:V)</f>
        <v>#VALUE!</v>
      </c>
      <c r="AE212" s="2">
        <f t="shared" si="7"/>
        <v>211.7</v>
      </c>
    </row>
    <row r="213" spans="1:31" x14ac:dyDescent="0.25">
      <c r="A213" s="2" t="s">
        <v>511</v>
      </c>
      <c r="B213" s="2">
        <v>28</v>
      </c>
      <c r="C213" s="2" t="s">
        <v>43</v>
      </c>
      <c r="D213" s="2" t="s">
        <v>44</v>
      </c>
      <c r="E213" s="2" t="s">
        <v>31</v>
      </c>
      <c r="F213" s="2" t="s">
        <v>56</v>
      </c>
      <c r="G213" s="2" t="s">
        <v>44</v>
      </c>
      <c r="H213" s="2" t="s">
        <v>512</v>
      </c>
      <c r="I213" s="2" t="s">
        <v>158</v>
      </c>
      <c r="J213" s="2">
        <v>277.52</v>
      </c>
      <c r="K213" s="2">
        <v>11</v>
      </c>
      <c r="L213" s="2" t="s">
        <v>48</v>
      </c>
      <c r="M213" s="2">
        <v>4</v>
      </c>
      <c r="N213" s="2">
        <v>1</v>
      </c>
      <c r="O213" s="2">
        <v>0</v>
      </c>
      <c r="P213" s="2" t="s">
        <v>36</v>
      </c>
      <c r="Q213" s="2" t="s">
        <v>50</v>
      </c>
      <c r="R213" s="2">
        <v>1</v>
      </c>
      <c r="S213" s="2">
        <v>7</v>
      </c>
      <c r="T213" s="2" t="s">
        <v>49</v>
      </c>
      <c r="U213" s="2" t="s">
        <v>60</v>
      </c>
      <c r="V213" s="2" t="s">
        <v>51</v>
      </c>
      <c r="W213" s="3">
        <v>45426</v>
      </c>
      <c r="X213" s="2" t="b">
        <v>1</v>
      </c>
      <c r="Y213" s="2" t="b">
        <v>0</v>
      </c>
      <c r="Z213" s="2" t="s">
        <v>40</v>
      </c>
      <c r="AA213" s="2" t="s">
        <v>53</v>
      </c>
      <c r="AB213" s="2">
        <v>11</v>
      </c>
      <c r="AC213" s="2">
        <f>SUMIF(N:N,Ecommerce_Consumer_Behavior_Analysis_Data3[[#This Row],[Brand_Loyalty]],M:M)</f>
        <v>603</v>
      </c>
      <c r="AD213" s="2" t="e" cm="1" vm="1">
        <f t="array" aca="1" ref="AD213" ca="1">SUMIFS(Y:Y,Ecommerce_Consumer_Behavior_Analysis_Data3[[#This Row],[Payment_Method]],V:V)</f>
        <v>#VALUE!</v>
      </c>
      <c r="AE213" s="2">
        <f t="shared" si="7"/>
        <v>101.31</v>
      </c>
    </row>
    <row r="214" spans="1:31" x14ac:dyDescent="0.25">
      <c r="A214" s="2" t="s">
        <v>513</v>
      </c>
      <c r="B214" s="2">
        <v>40</v>
      </c>
      <c r="C214" s="2" t="s">
        <v>43</v>
      </c>
      <c r="D214" s="2" t="s">
        <v>44</v>
      </c>
      <c r="E214" s="2" t="s">
        <v>69</v>
      </c>
      <c r="F214" s="2" t="s">
        <v>56</v>
      </c>
      <c r="G214" s="2" t="s">
        <v>30</v>
      </c>
      <c r="H214" s="2" t="s">
        <v>514</v>
      </c>
      <c r="I214" s="2" t="s">
        <v>142</v>
      </c>
      <c r="J214" s="2">
        <v>53.67</v>
      </c>
      <c r="K214" s="2">
        <v>7</v>
      </c>
      <c r="L214" s="2" t="s">
        <v>78</v>
      </c>
      <c r="M214" s="2">
        <v>3</v>
      </c>
      <c r="N214" s="2">
        <v>5</v>
      </c>
      <c r="O214" s="2">
        <v>1</v>
      </c>
      <c r="P214" s="2" t="s">
        <v>44</v>
      </c>
      <c r="Q214" s="2" t="s">
        <v>50</v>
      </c>
      <c r="R214" s="2">
        <v>0</v>
      </c>
      <c r="S214" s="2">
        <v>2</v>
      </c>
      <c r="T214" s="2" t="s">
        <v>44</v>
      </c>
      <c r="U214" s="2" t="s">
        <v>79</v>
      </c>
      <c r="V214" s="2" t="s">
        <v>51</v>
      </c>
      <c r="W214" s="3">
        <v>45395</v>
      </c>
      <c r="X214" s="2" t="b">
        <v>0</v>
      </c>
      <c r="Y214" s="2" t="b">
        <v>0</v>
      </c>
      <c r="Z214" s="2" t="s">
        <v>74</v>
      </c>
      <c r="AA214" s="2" t="s">
        <v>67</v>
      </c>
      <c r="AB214" s="2">
        <v>11</v>
      </c>
      <c r="AC214" s="2">
        <f>SUMIF(N:N,Ecommerce_Consumer_Behavior_Analysis_Data3[[#This Row],[Brand_Loyalty]],M:M)</f>
        <v>597</v>
      </c>
      <c r="AD214" s="2" t="e" cm="1" vm="1">
        <f t="array" aca="1" ref="AD214" ca="1">SUMIFS(Y:Y,Ecommerce_Consumer_Behavior_Analysis_Data3[[#This Row],[Payment_Method]],V:V)</f>
        <v>#VALUE!</v>
      </c>
      <c r="AE214" s="2">
        <f t="shared" si="7"/>
        <v>333.8</v>
      </c>
    </row>
    <row r="215" spans="1:31" x14ac:dyDescent="0.25">
      <c r="A215" s="2" t="s">
        <v>515</v>
      </c>
      <c r="B215" s="2">
        <v>49</v>
      </c>
      <c r="C215" s="2" t="s">
        <v>29</v>
      </c>
      <c r="D215" s="2" t="s">
        <v>30</v>
      </c>
      <c r="E215" s="2" t="s">
        <v>69</v>
      </c>
      <c r="F215" s="2" t="s">
        <v>32</v>
      </c>
      <c r="G215" s="2" t="s">
        <v>44</v>
      </c>
      <c r="H215" s="2" t="s">
        <v>516</v>
      </c>
      <c r="I215" s="2" t="s">
        <v>58</v>
      </c>
      <c r="J215" s="2">
        <v>323.39</v>
      </c>
      <c r="K215" s="2">
        <v>10</v>
      </c>
      <c r="L215" s="2" t="s">
        <v>48</v>
      </c>
      <c r="M215" s="2">
        <v>2</v>
      </c>
      <c r="N215" s="2">
        <v>3</v>
      </c>
      <c r="O215" s="2">
        <v>2</v>
      </c>
      <c r="P215" s="2" t="s">
        <v>36</v>
      </c>
      <c r="Q215" s="2" t="s">
        <v>85</v>
      </c>
      <c r="R215" s="2">
        <v>0</v>
      </c>
      <c r="S215" s="2">
        <v>7</v>
      </c>
      <c r="T215" s="2" t="s">
        <v>44</v>
      </c>
      <c r="U215" s="2" t="s">
        <v>38</v>
      </c>
      <c r="V215" s="2" t="s">
        <v>86</v>
      </c>
      <c r="W215" s="3">
        <v>45295</v>
      </c>
      <c r="X215" s="2" t="b">
        <v>1</v>
      </c>
      <c r="Y215" s="2" t="b">
        <v>1</v>
      </c>
      <c r="Z215" s="2" t="s">
        <v>40</v>
      </c>
      <c r="AA215" s="2" t="s">
        <v>41</v>
      </c>
      <c r="AB215" s="2">
        <v>11</v>
      </c>
      <c r="AC215" s="2">
        <f>SUMIF(N:N,Ecommerce_Consumer_Behavior_Analysis_Data3[[#This Row],[Brand_Loyalty]],M:M)</f>
        <v>582</v>
      </c>
      <c r="AD215" s="2" t="e" cm="1" vm="1">
        <f t="array" aca="1" ref="AD215" ca="1">SUMIFS(Y:Y,Ecommerce_Consumer_Behavior_Analysis_Data3[[#This Row],[Payment_Method]],V:V)</f>
        <v>#VALUE!</v>
      </c>
      <c r="AE215" s="2">
        <f t="shared" si="7"/>
        <v>101.31</v>
      </c>
    </row>
    <row r="216" spans="1:31" x14ac:dyDescent="0.25">
      <c r="A216" s="2" t="s">
        <v>517</v>
      </c>
      <c r="B216" s="2">
        <v>50</v>
      </c>
      <c r="C216" s="2" t="s">
        <v>29</v>
      </c>
      <c r="D216" s="2" t="s">
        <v>44</v>
      </c>
      <c r="E216" s="2" t="s">
        <v>55</v>
      </c>
      <c r="F216" s="2" t="s">
        <v>32</v>
      </c>
      <c r="G216" s="2" t="s">
        <v>44</v>
      </c>
      <c r="H216" s="2" t="s">
        <v>518</v>
      </c>
      <c r="I216" s="2" t="s">
        <v>90</v>
      </c>
      <c r="J216" s="2">
        <v>98.02</v>
      </c>
      <c r="K216" s="2">
        <v>5</v>
      </c>
      <c r="L216" s="2" t="s">
        <v>48</v>
      </c>
      <c r="M216" s="2">
        <v>3</v>
      </c>
      <c r="N216" s="2">
        <v>3</v>
      </c>
      <c r="O216" s="2">
        <v>1</v>
      </c>
      <c r="P216" s="2" t="s">
        <v>59</v>
      </c>
      <c r="Q216" s="2" t="s">
        <v>50</v>
      </c>
      <c r="R216" s="2">
        <v>0</v>
      </c>
      <c r="S216" s="2">
        <v>3</v>
      </c>
      <c r="T216" s="2" t="s">
        <v>44</v>
      </c>
      <c r="U216" s="2" t="s">
        <v>79</v>
      </c>
      <c r="V216" s="2" t="s">
        <v>61</v>
      </c>
      <c r="W216" s="3">
        <v>45473</v>
      </c>
      <c r="X216" s="2" t="b">
        <v>1</v>
      </c>
      <c r="Y216" s="2" t="b">
        <v>0</v>
      </c>
      <c r="Z216" s="2" t="s">
        <v>74</v>
      </c>
      <c r="AA216" s="2" t="s">
        <v>41</v>
      </c>
      <c r="AB216" s="2">
        <v>10</v>
      </c>
      <c r="AC216" s="2">
        <f>SUMIF(N:N,Ecommerce_Consumer_Behavior_Analysis_Data3[[#This Row],[Brand_Loyalty]],M:M)</f>
        <v>597</v>
      </c>
      <c r="AD216" s="2" t="e" cm="1" vm="1">
        <f t="array" aca="1" ref="AD216" ca="1">SUMIFS(Y:Y,Ecommerce_Consumer_Behavior_Analysis_Data3[[#This Row],[Payment_Method]],V:V)</f>
        <v>#VALUE!</v>
      </c>
      <c r="AE216" s="2">
        <f t="shared" si="7"/>
        <v>333.8</v>
      </c>
    </row>
    <row r="217" spans="1:31" x14ac:dyDescent="0.25">
      <c r="A217" s="2" t="s">
        <v>519</v>
      </c>
      <c r="B217" s="2">
        <v>24</v>
      </c>
      <c r="C217" s="2" t="s">
        <v>43</v>
      </c>
      <c r="D217" s="2" t="s">
        <v>44</v>
      </c>
      <c r="E217" s="2" t="s">
        <v>76</v>
      </c>
      <c r="F217" s="2" t="s">
        <v>32</v>
      </c>
      <c r="G217" s="2" t="s">
        <v>44</v>
      </c>
      <c r="H217" s="2" t="s">
        <v>520</v>
      </c>
      <c r="I217" s="2" t="s">
        <v>194</v>
      </c>
      <c r="J217" s="2">
        <v>231.26</v>
      </c>
      <c r="K217" s="2">
        <v>10</v>
      </c>
      <c r="L217" s="2" t="s">
        <v>48</v>
      </c>
      <c r="M217" s="2">
        <v>5</v>
      </c>
      <c r="N217" s="2">
        <v>1</v>
      </c>
      <c r="O217" s="2">
        <v>2</v>
      </c>
      <c r="P217" s="2" t="s">
        <v>59</v>
      </c>
      <c r="Q217" s="2" t="s">
        <v>85</v>
      </c>
      <c r="R217" s="2">
        <v>2</v>
      </c>
      <c r="S217" s="2">
        <v>5</v>
      </c>
      <c r="T217" s="2" t="s">
        <v>59</v>
      </c>
      <c r="U217" s="2" t="s">
        <v>79</v>
      </c>
      <c r="V217" s="2" t="s">
        <v>86</v>
      </c>
      <c r="W217" s="3">
        <v>45412</v>
      </c>
      <c r="X217" s="2" t="b">
        <v>0</v>
      </c>
      <c r="Y217" s="2" t="b">
        <v>1</v>
      </c>
      <c r="Z217" s="2" t="s">
        <v>62</v>
      </c>
      <c r="AA217" s="2" t="s">
        <v>41</v>
      </c>
      <c r="AB217" s="2">
        <v>10</v>
      </c>
      <c r="AC217" s="2">
        <f>SUMIF(N:N,Ecommerce_Consumer_Behavior_Analysis_Data3[[#This Row],[Brand_Loyalty]],M:M)</f>
        <v>641</v>
      </c>
      <c r="AD217" s="2" t="e" cm="1" vm="1">
        <f t="array" aca="1" ref="AD217" ca="1">SUMIFS(Y:Y,Ecommerce_Consumer_Behavior_Analysis_Data3[[#This Row],[Payment_Method]],V:V)</f>
        <v>#VALUE!</v>
      </c>
      <c r="AE217" s="2">
        <f t="shared" si="7"/>
        <v>333.8</v>
      </c>
    </row>
    <row r="218" spans="1:31" x14ac:dyDescent="0.25">
      <c r="A218" s="2" t="s">
        <v>521</v>
      </c>
      <c r="B218" s="2">
        <v>26</v>
      </c>
      <c r="C218" s="2" t="s">
        <v>43</v>
      </c>
      <c r="D218" s="2" t="s">
        <v>44</v>
      </c>
      <c r="E218" s="2" t="s">
        <v>55</v>
      </c>
      <c r="F218" s="2" t="s">
        <v>56</v>
      </c>
      <c r="G218" s="2" t="s">
        <v>30</v>
      </c>
      <c r="H218" s="2" t="s">
        <v>522</v>
      </c>
      <c r="I218" s="2" t="s">
        <v>47</v>
      </c>
      <c r="J218" s="2">
        <v>382.49</v>
      </c>
      <c r="K218" s="2">
        <v>6</v>
      </c>
      <c r="L218" s="2" t="s">
        <v>48</v>
      </c>
      <c r="M218" s="2">
        <v>4</v>
      </c>
      <c r="N218" s="2">
        <v>2</v>
      </c>
      <c r="O218" s="2">
        <v>2</v>
      </c>
      <c r="P218" s="2" t="s">
        <v>36</v>
      </c>
      <c r="Q218" s="2" t="s">
        <v>85</v>
      </c>
      <c r="R218" s="2">
        <v>2</v>
      </c>
      <c r="S218" s="2">
        <v>3</v>
      </c>
      <c r="T218" s="2" t="s">
        <v>49</v>
      </c>
      <c r="U218" s="2" t="s">
        <v>38</v>
      </c>
      <c r="V218" s="2" t="s">
        <v>61</v>
      </c>
      <c r="W218" s="3">
        <v>45323</v>
      </c>
      <c r="X218" s="2" t="b">
        <v>1</v>
      </c>
      <c r="Y218" s="2" t="b">
        <v>0</v>
      </c>
      <c r="Z218" s="2" t="s">
        <v>62</v>
      </c>
      <c r="AA218" s="2" t="s">
        <v>41</v>
      </c>
      <c r="AB218" s="2">
        <v>1</v>
      </c>
      <c r="AC218" s="2">
        <f>SUMIF(N:N,Ecommerce_Consumer_Behavior_Analysis_Data3[[#This Row],[Brand_Loyalty]],M:M)</f>
        <v>603</v>
      </c>
      <c r="AD218" s="2" t="e" cm="1" vm="1">
        <f t="array" aca="1" ref="AD218" ca="1">SUMIFS(Y:Y,Ecommerce_Consumer_Behavior_Analysis_Data3[[#This Row],[Payment_Method]],V:V)</f>
        <v>#VALUE!</v>
      </c>
      <c r="AE218" s="2">
        <f t="shared" si="7"/>
        <v>333.8</v>
      </c>
    </row>
    <row r="219" spans="1:31" x14ac:dyDescent="0.25">
      <c r="A219" s="2" t="s">
        <v>523</v>
      </c>
      <c r="B219" s="2">
        <v>28</v>
      </c>
      <c r="C219" s="2" t="s">
        <v>43</v>
      </c>
      <c r="D219" s="2" t="s">
        <v>30</v>
      </c>
      <c r="E219" s="2" t="s">
        <v>76</v>
      </c>
      <c r="F219" s="2" t="s">
        <v>56</v>
      </c>
      <c r="G219" s="2" t="s">
        <v>44</v>
      </c>
      <c r="H219" s="2" t="s">
        <v>524</v>
      </c>
      <c r="I219" s="2" t="s">
        <v>194</v>
      </c>
      <c r="J219" s="2">
        <v>255.42</v>
      </c>
      <c r="K219" s="2">
        <v>9</v>
      </c>
      <c r="L219" s="2" t="s">
        <v>35</v>
      </c>
      <c r="M219" s="2">
        <v>5</v>
      </c>
      <c r="N219" s="2">
        <v>5</v>
      </c>
      <c r="O219" s="2">
        <v>2</v>
      </c>
      <c r="P219" s="2" t="s">
        <v>36</v>
      </c>
      <c r="Q219" s="2" t="s">
        <v>37</v>
      </c>
      <c r="R219" s="2">
        <v>1</v>
      </c>
      <c r="S219" s="2">
        <v>9</v>
      </c>
      <c r="T219" s="2" t="s">
        <v>36</v>
      </c>
      <c r="U219" s="2" t="s">
        <v>38</v>
      </c>
      <c r="V219" s="2" t="s">
        <v>51</v>
      </c>
      <c r="W219" s="3">
        <v>45474</v>
      </c>
      <c r="X219" s="2" t="b">
        <v>1</v>
      </c>
      <c r="Y219" s="2" t="b">
        <v>1</v>
      </c>
      <c r="Z219" s="2" t="s">
        <v>62</v>
      </c>
      <c r="AA219" s="2" t="s">
        <v>53</v>
      </c>
      <c r="AB219" s="2">
        <v>11</v>
      </c>
      <c r="AC219" s="2">
        <f>SUMIF(N:N,Ecommerce_Consumer_Behavior_Analysis_Data3[[#This Row],[Brand_Loyalty]],M:M)</f>
        <v>641</v>
      </c>
      <c r="AD219" s="2" t="e" cm="1" vm="1">
        <f t="array" aca="1" ref="AD219" ca="1">SUMIFS(Y:Y,Ecommerce_Consumer_Behavior_Analysis_Data3[[#This Row],[Payment_Method]],V:V)</f>
        <v>#VALUE!</v>
      </c>
      <c r="AE219" s="2">
        <f t="shared" si="7"/>
        <v>333.8</v>
      </c>
    </row>
    <row r="220" spans="1:31" x14ac:dyDescent="0.25">
      <c r="A220" s="2" t="s">
        <v>525</v>
      </c>
      <c r="B220" s="2">
        <v>48</v>
      </c>
      <c r="C220" s="2" t="s">
        <v>29</v>
      </c>
      <c r="D220" s="2" t="s">
        <v>30</v>
      </c>
      <c r="E220" s="2" t="s">
        <v>55</v>
      </c>
      <c r="F220" s="2" t="s">
        <v>45</v>
      </c>
      <c r="G220" s="2" t="s">
        <v>44</v>
      </c>
      <c r="H220" s="2" t="s">
        <v>526</v>
      </c>
      <c r="I220" s="2" t="s">
        <v>126</v>
      </c>
      <c r="J220" s="2">
        <v>423.23</v>
      </c>
      <c r="K220" s="2">
        <v>12</v>
      </c>
      <c r="L220" s="2" t="s">
        <v>48</v>
      </c>
      <c r="M220" s="2">
        <v>3</v>
      </c>
      <c r="N220" s="2">
        <v>3</v>
      </c>
      <c r="O220" s="2">
        <v>2</v>
      </c>
      <c r="P220" s="2" t="s">
        <v>44</v>
      </c>
      <c r="Q220" s="2" t="s">
        <v>37</v>
      </c>
      <c r="R220" s="2">
        <v>0</v>
      </c>
      <c r="S220" s="2">
        <v>7</v>
      </c>
      <c r="T220" s="2" t="s">
        <v>59</v>
      </c>
      <c r="U220" s="2" t="s">
        <v>38</v>
      </c>
      <c r="V220" s="2" t="s">
        <v>61</v>
      </c>
      <c r="W220" s="3">
        <v>45601</v>
      </c>
      <c r="X220" s="2" t="b">
        <v>0</v>
      </c>
      <c r="Y220" s="2" t="b">
        <v>0</v>
      </c>
      <c r="Z220" s="2" t="s">
        <v>74</v>
      </c>
      <c r="AA220" s="2" t="s">
        <v>53</v>
      </c>
      <c r="AB220" s="2">
        <v>6</v>
      </c>
      <c r="AC220" s="2">
        <f>SUMIF(N:N,Ecommerce_Consumer_Behavior_Analysis_Data3[[#This Row],[Brand_Loyalty]],M:M)</f>
        <v>597</v>
      </c>
      <c r="AD220" s="2" t="e" cm="1" vm="1">
        <f t="array" aca="1" ref="AD220" ca="1">SUMIFS(Y:Y,Ecommerce_Consumer_Behavior_Analysis_Data3[[#This Row],[Payment_Method]],V:V)</f>
        <v>#VALUE!</v>
      </c>
      <c r="AE220" s="2">
        <f t="shared" si="7"/>
        <v>426.22</v>
      </c>
    </row>
    <row r="221" spans="1:31" x14ac:dyDescent="0.25">
      <c r="A221" s="2" t="s">
        <v>527</v>
      </c>
      <c r="B221" s="2">
        <v>47</v>
      </c>
      <c r="C221" s="2" t="s">
        <v>43</v>
      </c>
      <c r="D221" s="2" t="s">
        <v>30</v>
      </c>
      <c r="E221" s="2" t="s">
        <v>55</v>
      </c>
      <c r="F221" s="2" t="s">
        <v>45</v>
      </c>
      <c r="G221" s="2" t="s">
        <v>44</v>
      </c>
      <c r="H221" s="2" t="s">
        <v>528</v>
      </c>
      <c r="I221" s="2" t="s">
        <v>188</v>
      </c>
      <c r="J221" s="2">
        <v>276.08</v>
      </c>
      <c r="K221" s="2">
        <v>4</v>
      </c>
      <c r="L221" s="2" t="s">
        <v>35</v>
      </c>
      <c r="M221" s="2">
        <v>4</v>
      </c>
      <c r="N221" s="2">
        <v>5</v>
      </c>
      <c r="O221" s="2">
        <v>0.3</v>
      </c>
      <c r="P221" s="2" t="s">
        <v>44</v>
      </c>
      <c r="Q221" s="2" t="s">
        <v>37</v>
      </c>
      <c r="R221" s="2">
        <v>2</v>
      </c>
      <c r="S221" s="2">
        <v>10</v>
      </c>
      <c r="T221" s="2" t="s">
        <v>59</v>
      </c>
      <c r="U221" s="2" t="s">
        <v>60</v>
      </c>
      <c r="V221" s="2" t="s">
        <v>39</v>
      </c>
      <c r="W221" s="3">
        <v>45320</v>
      </c>
      <c r="X221" s="2" t="b">
        <v>0</v>
      </c>
      <c r="Y221" s="2" t="b">
        <v>1</v>
      </c>
      <c r="Z221" s="2" t="s">
        <v>40</v>
      </c>
      <c r="AA221" s="2" t="s">
        <v>41</v>
      </c>
      <c r="AB221" s="2">
        <v>10</v>
      </c>
      <c r="AC221" s="2">
        <f>SUMIF(N:N,Ecommerce_Consumer_Behavior_Analysis_Data3[[#This Row],[Brand_Loyalty]],M:M)</f>
        <v>603</v>
      </c>
      <c r="AD221" s="2" t="e" cm="1" vm="1">
        <f t="array" aca="1" ref="AD221" ca="1">SUMIFS(Y:Y,Ecommerce_Consumer_Behavior_Analysis_Data3[[#This Row],[Payment_Method]],V:V)</f>
        <v>#VALUE!</v>
      </c>
      <c r="AE221" s="2">
        <f t="shared" si="7"/>
        <v>101.31</v>
      </c>
    </row>
    <row r="222" spans="1:31" x14ac:dyDescent="0.25">
      <c r="A222" s="2" t="s">
        <v>529</v>
      </c>
      <c r="B222" s="2">
        <v>25</v>
      </c>
      <c r="C222" s="2" t="s">
        <v>43</v>
      </c>
      <c r="D222" s="2" t="s">
        <v>30</v>
      </c>
      <c r="E222" s="2" t="s">
        <v>69</v>
      </c>
      <c r="F222" s="2" t="s">
        <v>32</v>
      </c>
      <c r="G222" s="2" t="s">
        <v>30</v>
      </c>
      <c r="H222" s="2" t="s">
        <v>530</v>
      </c>
      <c r="I222" s="2" t="s">
        <v>82</v>
      </c>
      <c r="J222" s="2">
        <v>333.56</v>
      </c>
      <c r="K222" s="2">
        <v>3</v>
      </c>
      <c r="L222" s="2" t="s">
        <v>35</v>
      </c>
      <c r="M222" s="2">
        <v>4</v>
      </c>
      <c r="N222" s="2">
        <v>5</v>
      </c>
      <c r="O222" s="2">
        <v>1</v>
      </c>
      <c r="P222" s="2" t="s">
        <v>59</v>
      </c>
      <c r="Q222" s="2" t="s">
        <v>50</v>
      </c>
      <c r="R222" s="2">
        <v>2</v>
      </c>
      <c r="S222" s="2">
        <v>2</v>
      </c>
      <c r="T222" s="2" t="s">
        <v>44</v>
      </c>
      <c r="U222" s="2" t="s">
        <v>60</v>
      </c>
      <c r="V222" s="2" t="s">
        <v>66</v>
      </c>
      <c r="W222" s="3">
        <v>45590</v>
      </c>
      <c r="X222" s="2" t="b">
        <v>1</v>
      </c>
      <c r="Y222" s="2" t="b">
        <v>1</v>
      </c>
      <c r="Z222" s="2" t="s">
        <v>62</v>
      </c>
      <c r="AA222" s="2" t="s">
        <v>41</v>
      </c>
      <c r="AB222" s="2">
        <v>14</v>
      </c>
      <c r="AC222" s="2">
        <f>SUMIF(N:N,Ecommerce_Consumer_Behavior_Analysis_Data3[[#This Row],[Brand_Loyalty]],M:M)</f>
        <v>603</v>
      </c>
      <c r="AD222" s="2" t="e" cm="1" vm="1">
        <f t="array" aca="1" ref="AD222" ca="1">SUMIFS(Y:Y,Ecommerce_Consumer_Behavior_Analysis_Data3[[#This Row],[Payment_Method]],V:V)</f>
        <v>#VALUE!</v>
      </c>
      <c r="AE222" s="2">
        <f t="shared" si="7"/>
        <v>211.7</v>
      </c>
    </row>
    <row r="223" spans="1:31" x14ac:dyDescent="0.25">
      <c r="A223" s="2" t="s">
        <v>531</v>
      </c>
      <c r="B223" s="2">
        <v>39</v>
      </c>
      <c r="C223" s="2" t="s">
        <v>43</v>
      </c>
      <c r="D223" s="2" t="s">
        <v>44</v>
      </c>
      <c r="E223" s="2" t="s">
        <v>76</v>
      </c>
      <c r="F223" s="2" t="s">
        <v>32</v>
      </c>
      <c r="G223" s="2" t="s">
        <v>30</v>
      </c>
      <c r="H223" s="2" t="s">
        <v>532</v>
      </c>
      <c r="I223" s="2" t="s">
        <v>158</v>
      </c>
      <c r="J223" s="2">
        <v>129.82</v>
      </c>
      <c r="K223" s="2">
        <v>12</v>
      </c>
      <c r="L223" s="2" t="s">
        <v>35</v>
      </c>
      <c r="M223" s="2">
        <v>1</v>
      </c>
      <c r="N223" s="2">
        <v>2</v>
      </c>
      <c r="O223" s="2">
        <v>0</v>
      </c>
      <c r="P223" s="2" t="s">
        <v>44</v>
      </c>
      <c r="Q223" s="2" t="s">
        <v>50</v>
      </c>
      <c r="R223" s="2">
        <v>2</v>
      </c>
      <c r="S223" s="2">
        <v>1</v>
      </c>
      <c r="T223" s="2" t="s">
        <v>44</v>
      </c>
      <c r="U223" s="2" t="s">
        <v>38</v>
      </c>
      <c r="V223" s="2" t="s">
        <v>86</v>
      </c>
      <c r="W223" s="3">
        <v>45446</v>
      </c>
      <c r="X223" s="2" t="b">
        <v>0</v>
      </c>
      <c r="Y223" s="2" t="b">
        <v>0</v>
      </c>
      <c r="Z223" s="2" t="s">
        <v>62</v>
      </c>
      <c r="AA223" s="2" t="s">
        <v>53</v>
      </c>
      <c r="AB223" s="2">
        <v>8</v>
      </c>
      <c r="AC223" s="2">
        <f>SUMIF(N:N,Ecommerce_Consumer_Behavior_Analysis_Data3[[#This Row],[Brand_Loyalty]],M:M)</f>
        <v>603</v>
      </c>
      <c r="AD223" s="2" t="e" cm="1" vm="1">
        <f t="array" aca="1" ref="AD223" ca="1">SUMIFS(Y:Y,Ecommerce_Consumer_Behavior_Analysis_Data3[[#This Row],[Payment_Method]],V:V)</f>
        <v>#VALUE!</v>
      </c>
      <c r="AE223" s="2">
        <f t="shared" si="7"/>
        <v>211.7</v>
      </c>
    </row>
    <row r="224" spans="1:31" x14ac:dyDescent="0.25">
      <c r="A224" s="2" t="s">
        <v>533</v>
      </c>
      <c r="B224" s="2">
        <v>41</v>
      </c>
      <c r="C224" s="2" t="s">
        <v>29</v>
      </c>
      <c r="D224" s="2" t="s">
        <v>44</v>
      </c>
      <c r="E224" s="2" t="s">
        <v>69</v>
      </c>
      <c r="F224" s="2" t="s">
        <v>45</v>
      </c>
      <c r="G224" s="2" t="s">
        <v>44</v>
      </c>
      <c r="H224" s="2" t="s">
        <v>534</v>
      </c>
      <c r="I224" s="2" t="s">
        <v>183</v>
      </c>
      <c r="J224" s="2">
        <v>278.77999999999997</v>
      </c>
      <c r="K224" s="2">
        <v>3</v>
      </c>
      <c r="L224" s="2" t="s">
        <v>35</v>
      </c>
      <c r="M224" s="2">
        <v>5</v>
      </c>
      <c r="N224" s="2">
        <v>2</v>
      </c>
      <c r="O224" s="2">
        <v>0</v>
      </c>
      <c r="P224" s="2" t="s">
        <v>49</v>
      </c>
      <c r="Q224" s="2" t="s">
        <v>50</v>
      </c>
      <c r="R224" s="2">
        <v>0</v>
      </c>
      <c r="S224" s="2">
        <v>1</v>
      </c>
      <c r="T224" s="2" t="s">
        <v>59</v>
      </c>
      <c r="U224" s="2" t="s">
        <v>79</v>
      </c>
      <c r="V224" s="2" t="s">
        <v>39</v>
      </c>
      <c r="W224" s="3">
        <v>45457</v>
      </c>
      <c r="X224" s="2" t="b">
        <v>1</v>
      </c>
      <c r="Y224" s="2" t="b">
        <v>0</v>
      </c>
      <c r="Z224" s="2" t="s">
        <v>52</v>
      </c>
      <c r="AA224" s="2" t="s">
        <v>53</v>
      </c>
      <c r="AB224" s="2">
        <v>2</v>
      </c>
      <c r="AC224" s="2">
        <f>SUMIF(N:N,Ecommerce_Consumer_Behavior_Analysis_Data3[[#This Row],[Brand_Loyalty]],M:M)</f>
        <v>641</v>
      </c>
      <c r="AD224" s="2" t="e" cm="1" vm="1">
        <f t="array" aca="1" ref="AD224" ca="1">SUMIFS(Y:Y,Ecommerce_Consumer_Behavior_Analysis_Data3[[#This Row],[Payment_Method]],V:V)</f>
        <v>#VALUE!</v>
      </c>
      <c r="AE224" s="2">
        <f t="shared" si="7"/>
        <v>333.8</v>
      </c>
    </row>
    <row r="225" spans="1:31" x14ac:dyDescent="0.25">
      <c r="A225" s="2" t="s">
        <v>535</v>
      </c>
      <c r="B225" s="2">
        <v>37</v>
      </c>
      <c r="C225" s="2" t="s">
        <v>43</v>
      </c>
      <c r="D225" s="2" t="s">
        <v>30</v>
      </c>
      <c r="E225" s="2" t="s">
        <v>31</v>
      </c>
      <c r="F225" s="2" t="s">
        <v>32</v>
      </c>
      <c r="G225" s="2" t="s">
        <v>44</v>
      </c>
      <c r="H225" s="2" t="s">
        <v>536</v>
      </c>
      <c r="I225" s="2" t="s">
        <v>34</v>
      </c>
      <c r="J225" s="2">
        <v>112.55</v>
      </c>
      <c r="K225" s="2">
        <v>5</v>
      </c>
      <c r="L225" s="2" t="s">
        <v>48</v>
      </c>
      <c r="M225" s="2">
        <v>1</v>
      </c>
      <c r="N225" s="2">
        <v>4</v>
      </c>
      <c r="O225" s="2">
        <v>2</v>
      </c>
      <c r="P225" s="2" t="s">
        <v>36</v>
      </c>
      <c r="Q225" s="2" t="s">
        <v>85</v>
      </c>
      <c r="R225" s="2">
        <v>2</v>
      </c>
      <c r="S225" s="2">
        <v>1</v>
      </c>
      <c r="T225" s="2" t="s">
        <v>59</v>
      </c>
      <c r="U225" s="2" t="s">
        <v>79</v>
      </c>
      <c r="V225" s="2" t="s">
        <v>39</v>
      </c>
      <c r="W225" s="3">
        <v>45587</v>
      </c>
      <c r="X225" s="2" t="b">
        <v>1</v>
      </c>
      <c r="Y225" s="2" t="b">
        <v>0</v>
      </c>
      <c r="Z225" s="2" t="s">
        <v>74</v>
      </c>
      <c r="AA225" s="2" t="s">
        <v>53</v>
      </c>
      <c r="AB225" s="2">
        <v>2</v>
      </c>
      <c r="AC225" s="2">
        <f>SUMIF(N:N,Ecommerce_Consumer_Behavior_Analysis_Data3[[#This Row],[Brand_Loyalty]],M:M)</f>
        <v>603</v>
      </c>
      <c r="AD225" s="2" t="e" cm="1" vm="1">
        <f t="array" aca="1" ref="AD225" ca="1">SUMIFS(Y:Y,Ecommerce_Consumer_Behavior_Analysis_Data3[[#This Row],[Payment_Method]],V:V)</f>
        <v>#VALUE!</v>
      </c>
      <c r="AE225" s="2">
        <f t="shared" si="7"/>
        <v>211.7</v>
      </c>
    </row>
    <row r="226" spans="1:31" x14ac:dyDescent="0.25">
      <c r="A226" s="2" t="s">
        <v>537</v>
      </c>
      <c r="B226" s="2">
        <v>50</v>
      </c>
      <c r="C226" s="2" t="s">
        <v>29</v>
      </c>
      <c r="D226" s="2" t="s">
        <v>30</v>
      </c>
      <c r="E226" s="2" t="s">
        <v>76</v>
      </c>
      <c r="F226" s="2" t="s">
        <v>32</v>
      </c>
      <c r="G226" s="2" t="s">
        <v>44</v>
      </c>
      <c r="H226" s="2" t="s">
        <v>538</v>
      </c>
      <c r="I226" s="2" t="s">
        <v>126</v>
      </c>
      <c r="J226" s="2">
        <v>142.02000000000001</v>
      </c>
      <c r="K226" s="2">
        <v>7</v>
      </c>
      <c r="L226" s="2" t="s">
        <v>48</v>
      </c>
      <c r="M226" s="2">
        <v>1</v>
      </c>
      <c r="N226" s="2">
        <v>5</v>
      </c>
      <c r="O226" s="2">
        <v>0</v>
      </c>
      <c r="P226" s="2" t="s">
        <v>59</v>
      </c>
      <c r="Q226" s="2" t="s">
        <v>85</v>
      </c>
      <c r="R226" s="2">
        <v>1</v>
      </c>
      <c r="S226" s="2">
        <v>9</v>
      </c>
      <c r="T226" s="2" t="s">
        <v>49</v>
      </c>
      <c r="U226" s="2" t="s">
        <v>79</v>
      </c>
      <c r="V226" s="2" t="s">
        <v>86</v>
      </c>
      <c r="W226" s="3">
        <v>45482</v>
      </c>
      <c r="X226" s="2" t="b">
        <v>1</v>
      </c>
      <c r="Y226" s="2" t="b">
        <v>0</v>
      </c>
      <c r="Z226" s="2" t="s">
        <v>62</v>
      </c>
      <c r="AA226" s="2" t="s">
        <v>53</v>
      </c>
      <c r="AB226" s="2">
        <v>3</v>
      </c>
      <c r="AC226" s="2">
        <f>SUMIF(N:N,Ecommerce_Consumer_Behavior_Analysis_Data3[[#This Row],[Brand_Loyalty]],M:M)</f>
        <v>603</v>
      </c>
      <c r="AD226" s="2" t="e" cm="1" vm="1">
        <f t="array" aca="1" ref="AD226" ca="1">SUMIFS(Y:Y,Ecommerce_Consumer_Behavior_Analysis_Data3[[#This Row],[Payment_Method]],V:V)</f>
        <v>#VALUE!</v>
      </c>
      <c r="AE226" s="2">
        <f t="shared" si="7"/>
        <v>333.8</v>
      </c>
    </row>
    <row r="227" spans="1:31" x14ac:dyDescent="0.25">
      <c r="A227" s="2" t="s">
        <v>539</v>
      </c>
      <c r="B227" s="2">
        <v>33</v>
      </c>
      <c r="C227" s="2" t="s">
        <v>29</v>
      </c>
      <c r="D227" s="2" t="s">
        <v>44</v>
      </c>
      <c r="E227" s="2" t="s">
        <v>69</v>
      </c>
      <c r="F227" s="2" t="s">
        <v>45</v>
      </c>
      <c r="G227" s="2" t="s">
        <v>44</v>
      </c>
      <c r="H227" s="2" t="s">
        <v>540</v>
      </c>
      <c r="I227" s="2" t="s">
        <v>114</v>
      </c>
      <c r="J227" s="2">
        <v>481.84</v>
      </c>
      <c r="K227" s="2">
        <v>10</v>
      </c>
      <c r="L227" s="2" t="s">
        <v>48</v>
      </c>
      <c r="M227" s="2">
        <v>1</v>
      </c>
      <c r="N227" s="2">
        <v>4</v>
      </c>
      <c r="O227" s="2">
        <v>2</v>
      </c>
      <c r="P227" s="2" t="s">
        <v>44</v>
      </c>
      <c r="Q227" s="2" t="s">
        <v>37</v>
      </c>
      <c r="R227" s="2">
        <v>1</v>
      </c>
      <c r="S227" s="2">
        <v>1</v>
      </c>
      <c r="T227" s="2" t="s">
        <v>49</v>
      </c>
      <c r="U227" s="2" t="s">
        <v>38</v>
      </c>
      <c r="V227" s="2" t="s">
        <v>86</v>
      </c>
      <c r="W227" s="3">
        <v>45518</v>
      </c>
      <c r="X227" s="2" t="b">
        <v>0</v>
      </c>
      <c r="Y227" s="2" t="b">
        <v>0</v>
      </c>
      <c r="Z227" s="2" t="s">
        <v>52</v>
      </c>
      <c r="AA227" s="2" t="s">
        <v>67</v>
      </c>
      <c r="AB227" s="2">
        <v>9</v>
      </c>
      <c r="AC227" s="2">
        <f>SUMIF(N:N,Ecommerce_Consumer_Behavior_Analysis_Data3[[#This Row],[Brand_Loyalty]],M:M)</f>
        <v>603</v>
      </c>
      <c r="AD227" s="2" t="e" cm="1" vm="1">
        <f t="array" aca="1" ref="AD227" ca="1">SUMIFS(Y:Y,Ecommerce_Consumer_Behavior_Analysis_Data3[[#This Row],[Payment_Method]],V:V)</f>
        <v>#VALUE!</v>
      </c>
      <c r="AE227" s="2">
        <f t="shared" si="7"/>
        <v>101.31</v>
      </c>
    </row>
    <row r="228" spans="1:31" x14ac:dyDescent="0.25">
      <c r="A228" s="2" t="s">
        <v>541</v>
      </c>
      <c r="B228" s="2">
        <v>50</v>
      </c>
      <c r="C228" s="2" t="s">
        <v>274</v>
      </c>
      <c r="D228" s="2" t="s">
        <v>44</v>
      </c>
      <c r="E228" s="2" t="s">
        <v>76</v>
      </c>
      <c r="F228" s="2" t="s">
        <v>56</v>
      </c>
      <c r="G228" s="2" t="s">
        <v>30</v>
      </c>
      <c r="H228" s="2" t="s">
        <v>542</v>
      </c>
      <c r="I228" s="2" t="s">
        <v>114</v>
      </c>
      <c r="J228" s="2">
        <v>165.01</v>
      </c>
      <c r="K228" s="2">
        <v>10</v>
      </c>
      <c r="L228" s="2" t="s">
        <v>35</v>
      </c>
      <c r="M228" s="2">
        <v>1</v>
      </c>
      <c r="N228" s="2">
        <v>2</v>
      </c>
      <c r="O228" s="2">
        <v>1</v>
      </c>
      <c r="P228" s="2" t="s">
        <v>49</v>
      </c>
      <c r="Q228" s="2" t="s">
        <v>37</v>
      </c>
      <c r="R228" s="2">
        <v>1</v>
      </c>
      <c r="S228" s="2">
        <v>5</v>
      </c>
      <c r="T228" s="2" t="s">
        <v>49</v>
      </c>
      <c r="U228" s="2" t="s">
        <v>79</v>
      </c>
      <c r="V228" s="2" t="s">
        <v>51</v>
      </c>
      <c r="W228" s="3">
        <v>45399</v>
      </c>
      <c r="X228" s="2" t="b">
        <v>1</v>
      </c>
      <c r="Y228" s="2" t="b">
        <v>0</v>
      </c>
      <c r="Z228" s="2" t="s">
        <v>62</v>
      </c>
      <c r="AA228" s="2" t="s">
        <v>41</v>
      </c>
      <c r="AB228" s="2">
        <v>10</v>
      </c>
      <c r="AC228" s="2">
        <f>SUMIF(N:N,Ecommerce_Consumer_Behavior_Analysis_Data3[[#This Row],[Brand_Loyalty]],M:M)</f>
        <v>603</v>
      </c>
      <c r="AD228" s="2" t="e" cm="1" vm="1">
        <f t="array" aca="1" ref="AD228" ca="1">SUMIFS(Y:Y,Ecommerce_Consumer_Behavior_Analysis_Data3[[#This Row],[Payment_Method]],V:V)</f>
        <v>#VALUE!</v>
      </c>
      <c r="AE228" s="2">
        <f t="shared" si="7"/>
        <v>333.8</v>
      </c>
    </row>
    <row r="229" spans="1:31" x14ac:dyDescent="0.25">
      <c r="A229" s="2" t="s">
        <v>543</v>
      </c>
      <c r="B229" s="2">
        <v>25</v>
      </c>
      <c r="C229" s="2" t="s">
        <v>43</v>
      </c>
      <c r="D229" s="2" t="s">
        <v>30</v>
      </c>
      <c r="E229" s="2" t="s">
        <v>76</v>
      </c>
      <c r="F229" s="2" t="s">
        <v>45</v>
      </c>
      <c r="G229" s="2" t="s">
        <v>30</v>
      </c>
      <c r="H229" s="2" t="s">
        <v>544</v>
      </c>
      <c r="I229" s="2" t="s">
        <v>123</v>
      </c>
      <c r="J229" s="2">
        <v>56.85</v>
      </c>
      <c r="K229" s="2">
        <v>5</v>
      </c>
      <c r="L229" s="2" t="s">
        <v>78</v>
      </c>
      <c r="M229" s="2">
        <v>2</v>
      </c>
      <c r="N229" s="2">
        <v>1</v>
      </c>
      <c r="O229" s="2">
        <v>2</v>
      </c>
      <c r="P229" s="2" t="s">
        <v>36</v>
      </c>
      <c r="Q229" s="2" t="s">
        <v>85</v>
      </c>
      <c r="R229" s="2">
        <v>0</v>
      </c>
      <c r="S229" s="2">
        <v>1</v>
      </c>
      <c r="T229" s="2" t="s">
        <v>44</v>
      </c>
      <c r="U229" s="2" t="s">
        <v>60</v>
      </c>
      <c r="V229" s="2" t="s">
        <v>86</v>
      </c>
      <c r="W229" s="3">
        <v>45612</v>
      </c>
      <c r="X229" s="2" t="b">
        <v>1</v>
      </c>
      <c r="Y229" s="2" t="b">
        <v>0</v>
      </c>
      <c r="Z229" s="2" t="s">
        <v>52</v>
      </c>
      <c r="AA229" s="2" t="s">
        <v>53</v>
      </c>
      <c r="AB229" s="2">
        <v>14</v>
      </c>
      <c r="AC229" s="2">
        <f>SUMIF(N:N,Ecommerce_Consumer_Behavior_Analysis_Data3[[#This Row],[Brand_Loyalty]],M:M)</f>
        <v>582</v>
      </c>
      <c r="AD229" s="2" t="e" cm="1" vm="1">
        <f t="array" aca="1" ref="AD229" ca="1">SUMIFS(Y:Y,Ecommerce_Consumer_Behavior_Analysis_Data3[[#This Row],[Payment_Method]],V:V)</f>
        <v>#VALUE!</v>
      </c>
      <c r="AE229" s="2">
        <f t="shared" si="7"/>
        <v>101.31</v>
      </c>
    </row>
    <row r="230" spans="1:31" x14ac:dyDescent="0.25">
      <c r="A230" s="2" t="s">
        <v>545</v>
      </c>
      <c r="B230" s="2">
        <v>34</v>
      </c>
      <c r="C230" s="2" t="s">
        <v>274</v>
      </c>
      <c r="D230" s="2" t="s">
        <v>44</v>
      </c>
      <c r="E230" s="2" t="s">
        <v>55</v>
      </c>
      <c r="F230" s="2" t="s">
        <v>32</v>
      </c>
      <c r="G230" s="2" t="s">
        <v>44</v>
      </c>
      <c r="H230" s="2" t="s">
        <v>546</v>
      </c>
      <c r="I230" s="2" t="s">
        <v>107</v>
      </c>
      <c r="J230" s="2">
        <v>182.89</v>
      </c>
      <c r="K230" s="2">
        <v>2</v>
      </c>
      <c r="L230" s="2" t="s">
        <v>35</v>
      </c>
      <c r="M230" s="2">
        <v>5</v>
      </c>
      <c r="N230" s="2">
        <v>3</v>
      </c>
      <c r="O230" s="2">
        <v>1</v>
      </c>
      <c r="P230" s="2" t="s">
        <v>59</v>
      </c>
      <c r="Q230" s="2" t="s">
        <v>50</v>
      </c>
      <c r="R230" s="2">
        <v>1</v>
      </c>
      <c r="S230" s="2">
        <v>9</v>
      </c>
      <c r="T230" s="2" t="s">
        <v>59</v>
      </c>
      <c r="U230" s="2" t="s">
        <v>60</v>
      </c>
      <c r="V230" s="2" t="s">
        <v>51</v>
      </c>
      <c r="W230" s="3">
        <v>45516</v>
      </c>
      <c r="X230" s="2" t="b">
        <v>0</v>
      </c>
      <c r="Y230" s="2" t="b">
        <v>0</v>
      </c>
      <c r="Z230" s="2" t="s">
        <v>52</v>
      </c>
      <c r="AA230" s="2" t="s">
        <v>67</v>
      </c>
      <c r="AB230" s="2">
        <v>5</v>
      </c>
      <c r="AC230" s="2">
        <f>SUMIF(N:N,Ecommerce_Consumer_Behavior_Analysis_Data3[[#This Row],[Brand_Loyalty]],M:M)</f>
        <v>641</v>
      </c>
      <c r="AD230" s="2" t="e" cm="1" vm="1">
        <f t="array" aca="1" ref="AD230" ca="1">SUMIFS(Y:Y,Ecommerce_Consumer_Behavior_Analysis_Data3[[#This Row],[Payment_Method]],V:V)</f>
        <v>#VALUE!</v>
      </c>
      <c r="AE230" s="2">
        <f t="shared" si="7"/>
        <v>101.31</v>
      </c>
    </row>
    <row r="231" spans="1:31" x14ac:dyDescent="0.25">
      <c r="A231" s="2" t="s">
        <v>547</v>
      </c>
      <c r="B231" s="2">
        <v>39</v>
      </c>
      <c r="C231" s="2" t="s">
        <v>43</v>
      </c>
      <c r="D231" s="2" t="s">
        <v>44</v>
      </c>
      <c r="E231" s="2" t="s">
        <v>69</v>
      </c>
      <c r="F231" s="2" t="s">
        <v>45</v>
      </c>
      <c r="G231" s="2" t="s">
        <v>44</v>
      </c>
      <c r="H231" s="2" t="s">
        <v>548</v>
      </c>
      <c r="I231" s="2" t="s">
        <v>82</v>
      </c>
      <c r="J231" s="2">
        <v>373.01</v>
      </c>
      <c r="K231" s="2">
        <v>5</v>
      </c>
      <c r="L231" s="2" t="s">
        <v>48</v>
      </c>
      <c r="M231" s="2">
        <v>5</v>
      </c>
      <c r="N231" s="2">
        <v>5</v>
      </c>
      <c r="O231" s="2">
        <v>1</v>
      </c>
      <c r="P231" s="2" t="s">
        <v>59</v>
      </c>
      <c r="Q231" s="2" t="s">
        <v>37</v>
      </c>
      <c r="R231" s="2">
        <v>1</v>
      </c>
      <c r="S231" s="2">
        <v>4</v>
      </c>
      <c r="T231" s="2" t="s">
        <v>49</v>
      </c>
      <c r="U231" s="2" t="s">
        <v>60</v>
      </c>
      <c r="V231" s="2" t="s">
        <v>51</v>
      </c>
      <c r="W231" s="3">
        <v>45500</v>
      </c>
      <c r="X231" s="2" t="b">
        <v>0</v>
      </c>
      <c r="Y231" s="2" t="b">
        <v>1</v>
      </c>
      <c r="Z231" s="2" t="s">
        <v>62</v>
      </c>
      <c r="AA231" s="2" t="s">
        <v>67</v>
      </c>
      <c r="AB231" s="2">
        <v>8</v>
      </c>
      <c r="AC231" s="2">
        <f>SUMIF(N:N,Ecommerce_Consumer_Behavior_Analysis_Data3[[#This Row],[Brand_Loyalty]],M:M)</f>
        <v>641</v>
      </c>
      <c r="AD231" s="2" t="e" cm="1" vm="1">
        <f t="array" aca="1" ref="AD231" ca="1">SUMIFS(Y:Y,Ecommerce_Consumer_Behavior_Analysis_Data3[[#This Row],[Payment_Method]],V:V)</f>
        <v>#VALUE!</v>
      </c>
      <c r="AE231" s="2">
        <f t="shared" si="7"/>
        <v>333.8</v>
      </c>
    </row>
    <row r="232" spans="1:31" x14ac:dyDescent="0.25">
      <c r="A232" s="2" t="s">
        <v>549</v>
      </c>
      <c r="B232" s="2">
        <v>41</v>
      </c>
      <c r="C232" s="2" t="s">
        <v>43</v>
      </c>
      <c r="D232" s="2" t="s">
        <v>30</v>
      </c>
      <c r="E232" s="2" t="s">
        <v>55</v>
      </c>
      <c r="F232" s="2" t="s">
        <v>56</v>
      </c>
      <c r="G232" s="2" t="s">
        <v>30</v>
      </c>
      <c r="H232" s="2" t="s">
        <v>550</v>
      </c>
      <c r="I232" s="2" t="s">
        <v>65</v>
      </c>
      <c r="J232" s="2">
        <v>220.77</v>
      </c>
      <c r="K232" s="2">
        <v>7</v>
      </c>
      <c r="L232" s="2" t="s">
        <v>78</v>
      </c>
      <c r="M232" s="2">
        <v>4</v>
      </c>
      <c r="N232" s="2">
        <v>2</v>
      </c>
      <c r="O232" s="2">
        <v>2</v>
      </c>
      <c r="P232" s="2" t="s">
        <v>59</v>
      </c>
      <c r="Q232" s="2" t="s">
        <v>50</v>
      </c>
      <c r="R232" s="2">
        <v>2</v>
      </c>
      <c r="S232" s="2">
        <v>1</v>
      </c>
      <c r="T232" s="2" t="s">
        <v>36</v>
      </c>
      <c r="U232" s="2" t="s">
        <v>60</v>
      </c>
      <c r="V232" s="2" t="s">
        <v>61</v>
      </c>
      <c r="W232" s="3">
        <v>45397</v>
      </c>
      <c r="X232" s="2" t="b">
        <v>1</v>
      </c>
      <c r="Y232" s="2" t="b">
        <v>1</v>
      </c>
      <c r="Z232" s="2" t="s">
        <v>40</v>
      </c>
      <c r="AA232" s="2" t="s">
        <v>53</v>
      </c>
      <c r="AB232" s="2">
        <v>11</v>
      </c>
      <c r="AC232" s="2">
        <f>SUMIF(N:N,Ecommerce_Consumer_Behavior_Analysis_Data3[[#This Row],[Brand_Loyalty]],M:M)</f>
        <v>603</v>
      </c>
      <c r="AD232" s="2" t="e" cm="1" vm="1">
        <f t="array" aca="1" ref="AD232" ca="1">SUMIFS(Y:Y,Ecommerce_Consumer_Behavior_Analysis_Data3[[#This Row],[Payment_Method]],V:V)</f>
        <v>#VALUE!</v>
      </c>
      <c r="AE232" s="2">
        <f t="shared" si="7"/>
        <v>333.8</v>
      </c>
    </row>
    <row r="233" spans="1:31" x14ac:dyDescent="0.25">
      <c r="A233" s="2" t="s">
        <v>551</v>
      </c>
      <c r="B233" s="2">
        <v>27</v>
      </c>
      <c r="C233" s="2" t="s">
        <v>43</v>
      </c>
      <c r="D233" s="2" t="s">
        <v>30</v>
      </c>
      <c r="E233" s="2" t="s">
        <v>31</v>
      </c>
      <c r="F233" s="2" t="s">
        <v>56</v>
      </c>
      <c r="G233" s="2" t="s">
        <v>44</v>
      </c>
      <c r="H233" s="2" t="s">
        <v>552</v>
      </c>
      <c r="I233" s="2" t="s">
        <v>107</v>
      </c>
      <c r="J233" s="2">
        <v>291.08999999999997</v>
      </c>
      <c r="K233" s="2">
        <v>11</v>
      </c>
      <c r="L233" s="2" t="s">
        <v>78</v>
      </c>
      <c r="M233" s="2">
        <v>2</v>
      </c>
      <c r="N233" s="2">
        <v>2</v>
      </c>
      <c r="O233" s="2">
        <v>2</v>
      </c>
      <c r="P233" s="2" t="s">
        <v>36</v>
      </c>
      <c r="Q233" s="2" t="s">
        <v>37</v>
      </c>
      <c r="R233" s="2">
        <v>0</v>
      </c>
      <c r="S233" s="2">
        <v>9</v>
      </c>
      <c r="T233" s="2" t="s">
        <v>44</v>
      </c>
      <c r="U233" s="2" t="s">
        <v>60</v>
      </c>
      <c r="V233" s="2" t="s">
        <v>51</v>
      </c>
      <c r="W233" s="3">
        <v>45571</v>
      </c>
      <c r="X233" s="2" t="b">
        <v>1</v>
      </c>
      <c r="Y233" s="2" t="b">
        <v>0</v>
      </c>
      <c r="Z233" s="2" t="s">
        <v>40</v>
      </c>
      <c r="AA233" s="2" t="s">
        <v>41</v>
      </c>
      <c r="AB233" s="2">
        <v>1</v>
      </c>
      <c r="AC233" s="2">
        <f>SUMIF(N:N,Ecommerce_Consumer_Behavior_Analysis_Data3[[#This Row],[Brand_Loyalty]],M:M)</f>
        <v>582</v>
      </c>
      <c r="AD233" s="2" t="e" cm="1" vm="1">
        <f t="array" aca="1" ref="AD233" ca="1">SUMIFS(Y:Y,Ecommerce_Consumer_Behavior_Analysis_Data3[[#This Row],[Payment_Method]],V:V)</f>
        <v>#VALUE!</v>
      </c>
      <c r="AE233" s="2">
        <f t="shared" si="7"/>
        <v>333.8</v>
      </c>
    </row>
    <row r="234" spans="1:31" x14ac:dyDescent="0.25">
      <c r="A234" s="2" t="s">
        <v>553</v>
      </c>
      <c r="B234" s="2">
        <v>23</v>
      </c>
      <c r="C234" s="2" t="s">
        <v>274</v>
      </c>
      <c r="D234" s="2" t="s">
        <v>44</v>
      </c>
      <c r="E234" s="2" t="s">
        <v>31</v>
      </c>
      <c r="F234" s="2" t="s">
        <v>32</v>
      </c>
      <c r="G234" s="2" t="s">
        <v>30</v>
      </c>
      <c r="H234" s="2" t="s">
        <v>554</v>
      </c>
      <c r="I234" s="2" t="s">
        <v>120</v>
      </c>
      <c r="J234" s="2">
        <v>414.06</v>
      </c>
      <c r="K234" s="2">
        <v>9</v>
      </c>
      <c r="L234" s="2" t="s">
        <v>35</v>
      </c>
      <c r="M234" s="2">
        <v>1</v>
      </c>
      <c r="N234" s="2">
        <v>4</v>
      </c>
      <c r="O234" s="2">
        <v>2</v>
      </c>
      <c r="P234" s="2" t="s">
        <v>49</v>
      </c>
      <c r="Q234" s="2" t="s">
        <v>37</v>
      </c>
      <c r="R234" s="2">
        <v>2</v>
      </c>
      <c r="S234" s="2">
        <v>4</v>
      </c>
      <c r="T234" s="2" t="s">
        <v>44</v>
      </c>
      <c r="U234" s="2" t="s">
        <v>79</v>
      </c>
      <c r="V234" s="2" t="s">
        <v>51</v>
      </c>
      <c r="W234" s="3">
        <v>45622</v>
      </c>
      <c r="X234" s="2" t="b">
        <v>1</v>
      </c>
      <c r="Y234" s="2" t="b">
        <v>0</v>
      </c>
      <c r="Z234" s="2" t="s">
        <v>74</v>
      </c>
      <c r="AA234" s="2" t="s">
        <v>67</v>
      </c>
      <c r="AB234" s="2">
        <v>2</v>
      </c>
      <c r="AC234" s="2">
        <f>SUMIF(N:N,Ecommerce_Consumer_Behavior_Analysis_Data3[[#This Row],[Brand_Loyalty]],M:M)</f>
        <v>603</v>
      </c>
      <c r="AD234" s="2" t="e" cm="1" vm="1">
        <f t="array" aca="1" ref="AD234" ca="1">SUMIFS(Y:Y,Ecommerce_Consumer_Behavior_Analysis_Data3[[#This Row],[Payment_Method]],V:V)</f>
        <v>#VALUE!</v>
      </c>
      <c r="AE234" s="2">
        <f t="shared" si="7"/>
        <v>333.8</v>
      </c>
    </row>
    <row r="235" spans="1:31" x14ac:dyDescent="0.25">
      <c r="A235" s="2" t="s">
        <v>555</v>
      </c>
      <c r="B235" s="2">
        <v>37</v>
      </c>
      <c r="C235" s="2" t="s">
        <v>43</v>
      </c>
      <c r="D235" s="2" t="s">
        <v>30</v>
      </c>
      <c r="E235" s="2" t="s">
        <v>69</v>
      </c>
      <c r="F235" s="2" t="s">
        <v>32</v>
      </c>
      <c r="G235" s="2" t="s">
        <v>30</v>
      </c>
      <c r="H235" s="2" t="s">
        <v>556</v>
      </c>
      <c r="I235" s="2" t="s">
        <v>101</v>
      </c>
      <c r="J235" s="2">
        <v>408.51</v>
      </c>
      <c r="K235" s="2">
        <v>9</v>
      </c>
      <c r="L235" s="2" t="s">
        <v>78</v>
      </c>
      <c r="M235" s="2">
        <v>2</v>
      </c>
      <c r="N235" s="2">
        <v>1</v>
      </c>
      <c r="O235" s="2">
        <v>2</v>
      </c>
      <c r="P235" s="2" t="s">
        <v>44</v>
      </c>
      <c r="Q235" s="2" t="s">
        <v>85</v>
      </c>
      <c r="R235" s="2">
        <v>0</v>
      </c>
      <c r="S235" s="2">
        <v>7</v>
      </c>
      <c r="T235" s="2" t="s">
        <v>49</v>
      </c>
      <c r="U235" s="2" t="s">
        <v>60</v>
      </c>
      <c r="V235" s="2" t="s">
        <v>39</v>
      </c>
      <c r="W235" s="3">
        <v>45438</v>
      </c>
      <c r="X235" s="2" t="b">
        <v>1</v>
      </c>
      <c r="Y235" s="2" t="b">
        <v>0</v>
      </c>
      <c r="Z235" s="2" t="s">
        <v>52</v>
      </c>
      <c r="AA235" s="2" t="s">
        <v>67</v>
      </c>
      <c r="AB235" s="2">
        <v>1</v>
      </c>
      <c r="AC235" s="2">
        <f>SUMIF(N:N,Ecommerce_Consumer_Behavior_Analysis_Data3[[#This Row],[Brand_Loyalty]],M:M)</f>
        <v>582</v>
      </c>
      <c r="AD235" s="2" t="e" cm="1" vm="1">
        <f t="array" aca="1" ref="AD235" ca="1">SUMIFS(Y:Y,Ecommerce_Consumer_Behavior_Analysis_Data3[[#This Row],[Payment_Method]],V:V)</f>
        <v>#VALUE!</v>
      </c>
      <c r="AE235" s="2">
        <f t="shared" si="7"/>
        <v>333.8</v>
      </c>
    </row>
    <row r="236" spans="1:31" x14ac:dyDescent="0.25">
      <c r="A236" s="2" t="s">
        <v>557</v>
      </c>
      <c r="B236" s="2">
        <v>21</v>
      </c>
      <c r="C236" s="2" t="s">
        <v>43</v>
      </c>
      <c r="D236" s="2" t="s">
        <v>30</v>
      </c>
      <c r="E236" s="2" t="s">
        <v>31</v>
      </c>
      <c r="F236" s="2" t="s">
        <v>45</v>
      </c>
      <c r="G236" s="2" t="s">
        <v>44</v>
      </c>
      <c r="H236" s="2" t="s">
        <v>558</v>
      </c>
      <c r="I236" s="2" t="s">
        <v>71</v>
      </c>
      <c r="J236" s="2">
        <v>103.4</v>
      </c>
      <c r="K236" s="2">
        <v>9</v>
      </c>
      <c r="L236" s="2" t="s">
        <v>48</v>
      </c>
      <c r="M236" s="2">
        <v>4</v>
      </c>
      <c r="N236" s="2">
        <v>1</v>
      </c>
      <c r="O236" s="2">
        <v>2</v>
      </c>
      <c r="P236" s="2" t="s">
        <v>44</v>
      </c>
      <c r="Q236" s="2" t="s">
        <v>50</v>
      </c>
      <c r="R236" s="2">
        <v>1</v>
      </c>
      <c r="S236" s="2">
        <v>9</v>
      </c>
      <c r="T236" s="2" t="s">
        <v>49</v>
      </c>
      <c r="U236" s="2" t="s">
        <v>60</v>
      </c>
      <c r="V236" s="2" t="s">
        <v>61</v>
      </c>
      <c r="W236" s="3">
        <v>45600</v>
      </c>
      <c r="X236" s="2" t="b">
        <v>1</v>
      </c>
      <c r="Y236" s="2" t="b">
        <v>0</v>
      </c>
      <c r="Z236" s="2" t="s">
        <v>74</v>
      </c>
      <c r="AA236" s="2" t="s">
        <v>53</v>
      </c>
      <c r="AB236" s="2">
        <v>9</v>
      </c>
      <c r="AC236" s="2">
        <f>SUMIF(N:N,Ecommerce_Consumer_Behavior_Analysis_Data3[[#This Row],[Brand_Loyalty]],M:M)</f>
        <v>603</v>
      </c>
      <c r="AD236" s="2" t="e" cm="1" vm="1">
        <f t="array" aca="1" ref="AD236" ca="1">SUMIFS(Y:Y,Ecommerce_Consumer_Behavior_Analysis_Data3[[#This Row],[Payment_Method]],V:V)</f>
        <v>#VALUE!</v>
      </c>
      <c r="AE236" s="2">
        <f t="shared" si="7"/>
        <v>211.7</v>
      </c>
    </row>
    <row r="237" spans="1:31" x14ac:dyDescent="0.25">
      <c r="A237" s="2" t="s">
        <v>559</v>
      </c>
      <c r="B237" s="2">
        <v>47</v>
      </c>
      <c r="C237" s="2" t="s">
        <v>43</v>
      </c>
      <c r="D237" s="2" t="s">
        <v>30</v>
      </c>
      <c r="E237" s="2" t="s">
        <v>55</v>
      </c>
      <c r="F237" s="2" t="s">
        <v>45</v>
      </c>
      <c r="G237" s="2" t="s">
        <v>44</v>
      </c>
      <c r="H237" s="2" t="s">
        <v>560</v>
      </c>
      <c r="I237" s="2" t="s">
        <v>71</v>
      </c>
      <c r="J237" s="2">
        <v>67.92</v>
      </c>
      <c r="K237" s="2">
        <v>3</v>
      </c>
      <c r="L237" s="2" t="s">
        <v>48</v>
      </c>
      <c r="M237" s="2">
        <v>1</v>
      </c>
      <c r="N237" s="2">
        <v>3</v>
      </c>
      <c r="O237" s="2">
        <v>0</v>
      </c>
      <c r="P237" s="2" t="s">
        <v>59</v>
      </c>
      <c r="Q237" s="2" t="s">
        <v>50</v>
      </c>
      <c r="R237" s="2">
        <v>1</v>
      </c>
      <c r="S237" s="2">
        <v>8</v>
      </c>
      <c r="T237" s="2" t="s">
        <v>59</v>
      </c>
      <c r="U237" s="2" t="s">
        <v>38</v>
      </c>
      <c r="V237" s="2" t="s">
        <v>86</v>
      </c>
      <c r="W237" s="3">
        <v>45583</v>
      </c>
      <c r="X237" s="2" t="b">
        <v>0</v>
      </c>
      <c r="Y237" s="2" t="b">
        <v>1</v>
      </c>
      <c r="Z237" s="2" t="s">
        <v>62</v>
      </c>
      <c r="AA237" s="2" t="s">
        <v>67</v>
      </c>
      <c r="AB237" s="2">
        <v>10</v>
      </c>
      <c r="AC237" s="2">
        <f>SUMIF(N:N,Ecommerce_Consumer_Behavior_Analysis_Data3[[#This Row],[Brand_Loyalty]],M:M)</f>
        <v>603</v>
      </c>
      <c r="AD237" s="2" t="e" cm="1" vm="1">
        <f t="array" aca="1" ref="AD237" ca="1">SUMIFS(Y:Y,Ecommerce_Consumer_Behavior_Analysis_Data3[[#This Row],[Payment_Method]],V:V)</f>
        <v>#VALUE!</v>
      </c>
      <c r="AE237" s="2">
        <f t="shared" si="7"/>
        <v>101.31</v>
      </c>
    </row>
    <row r="238" spans="1:31" x14ac:dyDescent="0.25">
      <c r="A238" s="2" t="s">
        <v>561</v>
      </c>
      <c r="B238" s="2">
        <v>42</v>
      </c>
      <c r="C238" s="2" t="s">
        <v>274</v>
      </c>
      <c r="D238" s="2" t="s">
        <v>30</v>
      </c>
      <c r="E238" s="2" t="s">
        <v>55</v>
      </c>
      <c r="F238" s="2" t="s">
        <v>45</v>
      </c>
      <c r="G238" s="2" t="s">
        <v>30</v>
      </c>
      <c r="H238" s="2" t="s">
        <v>562</v>
      </c>
      <c r="I238" s="2" t="s">
        <v>142</v>
      </c>
      <c r="J238" s="2">
        <v>354.16</v>
      </c>
      <c r="K238" s="2">
        <v>8</v>
      </c>
      <c r="L238" s="2" t="s">
        <v>48</v>
      </c>
      <c r="M238" s="2">
        <v>1</v>
      </c>
      <c r="N238" s="2">
        <v>1</v>
      </c>
      <c r="O238" s="2">
        <v>1</v>
      </c>
      <c r="P238" s="2" t="s">
        <v>59</v>
      </c>
      <c r="Q238" s="2" t="s">
        <v>50</v>
      </c>
      <c r="R238" s="2">
        <v>2</v>
      </c>
      <c r="S238" s="2">
        <v>3</v>
      </c>
      <c r="T238" s="2" t="s">
        <v>59</v>
      </c>
      <c r="U238" s="2" t="s">
        <v>79</v>
      </c>
      <c r="V238" s="2" t="s">
        <v>39</v>
      </c>
      <c r="W238" s="3">
        <v>45456</v>
      </c>
      <c r="X238" s="2" t="b">
        <v>1</v>
      </c>
      <c r="Y238" s="2" t="b">
        <v>0</v>
      </c>
      <c r="Z238" s="2" t="s">
        <v>74</v>
      </c>
      <c r="AA238" s="2" t="s">
        <v>67</v>
      </c>
      <c r="AB238" s="2">
        <v>5</v>
      </c>
      <c r="AC238" s="2">
        <f>SUMIF(N:N,Ecommerce_Consumer_Behavior_Analysis_Data3[[#This Row],[Brand_Loyalty]],M:M)</f>
        <v>603</v>
      </c>
      <c r="AD238" s="2" t="e" cm="1" vm="1">
        <f t="array" aca="1" ref="AD238" ca="1">SUMIFS(Y:Y,Ecommerce_Consumer_Behavior_Analysis_Data3[[#This Row],[Payment_Method]],V:V)</f>
        <v>#VALUE!</v>
      </c>
      <c r="AE238" s="2">
        <f t="shared" si="7"/>
        <v>333.8</v>
      </c>
    </row>
    <row r="239" spans="1:31" x14ac:dyDescent="0.25">
      <c r="A239" s="2" t="s">
        <v>563</v>
      </c>
      <c r="B239" s="2">
        <v>30</v>
      </c>
      <c r="C239" s="2" t="s">
        <v>43</v>
      </c>
      <c r="D239" s="2" t="s">
        <v>30</v>
      </c>
      <c r="E239" s="2" t="s">
        <v>69</v>
      </c>
      <c r="F239" s="2" t="s">
        <v>32</v>
      </c>
      <c r="G239" s="2" t="s">
        <v>30</v>
      </c>
      <c r="H239" s="2" t="s">
        <v>564</v>
      </c>
      <c r="I239" s="2" t="s">
        <v>82</v>
      </c>
      <c r="J239" s="2">
        <v>276.77</v>
      </c>
      <c r="K239" s="2">
        <v>2</v>
      </c>
      <c r="L239" s="2" t="s">
        <v>35</v>
      </c>
      <c r="M239" s="2">
        <v>1</v>
      </c>
      <c r="N239" s="2">
        <v>1</v>
      </c>
      <c r="O239" s="2">
        <v>2</v>
      </c>
      <c r="P239" s="2" t="s">
        <v>59</v>
      </c>
      <c r="Q239" s="2" t="s">
        <v>85</v>
      </c>
      <c r="R239" s="2">
        <v>1</v>
      </c>
      <c r="S239" s="2">
        <v>2</v>
      </c>
      <c r="T239" s="2" t="s">
        <v>44</v>
      </c>
      <c r="U239" s="2" t="s">
        <v>60</v>
      </c>
      <c r="V239" s="2" t="s">
        <v>86</v>
      </c>
      <c r="W239" s="3">
        <v>45354</v>
      </c>
      <c r="X239" s="2" t="b">
        <v>1</v>
      </c>
      <c r="Y239" s="2" t="b">
        <v>1</v>
      </c>
      <c r="Z239" s="2" t="s">
        <v>52</v>
      </c>
      <c r="AA239" s="2" t="s">
        <v>41</v>
      </c>
      <c r="AB239" s="2">
        <v>4</v>
      </c>
      <c r="AC239" s="2">
        <f>SUMIF(N:N,Ecommerce_Consumer_Behavior_Analysis_Data3[[#This Row],[Brand_Loyalty]],M:M)</f>
        <v>603</v>
      </c>
      <c r="AD239" s="2" t="e" cm="1" vm="1">
        <f t="array" aca="1" ref="AD239" ca="1">SUMIFS(Y:Y,Ecommerce_Consumer_Behavior_Analysis_Data3[[#This Row],[Payment_Method]],V:V)</f>
        <v>#VALUE!</v>
      </c>
      <c r="AE239" s="2">
        <f t="shared" si="7"/>
        <v>333.8</v>
      </c>
    </row>
    <row r="240" spans="1:31" x14ac:dyDescent="0.25">
      <c r="A240" s="2" t="s">
        <v>565</v>
      </c>
      <c r="B240" s="2">
        <v>49</v>
      </c>
      <c r="C240" s="2" t="s">
        <v>43</v>
      </c>
      <c r="D240" s="2" t="s">
        <v>30</v>
      </c>
      <c r="E240" s="2" t="s">
        <v>55</v>
      </c>
      <c r="F240" s="2" t="s">
        <v>45</v>
      </c>
      <c r="G240" s="2" t="s">
        <v>30</v>
      </c>
      <c r="H240" s="2" t="s">
        <v>566</v>
      </c>
      <c r="I240" s="2" t="s">
        <v>104</v>
      </c>
      <c r="J240" s="2">
        <v>190.25</v>
      </c>
      <c r="K240" s="2">
        <v>6</v>
      </c>
      <c r="L240" s="2" t="s">
        <v>35</v>
      </c>
      <c r="M240" s="2">
        <v>4</v>
      </c>
      <c r="N240" s="2">
        <v>2</v>
      </c>
      <c r="O240" s="2">
        <v>2</v>
      </c>
      <c r="P240" s="2" t="s">
        <v>36</v>
      </c>
      <c r="Q240" s="2" t="s">
        <v>85</v>
      </c>
      <c r="R240" s="2">
        <v>2</v>
      </c>
      <c r="S240" s="2">
        <v>9</v>
      </c>
      <c r="T240" s="2" t="s">
        <v>36</v>
      </c>
      <c r="U240" s="2" t="s">
        <v>38</v>
      </c>
      <c r="V240" s="2" t="s">
        <v>51</v>
      </c>
      <c r="W240" s="3">
        <v>45446</v>
      </c>
      <c r="X240" s="2" t="b">
        <v>0</v>
      </c>
      <c r="Y240" s="2" t="b">
        <v>0</v>
      </c>
      <c r="Z240" s="2" t="s">
        <v>74</v>
      </c>
      <c r="AA240" s="2" t="s">
        <v>67</v>
      </c>
      <c r="AB240" s="2">
        <v>13</v>
      </c>
      <c r="AC240" s="2">
        <f>SUMIF(N:N,Ecommerce_Consumer_Behavior_Analysis_Data3[[#This Row],[Brand_Loyalty]],M:M)</f>
        <v>603</v>
      </c>
      <c r="AD240" s="2" t="e" cm="1" vm="1">
        <f t="array" aca="1" ref="AD240" ca="1">SUMIFS(Y:Y,Ecommerce_Consumer_Behavior_Analysis_Data3[[#This Row],[Payment_Method]],V:V)</f>
        <v>#VALUE!</v>
      </c>
      <c r="AE240" s="2">
        <f t="shared" si="7"/>
        <v>333.8</v>
      </c>
    </row>
    <row r="241" spans="1:31" x14ac:dyDescent="0.25">
      <c r="A241" s="2" t="s">
        <v>567</v>
      </c>
      <c r="B241" s="2">
        <v>28</v>
      </c>
      <c r="C241" s="2" t="s">
        <v>29</v>
      </c>
      <c r="D241" s="2" t="s">
        <v>30</v>
      </c>
      <c r="E241" s="2" t="s">
        <v>31</v>
      </c>
      <c r="F241" s="2" t="s">
        <v>56</v>
      </c>
      <c r="G241" s="2" t="s">
        <v>30</v>
      </c>
      <c r="H241" s="2" t="s">
        <v>568</v>
      </c>
      <c r="I241" s="2" t="s">
        <v>101</v>
      </c>
      <c r="J241" s="2">
        <v>203.49</v>
      </c>
      <c r="K241" s="2">
        <v>7</v>
      </c>
      <c r="L241" s="2" t="s">
        <v>48</v>
      </c>
      <c r="M241" s="2">
        <v>4</v>
      </c>
      <c r="N241" s="2">
        <v>1</v>
      </c>
      <c r="O241" s="2">
        <v>2</v>
      </c>
      <c r="P241" s="2" t="s">
        <v>49</v>
      </c>
      <c r="Q241" s="2" t="s">
        <v>50</v>
      </c>
      <c r="R241" s="2">
        <v>1</v>
      </c>
      <c r="S241" s="2">
        <v>8</v>
      </c>
      <c r="T241" s="2" t="s">
        <v>44</v>
      </c>
      <c r="U241" s="2" t="s">
        <v>38</v>
      </c>
      <c r="V241" s="2" t="s">
        <v>86</v>
      </c>
      <c r="W241" s="3">
        <v>45514</v>
      </c>
      <c r="X241" s="2" t="b">
        <v>0</v>
      </c>
      <c r="Y241" s="2" t="b">
        <v>1</v>
      </c>
      <c r="Z241" s="2" t="s">
        <v>40</v>
      </c>
      <c r="AA241" s="2" t="s">
        <v>67</v>
      </c>
      <c r="AB241" s="2">
        <v>11</v>
      </c>
      <c r="AC241" s="2">
        <f>SUMIF(N:N,Ecommerce_Consumer_Behavior_Analysis_Data3[[#This Row],[Brand_Loyalty]],M:M)</f>
        <v>603</v>
      </c>
      <c r="AD241" s="2" t="e" cm="1" vm="1">
        <f t="array" aca="1" ref="AD241" ca="1">SUMIFS(Y:Y,Ecommerce_Consumer_Behavior_Analysis_Data3[[#This Row],[Payment_Method]],V:V)</f>
        <v>#VALUE!</v>
      </c>
      <c r="AE241" s="2">
        <f t="shared" si="7"/>
        <v>333.8</v>
      </c>
    </row>
    <row r="242" spans="1:31" x14ac:dyDescent="0.25">
      <c r="A242" s="2" t="s">
        <v>569</v>
      </c>
      <c r="B242" s="2">
        <v>24</v>
      </c>
      <c r="C242" s="2" t="s">
        <v>43</v>
      </c>
      <c r="D242" s="2" t="s">
        <v>30</v>
      </c>
      <c r="E242" s="2" t="s">
        <v>55</v>
      </c>
      <c r="F242" s="2" t="s">
        <v>45</v>
      </c>
      <c r="G242" s="2" t="s">
        <v>44</v>
      </c>
      <c r="H242" s="2" t="s">
        <v>570</v>
      </c>
      <c r="I242" s="2" t="s">
        <v>142</v>
      </c>
      <c r="J242" s="2">
        <v>263.5</v>
      </c>
      <c r="K242" s="2">
        <v>6</v>
      </c>
      <c r="L242" s="2" t="s">
        <v>35</v>
      </c>
      <c r="M242" s="2">
        <v>3</v>
      </c>
      <c r="N242" s="2">
        <v>2</v>
      </c>
      <c r="O242" s="2">
        <v>2</v>
      </c>
      <c r="P242" s="2" t="s">
        <v>36</v>
      </c>
      <c r="Q242" s="2" t="s">
        <v>50</v>
      </c>
      <c r="R242" s="2">
        <v>0</v>
      </c>
      <c r="S242" s="2">
        <v>8</v>
      </c>
      <c r="T242" s="2" t="s">
        <v>59</v>
      </c>
      <c r="U242" s="2" t="s">
        <v>38</v>
      </c>
      <c r="V242" s="2" t="s">
        <v>61</v>
      </c>
      <c r="W242" s="3">
        <v>45614</v>
      </c>
      <c r="X242" s="2" t="b">
        <v>0</v>
      </c>
      <c r="Y242" s="2" t="b">
        <v>0</v>
      </c>
      <c r="Z242" s="2" t="s">
        <v>74</v>
      </c>
      <c r="AA242" s="2" t="s">
        <v>53</v>
      </c>
      <c r="AB242" s="2">
        <v>1</v>
      </c>
      <c r="AC242" s="2">
        <f>SUMIF(N:N,Ecommerce_Consumer_Behavior_Analysis_Data3[[#This Row],[Brand_Loyalty]],M:M)</f>
        <v>597</v>
      </c>
      <c r="AD242" s="2" t="e" cm="1" vm="1">
        <f t="array" aca="1" ref="AD242" ca="1">SUMIFS(Y:Y,Ecommerce_Consumer_Behavior_Analysis_Data3[[#This Row],[Payment_Method]],V:V)</f>
        <v>#VALUE!</v>
      </c>
      <c r="AE242" s="2">
        <f t="shared" si="7"/>
        <v>333.8</v>
      </c>
    </row>
    <row r="243" spans="1:31" x14ac:dyDescent="0.25">
      <c r="A243" s="2" t="s">
        <v>571</v>
      </c>
      <c r="B243" s="2">
        <v>40</v>
      </c>
      <c r="C243" s="2" t="s">
        <v>29</v>
      </c>
      <c r="D243" s="2" t="s">
        <v>44</v>
      </c>
      <c r="E243" s="2" t="s">
        <v>76</v>
      </c>
      <c r="F243" s="2" t="s">
        <v>32</v>
      </c>
      <c r="G243" s="2" t="s">
        <v>30</v>
      </c>
      <c r="H243" s="2" t="s">
        <v>572</v>
      </c>
      <c r="I243" s="2" t="s">
        <v>135</v>
      </c>
      <c r="J243" s="2">
        <v>247.3</v>
      </c>
      <c r="K243" s="2">
        <v>2</v>
      </c>
      <c r="L243" s="2" t="s">
        <v>48</v>
      </c>
      <c r="M243" s="2">
        <v>4</v>
      </c>
      <c r="N243" s="2">
        <v>4</v>
      </c>
      <c r="O243" s="2">
        <v>2</v>
      </c>
      <c r="P243" s="2" t="s">
        <v>59</v>
      </c>
      <c r="Q243" s="2" t="s">
        <v>85</v>
      </c>
      <c r="R243" s="2">
        <v>0</v>
      </c>
      <c r="S243" s="2">
        <v>1</v>
      </c>
      <c r="T243" s="2" t="s">
        <v>49</v>
      </c>
      <c r="U243" s="2" t="s">
        <v>79</v>
      </c>
      <c r="V243" s="2" t="s">
        <v>39</v>
      </c>
      <c r="W243" s="3">
        <v>45330</v>
      </c>
      <c r="X243" s="2" t="b">
        <v>1</v>
      </c>
      <c r="Y243" s="2" t="b">
        <v>1</v>
      </c>
      <c r="Z243" s="2" t="s">
        <v>52</v>
      </c>
      <c r="AA243" s="2" t="s">
        <v>41</v>
      </c>
      <c r="AB243" s="2">
        <v>11</v>
      </c>
      <c r="AC243" s="2">
        <f>SUMIF(N:N,Ecommerce_Consumer_Behavior_Analysis_Data3[[#This Row],[Brand_Loyalty]],M:M)</f>
        <v>603</v>
      </c>
      <c r="AD243" s="2" t="e" cm="1" vm="1">
        <f t="array" aca="1" ref="AD243" ca="1">SUMIFS(Y:Y,Ecommerce_Consumer_Behavior_Analysis_Data3[[#This Row],[Payment_Method]],V:V)</f>
        <v>#VALUE!</v>
      </c>
      <c r="AE243" s="2">
        <f t="shared" si="7"/>
        <v>426.22</v>
      </c>
    </row>
    <row r="244" spans="1:31" x14ac:dyDescent="0.25">
      <c r="A244" s="2" t="s">
        <v>573</v>
      </c>
      <c r="B244" s="2">
        <v>18</v>
      </c>
      <c r="C244" s="2" t="s">
        <v>43</v>
      </c>
      <c r="D244" s="2" t="s">
        <v>44</v>
      </c>
      <c r="E244" s="2" t="s">
        <v>31</v>
      </c>
      <c r="F244" s="2" t="s">
        <v>32</v>
      </c>
      <c r="G244" s="2" t="s">
        <v>30</v>
      </c>
      <c r="H244" s="2" t="s">
        <v>574</v>
      </c>
      <c r="I244" s="2" t="s">
        <v>126</v>
      </c>
      <c r="J244" s="2">
        <v>50.71</v>
      </c>
      <c r="K244" s="2">
        <v>12</v>
      </c>
      <c r="L244" s="2" t="s">
        <v>78</v>
      </c>
      <c r="M244" s="2">
        <v>4</v>
      </c>
      <c r="N244" s="2">
        <v>3</v>
      </c>
      <c r="O244" s="2">
        <v>0.3</v>
      </c>
      <c r="P244" s="2" t="s">
        <v>36</v>
      </c>
      <c r="Q244" s="2" t="s">
        <v>50</v>
      </c>
      <c r="R244" s="2">
        <v>0</v>
      </c>
      <c r="S244" s="2">
        <v>9</v>
      </c>
      <c r="T244" s="2" t="s">
        <v>49</v>
      </c>
      <c r="U244" s="2" t="s">
        <v>60</v>
      </c>
      <c r="V244" s="2" t="s">
        <v>61</v>
      </c>
      <c r="W244" s="3">
        <v>45368</v>
      </c>
      <c r="X244" s="2" t="b">
        <v>1</v>
      </c>
      <c r="Y244" s="2" t="b">
        <v>1</v>
      </c>
      <c r="Z244" s="2" t="s">
        <v>52</v>
      </c>
      <c r="AA244" s="2" t="s">
        <v>41</v>
      </c>
      <c r="AB244" s="2">
        <v>8</v>
      </c>
      <c r="AC244" s="2">
        <f>SUMIF(N:N,Ecommerce_Consumer_Behavior_Analysis_Data3[[#This Row],[Brand_Loyalty]],M:M)</f>
        <v>603</v>
      </c>
      <c r="AD244" s="2" t="e" cm="1" vm="1">
        <f t="array" aca="1" ref="AD244" ca="1">SUMIFS(Y:Y,Ecommerce_Consumer_Behavior_Analysis_Data3[[#This Row],[Payment_Method]],V:V)</f>
        <v>#VALUE!</v>
      </c>
      <c r="AE244" s="2">
        <f t="shared" si="7"/>
        <v>333.8</v>
      </c>
    </row>
    <row r="245" spans="1:31" x14ac:dyDescent="0.25">
      <c r="A245" s="2" t="s">
        <v>575</v>
      </c>
      <c r="B245" s="2">
        <v>42</v>
      </c>
      <c r="C245" s="2" t="s">
        <v>43</v>
      </c>
      <c r="D245" s="2" t="s">
        <v>44</v>
      </c>
      <c r="E245" s="2" t="s">
        <v>31</v>
      </c>
      <c r="F245" s="2" t="s">
        <v>45</v>
      </c>
      <c r="G245" s="2" t="s">
        <v>30</v>
      </c>
      <c r="H245" s="2" t="s">
        <v>576</v>
      </c>
      <c r="I245" s="2" t="s">
        <v>58</v>
      </c>
      <c r="J245" s="2">
        <v>131.85</v>
      </c>
      <c r="K245" s="2">
        <v>4</v>
      </c>
      <c r="L245" s="2" t="s">
        <v>35</v>
      </c>
      <c r="M245" s="2">
        <v>5</v>
      </c>
      <c r="N245" s="2">
        <v>4</v>
      </c>
      <c r="O245" s="2">
        <v>2</v>
      </c>
      <c r="P245" s="2" t="s">
        <v>59</v>
      </c>
      <c r="Q245" s="2" t="s">
        <v>37</v>
      </c>
      <c r="R245" s="2">
        <v>1</v>
      </c>
      <c r="S245" s="2">
        <v>5</v>
      </c>
      <c r="T245" s="2" t="s">
        <v>49</v>
      </c>
      <c r="U245" s="2" t="s">
        <v>60</v>
      </c>
      <c r="V245" s="2" t="s">
        <v>61</v>
      </c>
      <c r="W245" s="3">
        <v>45295</v>
      </c>
      <c r="X245" s="2" t="b">
        <v>1</v>
      </c>
      <c r="Y245" s="2" t="b">
        <v>0</v>
      </c>
      <c r="Z245" s="2" t="s">
        <v>40</v>
      </c>
      <c r="AA245" s="2" t="s">
        <v>41</v>
      </c>
      <c r="AB245" s="2">
        <v>6</v>
      </c>
      <c r="AC245" s="2">
        <f>SUMIF(N:N,Ecommerce_Consumer_Behavior_Analysis_Data3[[#This Row],[Brand_Loyalty]],M:M)</f>
        <v>641</v>
      </c>
      <c r="AD245" s="2" t="e" cm="1" vm="1">
        <f t="array" aca="1" ref="AD245" ca="1">SUMIFS(Y:Y,Ecommerce_Consumer_Behavior_Analysis_Data3[[#This Row],[Payment_Method]],V:V)</f>
        <v>#VALUE!</v>
      </c>
      <c r="AE245" s="2">
        <f t="shared" si="7"/>
        <v>426.22</v>
      </c>
    </row>
    <row r="246" spans="1:31" x14ac:dyDescent="0.25">
      <c r="A246" s="2" t="s">
        <v>577</v>
      </c>
      <c r="B246" s="2">
        <v>19</v>
      </c>
      <c r="C246" s="2" t="s">
        <v>43</v>
      </c>
      <c r="D246" s="2" t="s">
        <v>44</v>
      </c>
      <c r="E246" s="2" t="s">
        <v>31</v>
      </c>
      <c r="F246" s="2" t="s">
        <v>56</v>
      </c>
      <c r="G246" s="2" t="s">
        <v>44</v>
      </c>
      <c r="H246" s="2" t="s">
        <v>578</v>
      </c>
      <c r="I246" s="2" t="s">
        <v>188</v>
      </c>
      <c r="J246" s="2">
        <v>459.39</v>
      </c>
      <c r="K246" s="2">
        <v>6</v>
      </c>
      <c r="L246" s="2" t="s">
        <v>35</v>
      </c>
      <c r="M246" s="2">
        <v>2</v>
      </c>
      <c r="N246" s="2">
        <v>2</v>
      </c>
      <c r="O246" s="2">
        <v>0.3</v>
      </c>
      <c r="P246" s="2" t="s">
        <v>59</v>
      </c>
      <c r="Q246" s="2" t="s">
        <v>85</v>
      </c>
      <c r="R246" s="2">
        <v>2</v>
      </c>
      <c r="S246" s="2">
        <v>4</v>
      </c>
      <c r="T246" s="2" t="s">
        <v>44</v>
      </c>
      <c r="U246" s="2" t="s">
        <v>38</v>
      </c>
      <c r="V246" s="2" t="s">
        <v>39</v>
      </c>
      <c r="W246" s="3">
        <v>45564</v>
      </c>
      <c r="X246" s="2" t="b">
        <v>0</v>
      </c>
      <c r="Y246" s="2" t="b">
        <v>0</v>
      </c>
      <c r="Z246" s="2" t="s">
        <v>74</v>
      </c>
      <c r="AA246" s="2" t="s">
        <v>41</v>
      </c>
      <c r="AB246" s="2">
        <v>14</v>
      </c>
      <c r="AC246" s="2">
        <f>SUMIF(N:N,Ecommerce_Consumer_Behavior_Analysis_Data3[[#This Row],[Brand_Loyalty]],M:M)</f>
        <v>582</v>
      </c>
      <c r="AD246" s="2" t="e" cm="1" vm="1">
        <f t="array" aca="1" ref="AD246" ca="1">SUMIFS(Y:Y,Ecommerce_Consumer_Behavior_Analysis_Data3[[#This Row],[Payment_Method]],V:V)</f>
        <v>#VALUE!</v>
      </c>
      <c r="AE246" s="2">
        <f t="shared" si="7"/>
        <v>333.8</v>
      </c>
    </row>
    <row r="247" spans="1:31" x14ac:dyDescent="0.25">
      <c r="A247" s="2" t="s">
        <v>579</v>
      </c>
      <c r="B247" s="2">
        <v>36</v>
      </c>
      <c r="C247" s="2" t="s">
        <v>29</v>
      </c>
      <c r="D247" s="2" t="s">
        <v>44</v>
      </c>
      <c r="E247" s="2" t="s">
        <v>76</v>
      </c>
      <c r="F247" s="2" t="s">
        <v>45</v>
      </c>
      <c r="G247" s="2" t="s">
        <v>30</v>
      </c>
      <c r="H247" s="2" t="s">
        <v>580</v>
      </c>
      <c r="I247" s="2" t="s">
        <v>58</v>
      </c>
      <c r="J247" s="2">
        <v>383.33</v>
      </c>
      <c r="K247" s="2">
        <v>6</v>
      </c>
      <c r="L247" s="2" t="s">
        <v>78</v>
      </c>
      <c r="M247" s="2">
        <v>3</v>
      </c>
      <c r="N247" s="2">
        <v>4</v>
      </c>
      <c r="O247" s="2">
        <v>2</v>
      </c>
      <c r="P247" s="2" t="s">
        <v>49</v>
      </c>
      <c r="Q247" s="2" t="s">
        <v>85</v>
      </c>
      <c r="R247" s="2">
        <v>1</v>
      </c>
      <c r="S247" s="2">
        <v>3</v>
      </c>
      <c r="T247" s="2" t="s">
        <v>36</v>
      </c>
      <c r="U247" s="2" t="s">
        <v>60</v>
      </c>
      <c r="V247" s="2" t="s">
        <v>39</v>
      </c>
      <c r="W247" s="3">
        <v>45509</v>
      </c>
      <c r="X247" s="2" t="b">
        <v>0</v>
      </c>
      <c r="Y247" s="2" t="b">
        <v>0</v>
      </c>
      <c r="Z247" s="2" t="s">
        <v>74</v>
      </c>
      <c r="AA247" s="2" t="s">
        <v>53</v>
      </c>
      <c r="AB247" s="2">
        <v>12</v>
      </c>
      <c r="AC247" s="2">
        <f>SUMIF(N:N,Ecommerce_Consumer_Behavior_Analysis_Data3[[#This Row],[Brand_Loyalty]],M:M)</f>
        <v>597</v>
      </c>
      <c r="AD247" s="2" t="e" cm="1" vm="1">
        <f t="array" aca="1" ref="AD247" ca="1">SUMIFS(Y:Y,Ecommerce_Consumer_Behavior_Analysis_Data3[[#This Row],[Payment_Method]],V:V)</f>
        <v>#VALUE!</v>
      </c>
      <c r="AE247" s="2">
        <f t="shared" si="7"/>
        <v>333.8</v>
      </c>
    </row>
    <row r="248" spans="1:31" x14ac:dyDescent="0.25">
      <c r="A248" s="2" t="s">
        <v>581</v>
      </c>
      <c r="B248" s="2">
        <v>26</v>
      </c>
      <c r="C248" s="2" t="s">
        <v>29</v>
      </c>
      <c r="D248" s="2" t="s">
        <v>44</v>
      </c>
      <c r="E248" s="2" t="s">
        <v>69</v>
      </c>
      <c r="F248" s="2" t="s">
        <v>32</v>
      </c>
      <c r="G248" s="2" t="s">
        <v>44</v>
      </c>
      <c r="H248" s="2" t="s">
        <v>582</v>
      </c>
      <c r="I248" s="2" t="s">
        <v>126</v>
      </c>
      <c r="J248" s="2">
        <v>212.08</v>
      </c>
      <c r="K248" s="2">
        <v>8</v>
      </c>
      <c r="L248" s="2" t="s">
        <v>48</v>
      </c>
      <c r="M248" s="2">
        <v>5</v>
      </c>
      <c r="N248" s="2">
        <v>5</v>
      </c>
      <c r="O248" s="2">
        <v>2</v>
      </c>
      <c r="P248" s="2" t="s">
        <v>59</v>
      </c>
      <c r="Q248" s="2" t="s">
        <v>85</v>
      </c>
      <c r="R248" s="2">
        <v>1</v>
      </c>
      <c r="S248" s="2">
        <v>9</v>
      </c>
      <c r="T248" s="2" t="s">
        <v>36</v>
      </c>
      <c r="U248" s="2" t="s">
        <v>38</v>
      </c>
      <c r="V248" s="2" t="s">
        <v>39</v>
      </c>
      <c r="W248" s="3">
        <v>45419</v>
      </c>
      <c r="X248" s="2" t="b">
        <v>0</v>
      </c>
      <c r="Y248" s="2" t="b">
        <v>0</v>
      </c>
      <c r="Z248" s="2" t="s">
        <v>40</v>
      </c>
      <c r="AA248" s="2" t="s">
        <v>53</v>
      </c>
      <c r="AB248" s="2">
        <v>13</v>
      </c>
      <c r="AC248" s="2">
        <f>SUMIF(N:N,Ecommerce_Consumer_Behavior_Analysis_Data3[[#This Row],[Brand_Loyalty]],M:M)</f>
        <v>641</v>
      </c>
      <c r="AD248" s="2" t="e" cm="1" vm="1">
        <f t="array" aca="1" ref="AD248" ca="1">SUMIFS(Y:Y,Ecommerce_Consumer_Behavior_Analysis_Data3[[#This Row],[Payment_Method]],V:V)</f>
        <v>#VALUE!</v>
      </c>
      <c r="AE248" s="2">
        <f t="shared" si="7"/>
        <v>101.31</v>
      </c>
    </row>
    <row r="249" spans="1:31" x14ac:dyDescent="0.25">
      <c r="A249" s="2" t="s">
        <v>583</v>
      </c>
      <c r="B249" s="2">
        <v>35</v>
      </c>
      <c r="C249" s="2" t="s">
        <v>29</v>
      </c>
      <c r="D249" s="2" t="s">
        <v>44</v>
      </c>
      <c r="E249" s="2" t="s">
        <v>31</v>
      </c>
      <c r="F249" s="2" t="s">
        <v>56</v>
      </c>
      <c r="G249" s="2" t="s">
        <v>44</v>
      </c>
      <c r="H249" s="2" t="s">
        <v>584</v>
      </c>
      <c r="I249" s="2" t="s">
        <v>135</v>
      </c>
      <c r="J249" s="2">
        <v>370.73</v>
      </c>
      <c r="K249" s="2">
        <v>7</v>
      </c>
      <c r="L249" s="2" t="s">
        <v>78</v>
      </c>
      <c r="M249" s="2">
        <v>3</v>
      </c>
      <c r="N249" s="2">
        <v>2</v>
      </c>
      <c r="O249" s="2">
        <v>1</v>
      </c>
      <c r="P249" s="2" t="s">
        <v>44</v>
      </c>
      <c r="Q249" s="2" t="s">
        <v>50</v>
      </c>
      <c r="R249" s="2">
        <v>0</v>
      </c>
      <c r="S249" s="2">
        <v>9</v>
      </c>
      <c r="T249" s="2" t="s">
        <v>44</v>
      </c>
      <c r="U249" s="2" t="s">
        <v>60</v>
      </c>
      <c r="V249" s="2" t="s">
        <v>61</v>
      </c>
      <c r="W249" s="3">
        <v>45522</v>
      </c>
      <c r="X249" s="2" t="b">
        <v>0</v>
      </c>
      <c r="Y249" s="2" t="b">
        <v>1</v>
      </c>
      <c r="Z249" s="2" t="s">
        <v>40</v>
      </c>
      <c r="AA249" s="2" t="s">
        <v>41</v>
      </c>
      <c r="AB249" s="2">
        <v>7</v>
      </c>
      <c r="AC249" s="2">
        <f>SUMIF(N:N,Ecommerce_Consumer_Behavior_Analysis_Data3[[#This Row],[Brand_Loyalty]],M:M)</f>
        <v>597</v>
      </c>
      <c r="AD249" s="2" t="e" cm="1" vm="1">
        <f t="array" aca="1" ref="AD249" ca="1">SUMIFS(Y:Y,Ecommerce_Consumer_Behavior_Analysis_Data3[[#This Row],[Payment_Method]],V:V)</f>
        <v>#VALUE!</v>
      </c>
      <c r="AE249" s="2">
        <f t="shared" si="7"/>
        <v>101.31</v>
      </c>
    </row>
    <row r="250" spans="1:31" x14ac:dyDescent="0.25">
      <c r="A250" s="2" t="s">
        <v>585</v>
      </c>
      <c r="B250" s="2">
        <v>39</v>
      </c>
      <c r="C250" s="2" t="s">
        <v>43</v>
      </c>
      <c r="D250" s="2" t="s">
        <v>44</v>
      </c>
      <c r="E250" s="2" t="s">
        <v>76</v>
      </c>
      <c r="F250" s="2" t="s">
        <v>56</v>
      </c>
      <c r="G250" s="2" t="s">
        <v>30</v>
      </c>
      <c r="H250" s="2" t="s">
        <v>586</v>
      </c>
      <c r="I250" s="2" t="s">
        <v>183</v>
      </c>
      <c r="J250" s="2">
        <v>319.66000000000003</v>
      </c>
      <c r="K250" s="2">
        <v>7</v>
      </c>
      <c r="L250" s="2" t="s">
        <v>35</v>
      </c>
      <c r="M250" s="2">
        <v>4</v>
      </c>
      <c r="N250" s="2">
        <v>2</v>
      </c>
      <c r="O250" s="2">
        <v>1</v>
      </c>
      <c r="P250" s="2" t="s">
        <v>44</v>
      </c>
      <c r="Q250" s="2" t="s">
        <v>50</v>
      </c>
      <c r="R250" s="2">
        <v>1</v>
      </c>
      <c r="S250" s="2">
        <v>10</v>
      </c>
      <c r="T250" s="2" t="s">
        <v>36</v>
      </c>
      <c r="U250" s="2" t="s">
        <v>79</v>
      </c>
      <c r="V250" s="2" t="s">
        <v>61</v>
      </c>
      <c r="W250" s="3">
        <v>45340</v>
      </c>
      <c r="X250" s="2" t="b">
        <v>0</v>
      </c>
      <c r="Y250" s="2" t="b">
        <v>0</v>
      </c>
      <c r="Z250" s="2" t="s">
        <v>52</v>
      </c>
      <c r="AA250" s="2" t="s">
        <v>67</v>
      </c>
      <c r="AB250" s="2">
        <v>3</v>
      </c>
      <c r="AC250" s="2">
        <f>SUMIF(N:N,Ecommerce_Consumer_Behavior_Analysis_Data3[[#This Row],[Brand_Loyalty]],M:M)</f>
        <v>603</v>
      </c>
      <c r="AD250" s="2" t="e" cm="1" vm="1">
        <f t="array" aca="1" ref="AD250" ca="1">SUMIFS(Y:Y,Ecommerce_Consumer_Behavior_Analysis_Data3[[#This Row],[Payment_Method]],V:V)</f>
        <v>#VALUE!</v>
      </c>
      <c r="AE250" s="2">
        <f t="shared" si="7"/>
        <v>426.22</v>
      </c>
    </row>
    <row r="251" spans="1:31" x14ac:dyDescent="0.25">
      <c r="A251" s="2" t="s">
        <v>587</v>
      </c>
      <c r="B251" s="2">
        <v>44</v>
      </c>
      <c r="C251" s="2" t="s">
        <v>29</v>
      </c>
      <c r="D251" s="2" t="s">
        <v>30</v>
      </c>
      <c r="E251" s="2" t="s">
        <v>69</v>
      </c>
      <c r="F251" s="2" t="s">
        <v>32</v>
      </c>
      <c r="G251" s="2" t="s">
        <v>44</v>
      </c>
      <c r="H251" s="2" t="s">
        <v>588</v>
      </c>
      <c r="I251" s="2" t="s">
        <v>246</v>
      </c>
      <c r="J251" s="2">
        <v>373.05</v>
      </c>
      <c r="K251" s="2">
        <v>3</v>
      </c>
      <c r="L251" s="2" t="s">
        <v>48</v>
      </c>
      <c r="M251" s="2">
        <v>3</v>
      </c>
      <c r="N251" s="2">
        <v>4</v>
      </c>
      <c r="O251" s="2">
        <v>0.3</v>
      </c>
      <c r="P251" s="2" t="s">
        <v>59</v>
      </c>
      <c r="Q251" s="2" t="s">
        <v>50</v>
      </c>
      <c r="R251" s="2">
        <v>1</v>
      </c>
      <c r="S251" s="2">
        <v>10</v>
      </c>
      <c r="T251" s="2" t="s">
        <v>49</v>
      </c>
      <c r="U251" s="2" t="s">
        <v>38</v>
      </c>
      <c r="V251" s="2" t="s">
        <v>86</v>
      </c>
      <c r="W251" s="3">
        <v>45365</v>
      </c>
      <c r="X251" s="2" t="b">
        <v>0</v>
      </c>
      <c r="Y251" s="2" t="b">
        <v>1</v>
      </c>
      <c r="Z251" s="2" t="s">
        <v>74</v>
      </c>
      <c r="AA251" s="2" t="s">
        <v>53</v>
      </c>
      <c r="AB251" s="2">
        <v>7</v>
      </c>
      <c r="AC251" s="2">
        <f>SUMIF(N:N,Ecommerce_Consumer_Behavior_Analysis_Data3[[#This Row],[Brand_Loyalty]],M:M)</f>
        <v>597</v>
      </c>
      <c r="AD251" s="2" t="e" cm="1" vm="1">
        <f t="array" aca="1" ref="AD251" ca="1">SUMIFS(Y:Y,Ecommerce_Consumer_Behavior_Analysis_Data3[[#This Row],[Payment_Method]],V:V)</f>
        <v>#VALUE!</v>
      </c>
      <c r="AE251" s="2">
        <f t="shared" si="7"/>
        <v>101.31</v>
      </c>
    </row>
    <row r="252" spans="1:31" x14ac:dyDescent="0.25">
      <c r="A252" s="2" t="s">
        <v>589</v>
      </c>
      <c r="B252" s="2">
        <v>19</v>
      </c>
      <c r="C252" s="2" t="s">
        <v>29</v>
      </c>
      <c r="D252" s="2" t="s">
        <v>44</v>
      </c>
      <c r="E252" s="2" t="s">
        <v>31</v>
      </c>
      <c r="F252" s="2" t="s">
        <v>32</v>
      </c>
      <c r="G252" s="2" t="s">
        <v>44</v>
      </c>
      <c r="H252" s="2" t="s">
        <v>590</v>
      </c>
      <c r="I252" s="2" t="s">
        <v>90</v>
      </c>
      <c r="J252" s="2">
        <v>393.78</v>
      </c>
      <c r="K252" s="2">
        <v>6</v>
      </c>
      <c r="L252" s="2" t="s">
        <v>78</v>
      </c>
      <c r="M252" s="2">
        <v>3</v>
      </c>
      <c r="N252" s="2">
        <v>4</v>
      </c>
      <c r="O252" s="2">
        <v>1</v>
      </c>
      <c r="P252" s="2" t="s">
        <v>49</v>
      </c>
      <c r="Q252" s="2" t="s">
        <v>85</v>
      </c>
      <c r="R252" s="2">
        <v>0</v>
      </c>
      <c r="S252" s="2">
        <v>5</v>
      </c>
      <c r="T252" s="2" t="s">
        <v>59</v>
      </c>
      <c r="U252" s="2" t="s">
        <v>38</v>
      </c>
      <c r="V252" s="2" t="s">
        <v>66</v>
      </c>
      <c r="W252" s="3">
        <v>45376</v>
      </c>
      <c r="X252" s="2" t="b">
        <v>1</v>
      </c>
      <c r="Y252" s="2" t="b">
        <v>0</v>
      </c>
      <c r="Z252" s="2" t="s">
        <v>40</v>
      </c>
      <c r="AA252" s="2" t="s">
        <v>41</v>
      </c>
      <c r="AB252" s="2">
        <v>14</v>
      </c>
      <c r="AC252" s="2">
        <f>SUMIF(N:N,Ecommerce_Consumer_Behavior_Analysis_Data3[[#This Row],[Brand_Loyalty]],M:M)</f>
        <v>597</v>
      </c>
      <c r="AD252" s="2" t="e" cm="1" vm="1">
        <f t="array" aca="1" ref="AD252" ca="1">SUMIFS(Y:Y,Ecommerce_Consumer_Behavior_Analysis_Data3[[#This Row],[Payment_Method]],V:V)</f>
        <v>#VALUE!</v>
      </c>
      <c r="AE252" s="2">
        <f t="shared" si="7"/>
        <v>211.7</v>
      </c>
    </row>
    <row r="253" spans="1:31" x14ac:dyDescent="0.25">
      <c r="A253" s="2" t="s">
        <v>591</v>
      </c>
      <c r="B253" s="2">
        <v>27</v>
      </c>
      <c r="C253" s="2" t="s">
        <v>29</v>
      </c>
      <c r="D253" s="2" t="s">
        <v>44</v>
      </c>
      <c r="E253" s="2" t="s">
        <v>69</v>
      </c>
      <c r="F253" s="2" t="s">
        <v>56</v>
      </c>
      <c r="G253" s="2" t="s">
        <v>44</v>
      </c>
      <c r="H253" s="2" t="s">
        <v>592</v>
      </c>
      <c r="I253" s="2" t="s">
        <v>183</v>
      </c>
      <c r="J253" s="2">
        <v>245.04</v>
      </c>
      <c r="K253" s="2">
        <v>4</v>
      </c>
      <c r="L253" s="2" t="s">
        <v>78</v>
      </c>
      <c r="M253" s="2">
        <v>3</v>
      </c>
      <c r="N253" s="2">
        <v>2</v>
      </c>
      <c r="O253" s="2">
        <v>0</v>
      </c>
      <c r="P253" s="2" t="s">
        <v>44</v>
      </c>
      <c r="Q253" s="2" t="s">
        <v>50</v>
      </c>
      <c r="R253" s="2">
        <v>2</v>
      </c>
      <c r="S253" s="2">
        <v>6</v>
      </c>
      <c r="T253" s="2" t="s">
        <v>44</v>
      </c>
      <c r="U253" s="2" t="s">
        <v>38</v>
      </c>
      <c r="V253" s="2" t="s">
        <v>66</v>
      </c>
      <c r="W253" s="3">
        <v>45629</v>
      </c>
      <c r="X253" s="2" t="b">
        <v>1</v>
      </c>
      <c r="Y253" s="2" t="b">
        <v>1</v>
      </c>
      <c r="Z253" s="2" t="s">
        <v>40</v>
      </c>
      <c r="AA253" s="2" t="s">
        <v>53</v>
      </c>
      <c r="AB253" s="2">
        <v>10</v>
      </c>
      <c r="AC253" s="2">
        <f>SUMIF(N:N,Ecommerce_Consumer_Behavior_Analysis_Data3[[#This Row],[Brand_Loyalty]],M:M)</f>
        <v>597</v>
      </c>
      <c r="AD253" s="2" t="e" cm="1" vm="1">
        <f t="array" aca="1" ref="AD253" ca="1">SUMIFS(Y:Y,Ecommerce_Consumer_Behavior_Analysis_Data3[[#This Row],[Payment_Method]],V:V)</f>
        <v>#VALUE!</v>
      </c>
      <c r="AE253" s="2">
        <f t="shared" si="7"/>
        <v>101.31</v>
      </c>
    </row>
    <row r="254" spans="1:31" x14ac:dyDescent="0.25">
      <c r="A254" s="2" t="s">
        <v>593</v>
      </c>
      <c r="B254" s="2">
        <v>26</v>
      </c>
      <c r="C254" s="2" t="s">
        <v>29</v>
      </c>
      <c r="D254" s="2" t="s">
        <v>44</v>
      </c>
      <c r="E254" s="2" t="s">
        <v>76</v>
      </c>
      <c r="F254" s="2" t="s">
        <v>56</v>
      </c>
      <c r="G254" s="2" t="s">
        <v>30</v>
      </c>
      <c r="H254" s="2" t="s">
        <v>594</v>
      </c>
      <c r="I254" s="2" t="s">
        <v>188</v>
      </c>
      <c r="J254" s="2">
        <v>111.27</v>
      </c>
      <c r="K254" s="2">
        <v>3</v>
      </c>
      <c r="L254" s="2" t="s">
        <v>78</v>
      </c>
      <c r="M254" s="2">
        <v>1</v>
      </c>
      <c r="N254" s="2">
        <v>3</v>
      </c>
      <c r="O254" s="2">
        <v>1</v>
      </c>
      <c r="P254" s="2" t="s">
        <v>44</v>
      </c>
      <c r="Q254" s="2" t="s">
        <v>85</v>
      </c>
      <c r="R254" s="2">
        <v>2</v>
      </c>
      <c r="S254" s="2">
        <v>10</v>
      </c>
      <c r="T254" s="2" t="s">
        <v>36</v>
      </c>
      <c r="U254" s="2" t="s">
        <v>60</v>
      </c>
      <c r="V254" s="2" t="s">
        <v>51</v>
      </c>
      <c r="W254" s="3">
        <v>45425</v>
      </c>
      <c r="X254" s="2" t="b">
        <v>0</v>
      </c>
      <c r="Y254" s="2" t="b">
        <v>0</v>
      </c>
      <c r="Z254" s="2" t="s">
        <v>62</v>
      </c>
      <c r="AA254" s="2" t="s">
        <v>41</v>
      </c>
      <c r="AB254" s="2">
        <v>12</v>
      </c>
      <c r="AC254" s="2">
        <f>SUMIF(N:N,Ecommerce_Consumer_Behavior_Analysis_Data3[[#This Row],[Brand_Loyalty]],M:M)</f>
        <v>603</v>
      </c>
      <c r="AD254" s="2" t="e" cm="1" vm="1">
        <f t="array" aca="1" ref="AD254" ca="1">SUMIFS(Y:Y,Ecommerce_Consumer_Behavior_Analysis_Data3[[#This Row],[Payment_Method]],V:V)</f>
        <v>#VALUE!</v>
      </c>
      <c r="AE254" s="2">
        <f t="shared" si="7"/>
        <v>211.7</v>
      </c>
    </row>
    <row r="255" spans="1:31" x14ac:dyDescent="0.25">
      <c r="A255" s="2" t="s">
        <v>595</v>
      </c>
      <c r="B255" s="2">
        <v>26</v>
      </c>
      <c r="C255" s="2" t="s">
        <v>29</v>
      </c>
      <c r="D255" s="2" t="s">
        <v>44</v>
      </c>
      <c r="E255" s="2" t="s">
        <v>55</v>
      </c>
      <c r="F255" s="2" t="s">
        <v>32</v>
      </c>
      <c r="G255" s="2" t="s">
        <v>30</v>
      </c>
      <c r="H255" s="2" t="s">
        <v>596</v>
      </c>
      <c r="I255" s="2" t="s">
        <v>123</v>
      </c>
      <c r="J255" s="2">
        <v>93.29</v>
      </c>
      <c r="K255" s="2">
        <v>11</v>
      </c>
      <c r="L255" s="2" t="s">
        <v>78</v>
      </c>
      <c r="M255" s="2">
        <v>2</v>
      </c>
      <c r="N255" s="2">
        <v>2</v>
      </c>
      <c r="O255" s="2">
        <v>0</v>
      </c>
      <c r="P255" s="2" t="s">
        <v>44</v>
      </c>
      <c r="Q255" s="2" t="s">
        <v>85</v>
      </c>
      <c r="R255" s="2">
        <v>0</v>
      </c>
      <c r="S255" s="2">
        <v>7</v>
      </c>
      <c r="T255" s="2" t="s">
        <v>59</v>
      </c>
      <c r="U255" s="2" t="s">
        <v>38</v>
      </c>
      <c r="V255" s="2" t="s">
        <v>66</v>
      </c>
      <c r="W255" s="3">
        <v>45498</v>
      </c>
      <c r="X255" s="2" t="b">
        <v>1</v>
      </c>
      <c r="Y255" s="2" t="b">
        <v>0</v>
      </c>
      <c r="Z255" s="2" t="s">
        <v>62</v>
      </c>
      <c r="AA255" s="2" t="s">
        <v>41</v>
      </c>
      <c r="AB255" s="2">
        <v>9</v>
      </c>
      <c r="AC255" s="2">
        <f>SUMIF(N:N,Ecommerce_Consumer_Behavior_Analysis_Data3[[#This Row],[Brand_Loyalty]],M:M)</f>
        <v>582</v>
      </c>
      <c r="AD255" s="2" t="e" cm="1" vm="1">
        <f t="array" aca="1" ref="AD255" ca="1">SUMIFS(Y:Y,Ecommerce_Consumer_Behavior_Analysis_Data3[[#This Row],[Payment_Method]],V:V)</f>
        <v>#VALUE!</v>
      </c>
      <c r="AE255" s="2">
        <f t="shared" si="7"/>
        <v>101.31</v>
      </c>
    </row>
    <row r="256" spans="1:31" x14ac:dyDescent="0.25">
      <c r="A256" s="2" t="s">
        <v>597</v>
      </c>
      <c r="B256" s="2">
        <v>27</v>
      </c>
      <c r="C256" s="2" t="s">
        <v>29</v>
      </c>
      <c r="D256" s="2" t="s">
        <v>44</v>
      </c>
      <c r="E256" s="2" t="s">
        <v>31</v>
      </c>
      <c r="F256" s="2" t="s">
        <v>45</v>
      </c>
      <c r="G256" s="2" t="s">
        <v>30</v>
      </c>
      <c r="H256" s="2" t="s">
        <v>598</v>
      </c>
      <c r="I256" s="2" t="s">
        <v>107</v>
      </c>
      <c r="J256" s="2">
        <v>156.5</v>
      </c>
      <c r="K256" s="2">
        <v>5</v>
      </c>
      <c r="L256" s="2" t="s">
        <v>35</v>
      </c>
      <c r="M256" s="2">
        <v>1</v>
      </c>
      <c r="N256" s="2">
        <v>1</v>
      </c>
      <c r="O256" s="2">
        <v>1</v>
      </c>
      <c r="P256" s="2" t="s">
        <v>44</v>
      </c>
      <c r="Q256" s="2" t="s">
        <v>85</v>
      </c>
      <c r="R256" s="2">
        <v>0</v>
      </c>
      <c r="S256" s="2">
        <v>3</v>
      </c>
      <c r="T256" s="2" t="s">
        <v>44</v>
      </c>
      <c r="U256" s="2" t="s">
        <v>79</v>
      </c>
      <c r="V256" s="2" t="s">
        <v>66</v>
      </c>
      <c r="W256" s="3">
        <v>45301</v>
      </c>
      <c r="X256" s="2" t="b">
        <v>1</v>
      </c>
      <c r="Y256" s="2" t="b">
        <v>0</v>
      </c>
      <c r="Z256" s="2" t="s">
        <v>52</v>
      </c>
      <c r="AA256" s="2" t="s">
        <v>53</v>
      </c>
      <c r="AB256" s="2">
        <v>14</v>
      </c>
      <c r="AC256" s="2">
        <f>SUMIF(N:N,Ecommerce_Consumer_Behavior_Analysis_Data3[[#This Row],[Brand_Loyalty]],M:M)</f>
        <v>603</v>
      </c>
      <c r="AD256" s="2" t="e" cm="1" vm="1">
        <f t="array" aca="1" ref="AD256" ca="1">SUMIFS(Y:Y,Ecommerce_Consumer_Behavior_Analysis_Data3[[#This Row],[Payment_Method]],V:V)</f>
        <v>#VALUE!</v>
      </c>
      <c r="AE256" s="2">
        <f t="shared" si="7"/>
        <v>101.31</v>
      </c>
    </row>
    <row r="257" spans="1:31" x14ac:dyDescent="0.25">
      <c r="A257" s="2" t="s">
        <v>599</v>
      </c>
      <c r="B257" s="2">
        <v>37</v>
      </c>
      <c r="C257" s="2" t="s">
        <v>43</v>
      </c>
      <c r="D257" s="2" t="s">
        <v>30</v>
      </c>
      <c r="E257" s="2" t="s">
        <v>55</v>
      </c>
      <c r="F257" s="2" t="s">
        <v>56</v>
      </c>
      <c r="G257" s="2" t="s">
        <v>30</v>
      </c>
      <c r="H257" s="2" t="s">
        <v>600</v>
      </c>
      <c r="I257" s="2" t="s">
        <v>114</v>
      </c>
      <c r="J257" s="2">
        <v>290.11</v>
      </c>
      <c r="K257" s="2">
        <v>8</v>
      </c>
      <c r="L257" s="2" t="s">
        <v>35</v>
      </c>
      <c r="M257" s="2">
        <v>4</v>
      </c>
      <c r="N257" s="2">
        <v>4</v>
      </c>
      <c r="O257" s="2">
        <v>1</v>
      </c>
      <c r="P257" s="2" t="s">
        <v>49</v>
      </c>
      <c r="Q257" s="2" t="s">
        <v>85</v>
      </c>
      <c r="R257" s="2">
        <v>1</v>
      </c>
      <c r="S257" s="2">
        <v>4</v>
      </c>
      <c r="T257" s="2" t="s">
        <v>49</v>
      </c>
      <c r="U257" s="2" t="s">
        <v>60</v>
      </c>
      <c r="V257" s="2" t="s">
        <v>51</v>
      </c>
      <c r="W257" s="3">
        <v>45595</v>
      </c>
      <c r="X257" s="2" t="b">
        <v>0</v>
      </c>
      <c r="Y257" s="2" t="b">
        <v>0</v>
      </c>
      <c r="Z257" s="2" t="s">
        <v>62</v>
      </c>
      <c r="AA257" s="2" t="s">
        <v>41</v>
      </c>
      <c r="AB257" s="2">
        <v>14</v>
      </c>
      <c r="AC257" s="2">
        <f>SUMIF(N:N,Ecommerce_Consumer_Behavior_Analysis_Data3[[#This Row],[Brand_Loyalty]],M:M)</f>
        <v>603</v>
      </c>
      <c r="AD257" s="2" t="e" cm="1" vm="1">
        <f t="array" aca="1" ref="AD257" ca="1">SUMIFS(Y:Y,Ecommerce_Consumer_Behavior_Analysis_Data3[[#This Row],[Payment_Method]],V:V)</f>
        <v>#VALUE!</v>
      </c>
      <c r="AE257" s="2">
        <f t="shared" si="7"/>
        <v>211.7</v>
      </c>
    </row>
    <row r="258" spans="1:31" x14ac:dyDescent="0.25">
      <c r="A258" s="2" t="s">
        <v>601</v>
      </c>
      <c r="B258" s="2">
        <v>23</v>
      </c>
      <c r="C258" s="2" t="s">
        <v>29</v>
      </c>
      <c r="D258" s="2" t="s">
        <v>30</v>
      </c>
      <c r="E258" s="2" t="s">
        <v>55</v>
      </c>
      <c r="F258" s="2" t="s">
        <v>32</v>
      </c>
      <c r="G258" s="2" t="s">
        <v>30</v>
      </c>
      <c r="H258" s="2" t="s">
        <v>289</v>
      </c>
      <c r="I258" s="2" t="s">
        <v>120</v>
      </c>
      <c r="J258" s="2">
        <v>355.28</v>
      </c>
      <c r="K258" s="2">
        <v>3</v>
      </c>
      <c r="L258" s="2" t="s">
        <v>35</v>
      </c>
      <c r="M258" s="2">
        <v>5</v>
      </c>
      <c r="N258" s="2">
        <v>5</v>
      </c>
      <c r="O258" s="2">
        <v>0</v>
      </c>
      <c r="P258" s="2" t="s">
        <v>59</v>
      </c>
      <c r="Q258" s="2" t="s">
        <v>85</v>
      </c>
      <c r="R258" s="2">
        <v>1</v>
      </c>
      <c r="S258" s="2">
        <v>4</v>
      </c>
      <c r="T258" s="2" t="s">
        <v>59</v>
      </c>
      <c r="U258" s="2" t="s">
        <v>60</v>
      </c>
      <c r="V258" s="2" t="s">
        <v>39</v>
      </c>
      <c r="W258" s="3">
        <v>45552</v>
      </c>
      <c r="X258" s="2" t="b">
        <v>1</v>
      </c>
      <c r="Y258" s="2" t="b">
        <v>1</v>
      </c>
      <c r="Z258" s="2" t="s">
        <v>74</v>
      </c>
      <c r="AA258" s="2" t="s">
        <v>41</v>
      </c>
      <c r="AB258" s="2">
        <v>5</v>
      </c>
      <c r="AC258" s="2">
        <f>SUMIF(N:N,Ecommerce_Consumer_Behavior_Analysis_Data3[[#This Row],[Brand_Loyalty]],M:M)</f>
        <v>641</v>
      </c>
      <c r="AD258" s="2" t="e" cm="1" vm="1">
        <f t="array" aca="1" ref="AD258" ca="1">SUMIFS(Y:Y,Ecommerce_Consumer_Behavior_Analysis_Data3[[#This Row],[Payment_Method]],V:V)</f>
        <v>#VALUE!</v>
      </c>
      <c r="AE258" s="2">
        <f t="shared" ref="AE258:AE321" si="8">INDEX(J:J,MATCH(O259,O:O,0))</f>
        <v>426.22</v>
      </c>
    </row>
    <row r="259" spans="1:31" x14ac:dyDescent="0.25">
      <c r="A259" s="2" t="s">
        <v>602</v>
      </c>
      <c r="B259" s="2">
        <v>31</v>
      </c>
      <c r="C259" s="2" t="s">
        <v>88</v>
      </c>
      <c r="D259" s="2" t="s">
        <v>30</v>
      </c>
      <c r="E259" s="2" t="s">
        <v>55</v>
      </c>
      <c r="F259" s="2" t="s">
        <v>32</v>
      </c>
      <c r="G259" s="2" t="s">
        <v>44</v>
      </c>
      <c r="H259" s="2" t="s">
        <v>603</v>
      </c>
      <c r="I259" s="2" t="s">
        <v>34</v>
      </c>
      <c r="J259" s="2">
        <v>73.739999999999995</v>
      </c>
      <c r="K259" s="2">
        <v>7</v>
      </c>
      <c r="L259" s="2" t="s">
        <v>78</v>
      </c>
      <c r="M259" s="2">
        <v>4</v>
      </c>
      <c r="N259" s="2">
        <v>2</v>
      </c>
      <c r="O259" s="2">
        <v>0.3</v>
      </c>
      <c r="P259" s="2" t="s">
        <v>44</v>
      </c>
      <c r="Q259" s="2" t="s">
        <v>50</v>
      </c>
      <c r="R259" s="2">
        <v>1</v>
      </c>
      <c r="S259" s="2">
        <v>3</v>
      </c>
      <c r="T259" s="2" t="s">
        <v>49</v>
      </c>
      <c r="U259" s="2" t="s">
        <v>60</v>
      </c>
      <c r="V259" s="2" t="s">
        <v>66</v>
      </c>
      <c r="W259" s="3">
        <v>45521</v>
      </c>
      <c r="X259" s="2" t="b">
        <v>0</v>
      </c>
      <c r="Y259" s="2" t="b">
        <v>0</v>
      </c>
      <c r="Z259" s="2" t="s">
        <v>52</v>
      </c>
      <c r="AA259" s="2" t="s">
        <v>53</v>
      </c>
      <c r="AB259" s="2">
        <v>13</v>
      </c>
      <c r="AC259" s="2">
        <f>SUMIF(N:N,Ecommerce_Consumer_Behavior_Analysis_Data3[[#This Row],[Brand_Loyalty]],M:M)</f>
        <v>603</v>
      </c>
      <c r="AD259" s="2" t="e" cm="1" vm="1">
        <f t="array" aca="1" ref="AD259" ca="1">SUMIFS(Y:Y,Ecommerce_Consumer_Behavior_Analysis_Data3[[#This Row],[Payment_Method]],V:V)</f>
        <v>#VALUE!</v>
      </c>
      <c r="AE259" s="2">
        <f t="shared" si="8"/>
        <v>101.31</v>
      </c>
    </row>
    <row r="260" spans="1:31" x14ac:dyDescent="0.25">
      <c r="A260" s="2" t="s">
        <v>604</v>
      </c>
      <c r="B260" s="2">
        <v>21</v>
      </c>
      <c r="C260" s="2" t="s">
        <v>29</v>
      </c>
      <c r="D260" s="2" t="s">
        <v>30</v>
      </c>
      <c r="E260" s="2" t="s">
        <v>69</v>
      </c>
      <c r="F260" s="2" t="s">
        <v>56</v>
      </c>
      <c r="G260" s="2" t="s">
        <v>30</v>
      </c>
      <c r="H260" s="2" t="s">
        <v>605</v>
      </c>
      <c r="I260" s="2" t="s">
        <v>90</v>
      </c>
      <c r="J260" s="2">
        <v>170.35</v>
      </c>
      <c r="K260" s="2">
        <v>10</v>
      </c>
      <c r="L260" s="2" t="s">
        <v>48</v>
      </c>
      <c r="M260" s="2">
        <v>2</v>
      </c>
      <c r="N260" s="2">
        <v>1</v>
      </c>
      <c r="O260" s="2">
        <v>1</v>
      </c>
      <c r="P260" s="2" t="s">
        <v>49</v>
      </c>
      <c r="Q260" s="2" t="s">
        <v>85</v>
      </c>
      <c r="R260" s="2">
        <v>1</v>
      </c>
      <c r="S260" s="2">
        <v>10</v>
      </c>
      <c r="T260" s="2" t="s">
        <v>59</v>
      </c>
      <c r="U260" s="2" t="s">
        <v>79</v>
      </c>
      <c r="V260" s="2" t="s">
        <v>86</v>
      </c>
      <c r="W260" s="3">
        <v>45446</v>
      </c>
      <c r="X260" s="2" t="b">
        <v>1</v>
      </c>
      <c r="Y260" s="2" t="b">
        <v>1</v>
      </c>
      <c r="Z260" s="2" t="s">
        <v>40</v>
      </c>
      <c r="AA260" s="2" t="s">
        <v>53</v>
      </c>
      <c r="AB260" s="2">
        <v>1</v>
      </c>
      <c r="AC260" s="2">
        <f>SUMIF(N:N,Ecommerce_Consumer_Behavior_Analysis_Data3[[#This Row],[Brand_Loyalty]],M:M)</f>
        <v>582</v>
      </c>
      <c r="AD260" s="2" t="e" cm="1" vm="1">
        <f t="array" aca="1" ref="AD260" ca="1">SUMIFS(Y:Y,Ecommerce_Consumer_Behavior_Analysis_Data3[[#This Row],[Payment_Method]],V:V)</f>
        <v>#VALUE!</v>
      </c>
      <c r="AE260" s="2">
        <f t="shared" si="8"/>
        <v>211.7</v>
      </c>
    </row>
    <row r="261" spans="1:31" x14ac:dyDescent="0.25">
      <c r="A261" s="2" t="s">
        <v>606</v>
      </c>
      <c r="B261" s="2">
        <v>36</v>
      </c>
      <c r="C261" s="2" t="s">
        <v>29</v>
      </c>
      <c r="D261" s="2" t="s">
        <v>44</v>
      </c>
      <c r="E261" s="2" t="s">
        <v>55</v>
      </c>
      <c r="F261" s="2" t="s">
        <v>56</v>
      </c>
      <c r="G261" s="2" t="s">
        <v>30</v>
      </c>
      <c r="H261" s="2" t="s">
        <v>607</v>
      </c>
      <c r="I261" s="2" t="s">
        <v>65</v>
      </c>
      <c r="J261" s="2">
        <v>123.7</v>
      </c>
      <c r="K261" s="2">
        <v>6</v>
      </c>
      <c r="L261" s="2" t="s">
        <v>78</v>
      </c>
      <c r="M261" s="2">
        <v>2</v>
      </c>
      <c r="N261" s="2">
        <v>5</v>
      </c>
      <c r="O261" s="2">
        <v>0</v>
      </c>
      <c r="P261" s="2" t="s">
        <v>44</v>
      </c>
      <c r="Q261" s="2" t="s">
        <v>85</v>
      </c>
      <c r="R261" s="2">
        <v>1</v>
      </c>
      <c r="S261" s="2">
        <v>5</v>
      </c>
      <c r="T261" s="2" t="s">
        <v>36</v>
      </c>
      <c r="U261" s="2" t="s">
        <v>60</v>
      </c>
      <c r="V261" s="2" t="s">
        <v>66</v>
      </c>
      <c r="W261" s="3">
        <v>45501</v>
      </c>
      <c r="X261" s="2" t="b">
        <v>0</v>
      </c>
      <c r="Y261" s="2" t="b">
        <v>0</v>
      </c>
      <c r="Z261" s="2" t="s">
        <v>62</v>
      </c>
      <c r="AA261" s="2" t="s">
        <v>67</v>
      </c>
      <c r="AB261" s="2">
        <v>2</v>
      </c>
      <c r="AC261" s="2">
        <f>SUMIF(N:N,Ecommerce_Consumer_Behavior_Analysis_Data3[[#This Row],[Brand_Loyalty]],M:M)</f>
        <v>582</v>
      </c>
      <c r="AD261" s="2" t="e" cm="1" vm="1">
        <f t="array" aca="1" ref="AD261" ca="1">SUMIFS(Y:Y,Ecommerce_Consumer_Behavior_Analysis_Data3[[#This Row],[Payment_Method]],V:V)</f>
        <v>#VALUE!</v>
      </c>
      <c r="AE261" s="2">
        <f t="shared" si="8"/>
        <v>333.8</v>
      </c>
    </row>
    <row r="262" spans="1:31" x14ac:dyDescent="0.25">
      <c r="A262" s="2" t="s">
        <v>608</v>
      </c>
      <c r="B262" s="2">
        <v>21</v>
      </c>
      <c r="C262" s="2" t="s">
        <v>29</v>
      </c>
      <c r="D262" s="2" t="s">
        <v>30</v>
      </c>
      <c r="E262" s="2" t="s">
        <v>55</v>
      </c>
      <c r="F262" s="2" t="s">
        <v>56</v>
      </c>
      <c r="G262" s="2" t="s">
        <v>44</v>
      </c>
      <c r="H262" s="2" t="s">
        <v>609</v>
      </c>
      <c r="I262" s="2" t="s">
        <v>34</v>
      </c>
      <c r="J262" s="2">
        <v>201.6</v>
      </c>
      <c r="K262" s="2">
        <v>9</v>
      </c>
      <c r="L262" s="2" t="s">
        <v>48</v>
      </c>
      <c r="M262" s="2">
        <v>1</v>
      </c>
      <c r="N262" s="2">
        <v>4</v>
      </c>
      <c r="O262" s="2">
        <v>2</v>
      </c>
      <c r="P262" s="2" t="s">
        <v>49</v>
      </c>
      <c r="Q262" s="2" t="s">
        <v>85</v>
      </c>
      <c r="R262" s="2">
        <v>1</v>
      </c>
      <c r="S262" s="2">
        <v>4</v>
      </c>
      <c r="T262" s="2" t="s">
        <v>44</v>
      </c>
      <c r="U262" s="2" t="s">
        <v>60</v>
      </c>
      <c r="V262" s="2" t="s">
        <v>51</v>
      </c>
      <c r="W262" s="3">
        <v>45589</v>
      </c>
      <c r="X262" s="2" t="b">
        <v>0</v>
      </c>
      <c r="Y262" s="2" t="b">
        <v>0</v>
      </c>
      <c r="Z262" s="2" t="s">
        <v>62</v>
      </c>
      <c r="AA262" s="2" t="s">
        <v>67</v>
      </c>
      <c r="AB262" s="2">
        <v>14</v>
      </c>
      <c r="AC262" s="2">
        <f>SUMIF(N:N,Ecommerce_Consumer_Behavior_Analysis_Data3[[#This Row],[Brand_Loyalty]],M:M)</f>
        <v>603</v>
      </c>
      <c r="AD262" s="2" t="e" cm="1" vm="1">
        <f t="array" aca="1" ref="AD262" ca="1">SUMIFS(Y:Y,Ecommerce_Consumer_Behavior_Analysis_Data3[[#This Row],[Payment_Method]],V:V)</f>
        <v>#VALUE!</v>
      </c>
      <c r="AE262" s="2">
        <f t="shared" si="8"/>
        <v>101.31</v>
      </c>
    </row>
    <row r="263" spans="1:31" x14ac:dyDescent="0.25">
      <c r="A263" s="2" t="s">
        <v>610</v>
      </c>
      <c r="B263" s="2">
        <v>27</v>
      </c>
      <c r="C263" s="2" t="s">
        <v>29</v>
      </c>
      <c r="D263" s="2" t="s">
        <v>30</v>
      </c>
      <c r="E263" s="2" t="s">
        <v>55</v>
      </c>
      <c r="F263" s="2" t="s">
        <v>56</v>
      </c>
      <c r="G263" s="2" t="s">
        <v>44</v>
      </c>
      <c r="H263" s="2" t="s">
        <v>611</v>
      </c>
      <c r="I263" s="2" t="s">
        <v>71</v>
      </c>
      <c r="J263" s="2">
        <v>116.14</v>
      </c>
      <c r="K263" s="2">
        <v>11</v>
      </c>
      <c r="L263" s="2" t="s">
        <v>35</v>
      </c>
      <c r="M263" s="2">
        <v>1</v>
      </c>
      <c r="N263" s="2">
        <v>4</v>
      </c>
      <c r="O263" s="2">
        <v>1</v>
      </c>
      <c r="P263" s="2" t="s">
        <v>44</v>
      </c>
      <c r="Q263" s="2" t="s">
        <v>37</v>
      </c>
      <c r="R263" s="2">
        <v>0</v>
      </c>
      <c r="S263" s="2">
        <v>8</v>
      </c>
      <c r="T263" s="2" t="s">
        <v>49</v>
      </c>
      <c r="U263" s="2" t="s">
        <v>79</v>
      </c>
      <c r="V263" s="2" t="s">
        <v>39</v>
      </c>
      <c r="W263" s="3">
        <v>45383</v>
      </c>
      <c r="X263" s="2" t="b">
        <v>0</v>
      </c>
      <c r="Y263" s="2" t="b">
        <v>1</v>
      </c>
      <c r="Z263" s="2" t="s">
        <v>52</v>
      </c>
      <c r="AA263" s="2" t="s">
        <v>67</v>
      </c>
      <c r="AB263" s="2">
        <v>14</v>
      </c>
      <c r="AC263" s="2">
        <f>SUMIF(N:N,Ecommerce_Consumer_Behavior_Analysis_Data3[[#This Row],[Brand_Loyalty]],M:M)</f>
        <v>603</v>
      </c>
      <c r="AD263" s="2" t="e" cm="1" vm="1">
        <f t="array" aca="1" ref="AD263" ca="1">SUMIFS(Y:Y,Ecommerce_Consumer_Behavior_Analysis_Data3[[#This Row],[Payment_Method]],V:V)</f>
        <v>#VALUE!</v>
      </c>
      <c r="AE263" s="2">
        <f t="shared" si="8"/>
        <v>211.7</v>
      </c>
    </row>
    <row r="264" spans="1:31" x14ac:dyDescent="0.25">
      <c r="A264" s="2" t="s">
        <v>612</v>
      </c>
      <c r="B264" s="2">
        <v>29</v>
      </c>
      <c r="C264" s="2" t="s">
        <v>29</v>
      </c>
      <c r="D264" s="2" t="s">
        <v>30</v>
      </c>
      <c r="E264" s="2" t="s">
        <v>55</v>
      </c>
      <c r="F264" s="2" t="s">
        <v>56</v>
      </c>
      <c r="G264" s="2" t="s">
        <v>44</v>
      </c>
      <c r="H264" s="2" t="s">
        <v>613</v>
      </c>
      <c r="I264" s="2" t="s">
        <v>246</v>
      </c>
      <c r="J264" s="2">
        <v>483.38</v>
      </c>
      <c r="K264" s="2">
        <v>9</v>
      </c>
      <c r="L264" s="2" t="s">
        <v>78</v>
      </c>
      <c r="M264" s="2">
        <v>2</v>
      </c>
      <c r="N264" s="2">
        <v>1</v>
      </c>
      <c r="O264" s="2">
        <v>0</v>
      </c>
      <c r="P264" s="2" t="s">
        <v>44</v>
      </c>
      <c r="Q264" s="2" t="s">
        <v>37</v>
      </c>
      <c r="R264" s="2">
        <v>2</v>
      </c>
      <c r="S264" s="2">
        <v>3</v>
      </c>
      <c r="T264" s="2" t="s">
        <v>44</v>
      </c>
      <c r="U264" s="2" t="s">
        <v>79</v>
      </c>
      <c r="V264" s="2" t="s">
        <v>66</v>
      </c>
      <c r="W264" s="3">
        <v>45452</v>
      </c>
      <c r="X264" s="2" t="b">
        <v>0</v>
      </c>
      <c r="Y264" s="2" t="b">
        <v>1</v>
      </c>
      <c r="Z264" s="2" t="s">
        <v>40</v>
      </c>
      <c r="AA264" s="2" t="s">
        <v>53</v>
      </c>
      <c r="AB264" s="2">
        <v>8</v>
      </c>
      <c r="AC264" s="2">
        <f>SUMIF(N:N,Ecommerce_Consumer_Behavior_Analysis_Data3[[#This Row],[Brand_Loyalty]],M:M)</f>
        <v>582</v>
      </c>
      <c r="AD264" s="2" t="e" cm="1" vm="1">
        <f t="array" aca="1" ref="AD264" ca="1">SUMIFS(Y:Y,Ecommerce_Consumer_Behavior_Analysis_Data3[[#This Row],[Payment_Method]],V:V)</f>
        <v>#VALUE!</v>
      </c>
      <c r="AE264" s="2">
        <f t="shared" si="8"/>
        <v>211.7</v>
      </c>
    </row>
    <row r="265" spans="1:31" x14ac:dyDescent="0.25">
      <c r="A265" s="2" t="s">
        <v>614</v>
      </c>
      <c r="B265" s="2">
        <v>24</v>
      </c>
      <c r="C265" s="2" t="s">
        <v>43</v>
      </c>
      <c r="D265" s="2" t="s">
        <v>30</v>
      </c>
      <c r="E265" s="2" t="s">
        <v>55</v>
      </c>
      <c r="F265" s="2" t="s">
        <v>45</v>
      </c>
      <c r="G265" s="2" t="s">
        <v>30</v>
      </c>
      <c r="H265" s="2" t="s">
        <v>615</v>
      </c>
      <c r="I265" s="2" t="s">
        <v>142</v>
      </c>
      <c r="J265" s="2">
        <v>418.62</v>
      </c>
      <c r="K265" s="2">
        <v>9</v>
      </c>
      <c r="L265" s="2" t="s">
        <v>48</v>
      </c>
      <c r="M265" s="2">
        <v>1</v>
      </c>
      <c r="N265" s="2">
        <v>2</v>
      </c>
      <c r="O265" s="2">
        <v>0</v>
      </c>
      <c r="P265" s="2" t="s">
        <v>59</v>
      </c>
      <c r="Q265" s="2" t="s">
        <v>50</v>
      </c>
      <c r="R265" s="2">
        <v>0</v>
      </c>
      <c r="S265" s="2">
        <v>9</v>
      </c>
      <c r="T265" s="2" t="s">
        <v>36</v>
      </c>
      <c r="U265" s="2" t="s">
        <v>60</v>
      </c>
      <c r="V265" s="2" t="s">
        <v>66</v>
      </c>
      <c r="W265" s="3">
        <v>45610</v>
      </c>
      <c r="X265" s="2" t="b">
        <v>1</v>
      </c>
      <c r="Y265" s="2" t="b">
        <v>0</v>
      </c>
      <c r="Z265" s="2" t="s">
        <v>40</v>
      </c>
      <c r="AA265" s="2" t="s">
        <v>53</v>
      </c>
      <c r="AB265" s="2">
        <v>11</v>
      </c>
      <c r="AC265" s="2">
        <f>SUMIF(N:N,Ecommerce_Consumer_Behavior_Analysis_Data3[[#This Row],[Brand_Loyalty]],M:M)</f>
        <v>603</v>
      </c>
      <c r="AD265" s="2" t="e" cm="1" vm="1">
        <f t="array" aca="1" ref="AD265" ca="1">SUMIFS(Y:Y,Ecommerce_Consumer_Behavior_Analysis_Data3[[#This Row],[Payment_Method]],V:V)</f>
        <v>#VALUE!</v>
      </c>
      <c r="AE265" s="2">
        <f t="shared" si="8"/>
        <v>333.8</v>
      </c>
    </row>
    <row r="266" spans="1:31" x14ac:dyDescent="0.25">
      <c r="A266" s="2" t="s">
        <v>616</v>
      </c>
      <c r="B266" s="2">
        <v>33</v>
      </c>
      <c r="C266" s="2" t="s">
        <v>29</v>
      </c>
      <c r="D266" s="2" t="s">
        <v>30</v>
      </c>
      <c r="E266" s="2" t="s">
        <v>76</v>
      </c>
      <c r="F266" s="2" t="s">
        <v>32</v>
      </c>
      <c r="G266" s="2" t="s">
        <v>30</v>
      </c>
      <c r="H266" s="2" t="s">
        <v>617</v>
      </c>
      <c r="I266" s="2" t="s">
        <v>82</v>
      </c>
      <c r="J266" s="2">
        <v>139.83000000000001</v>
      </c>
      <c r="K266" s="2">
        <v>12</v>
      </c>
      <c r="L266" s="2" t="s">
        <v>78</v>
      </c>
      <c r="M266" s="2">
        <v>2</v>
      </c>
      <c r="N266" s="2">
        <v>4</v>
      </c>
      <c r="O266" s="2">
        <v>2</v>
      </c>
      <c r="P266" s="2" t="s">
        <v>36</v>
      </c>
      <c r="Q266" s="2" t="s">
        <v>50</v>
      </c>
      <c r="R266" s="2">
        <v>0</v>
      </c>
      <c r="S266" s="2">
        <v>1</v>
      </c>
      <c r="T266" s="2" t="s">
        <v>36</v>
      </c>
      <c r="U266" s="2" t="s">
        <v>38</v>
      </c>
      <c r="V266" s="2" t="s">
        <v>86</v>
      </c>
      <c r="W266" s="3">
        <v>45573</v>
      </c>
      <c r="X266" s="2" t="b">
        <v>0</v>
      </c>
      <c r="Y266" s="2" t="b">
        <v>0</v>
      </c>
      <c r="Z266" s="2" t="s">
        <v>62</v>
      </c>
      <c r="AA266" s="2" t="s">
        <v>67</v>
      </c>
      <c r="AB266" s="2">
        <v>10</v>
      </c>
      <c r="AC266" s="2">
        <f>SUMIF(N:N,Ecommerce_Consumer_Behavior_Analysis_Data3[[#This Row],[Brand_Loyalty]],M:M)</f>
        <v>582</v>
      </c>
      <c r="AD266" s="2" t="e" cm="1" vm="1">
        <f t="array" aca="1" ref="AD266" ca="1">SUMIFS(Y:Y,Ecommerce_Consumer_Behavior_Analysis_Data3[[#This Row],[Payment_Method]],V:V)</f>
        <v>#VALUE!</v>
      </c>
      <c r="AE266" s="2">
        <f t="shared" si="8"/>
        <v>211.7</v>
      </c>
    </row>
    <row r="267" spans="1:31" x14ac:dyDescent="0.25">
      <c r="A267" s="2" t="s">
        <v>618</v>
      </c>
      <c r="B267" s="2">
        <v>38</v>
      </c>
      <c r="C267" s="2" t="s">
        <v>29</v>
      </c>
      <c r="D267" s="2" t="s">
        <v>44</v>
      </c>
      <c r="E267" s="2" t="s">
        <v>31</v>
      </c>
      <c r="F267" s="2" t="s">
        <v>56</v>
      </c>
      <c r="G267" s="2" t="s">
        <v>30</v>
      </c>
      <c r="H267" s="2" t="s">
        <v>619</v>
      </c>
      <c r="I267" s="2" t="s">
        <v>135</v>
      </c>
      <c r="J267" s="2">
        <v>54.17</v>
      </c>
      <c r="K267" s="2">
        <v>4</v>
      </c>
      <c r="L267" s="2" t="s">
        <v>35</v>
      </c>
      <c r="M267" s="2">
        <v>4</v>
      </c>
      <c r="N267" s="2">
        <v>5</v>
      </c>
      <c r="O267" s="2">
        <v>0</v>
      </c>
      <c r="P267" s="2" t="s">
        <v>49</v>
      </c>
      <c r="Q267" s="2" t="s">
        <v>37</v>
      </c>
      <c r="R267" s="2">
        <v>2</v>
      </c>
      <c r="S267" s="2">
        <v>2</v>
      </c>
      <c r="T267" s="2" t="s">
        <v>49</v>
      </c>
      <c r="U267" s="2" t="s">
        <v>79</v>
      </c>
      <c r="V267" s="2" t="s">
        <v>39</v>
      </c>
      <c r="W267" s="3">
        <v>45302</v>
      </c>
      <c r="X267" s="2" t="b">
        <v>0</v>
      </c>
      <c r="Y267" s="2" t="b">
        <v>1</v>
      </c>
      <c r="Z267" s="2" t="s">
        <v>74</v>
      </c>
      <c r="AA267" s="2" t="s">
        <v>41</v>
      </c>
      <c r="AB267" s="2">
        <v>7</v>
      </c>
      <c r="AC267" s="2">
        <f>SUMIF(N:N,Ecommerce_Consumer_Behavior_Analysis_Data3[[#This Row],[Brand_Loyalty]],M:M)</f>
        <v>603</v>
      </c>
      <c r="AD267" s="2" t="e" cm="1" vm="1">
        <f t="array" aca="1" ref="AD267" ca="1">SUMIFS(Y:Y,Ecommerce_Consumer_Behavior_Analysis_Data3[[#This Row],[Payment_Method]],V:V)</f>
        <v>#VALUE!</v>
      </c>
      <c r="AE267" s="2">
        <f t="shared" si="8"/>
        <v>211.7</v>
      </c>
    </row>
    <row r="268" spans="1:31" x14ac:dyDescent="0.25">
      <c r="A268" s="2" t="s">
        <v>620</v>
      </c>
      <c r="B268" s="2">
        <v>47</v>
      </c>
      <c r="C268" s="2" t="s">
        <v>43</v>
      </c>
      <c r="D268" s="2" t="s">
        <v>44</v>
      </c>
      <c r="E268" s="2" t="s">
        <v>76</v>
      </c>
      <c r="F268" s="2" t="s">
        <v>56</v>
      </c>
      <c r="G268" s="2" t="s">
        <v>44</v>
      </c>
      <c r="H268" s="2" t="s">
        <v>621</v>
      </c>
      <c r="I268" s="2" t="s">
        <v>246</v>
      </c>
      <c r="J268" s="2">
        <v>437.59</v>
      </c>
      <c r="K268" s="2">
        <v>10</v>
      </c>
      <c r="L268" s="2" t="s">
        <v>48</v>
      </c>
      <c r="M268" s="2">
        <v>1</v>
      </c>
      <c r="N268" s="2">
        <v>4</v>
      </c>
      <c r="O268" s="2">
        <v>0</v>
      </c>
      <c r="P268" s="2" t="s">
        <v>36</v>
      </c>
      <c r="Q268" s="2" t="s">
        <v>85</v>
      </c>
      <c r="R268" s="2">
        <v>0</v>
      </c>
      <c r="S268" s="2">
        <v>4</v>
      </c>
      <c r="T268" s="2" t="s">
        <v>44</v>
      </c>
      <c r="U268" s="2" t="s">
        <v>38</v>
      </c>
      <c r="V268" s="2" t="s">
        <v>39</v>
      </c>
      <c r="W268" s="3">
        <v>45348</v>
      </c>
      <c r="X268" s="2" t="b">
        <v>1</v>
      </c>
      <c r="Y268" s="2" t="b">
        <v>1</v>
      </c>
      <c r="Z268" s="2" t="s">
        <v>62</v>
      </c>
      <c r="AA268" s="2" t="s">
        <v>67</v>
      </c>
      <c r="AB268" s="2">
        <v>9</v>
      </c>
      <c r="AC268" s="2">
        <f>SUMIF(N:N,Ecommerce_Consumer_Behavior_Analysis_Data3[[#This Row],[Brand_Loyalty]],M:M)</f>
        <v>603</v>
      </c>
      <c r="AD268" s="2" t="e" cm="1" vm="1">
        <f t="array" aca="1" ref="AD268" ca="1">SUMIFS(Y:Y,Ecommerce_Consumer_Behavior_Analysis_Data3[[#This Row],[Payment_Method]],V:V)</f>
        <v>#VALUE!</v>
      </c>
      <c r="AE268" s="2">
        <f t="shared" si="8"/>
        <v>333.8</v>
      </c>
    </row>
    <row r="269" spans="1:31" x14ac:dyDescent="0.25">
      <c r="A269" s="2" t="s">
        <v>622</v>
      </c>
      <c r="B269" s="2">
        <v>32</v>
      </c>
      <c r="C269" s="2" t="s">
        <v>43</v>
      </c>
      <c r="D269" s="2" t="s">
        <v>30</v>
      </c>
      <c r="E269" s="2" t="s">
        <v>69</v>
      </c>
      <c r="F269" s="2" t="s">
        <v>32</v>
      </c>
      <c r="G269" s="2" t="s">
        <v>44</v>
      </c>
      <c r="H269" s="2" t="s">
        <v>623</v>
      </c>
      <c r="I269" s="2" t="s">
        <v>107</v>
      </c>
      <c r="J269" s="2">
        <v>113.57</v>
      </c>
      <c r="K269" s="2">
        <v>5</v>
      </c>
      <c r="L269" s="2" t="s">
        <v>78</v>
      </c>
      <c r="M269" s="2">
        <v>4</v>
      </c>
      <c r="N269" s="2">
        <v>4</v>
      </c>
      <c r="O269" s="2">
        <v>2</v>
      </c>
      <c r="P269" s="2" t="s">
        <v>49</v>
      </c>
      <c r="Q269" s="2" t="s">
        <v>85</v>
      </c>
      <c r="R269" s="2">
        <v>1</v>
      </c>
      <c r="S269" s="2">
        <v>1</v>
      </c>
      <c r="T269" s="2" t="s">
        <v>44</v>
      </c>
      <c r="U269" s="2" t="s">
        <v>38</v>
      </c>
      <c r="V269" s="2" t="s">
        <v>86</v>
      </c>
      <c r="W269" s="3">
        <v>45597</v>
      </c>
      <c r="X269" s="2" t="b">
        <v>0</v>
      </c>
      <c r="Y269" s="2" t="b">
        <v>1</v>
      </c>
      <c r="Z269" s="2" t="s">
        <v>52</v>
      </c>
      <c r="AA269" s="2" t="s">
        <v>53</v>
      </c>
      <c r="AB269" s="2">
        <v>8</v>
      </c>
      <c r="AC269" s="2">
        <f>SUMIF(N:N,Ecommerce_Consumer_Behavior_Analysis_Data3[[#This Row],[Brand_Loyalty]],M:M)</f>
        <v>603</v>
      </c>
      <c r="AD269" s="2" t="e" cm="1" vm="1">
        <f t="array" aca="1" ref="AD269" ca="1">SUMIFS(Y:Y,Ecommerce_Consumer_Behavior_Analysis_Data3[[#This Row],[Payment_Method]],V:V)</f>
        <v>#VALUE!</v>
      </c>
      <c r="AE269" s="2">
        <f t="shared" si="8"/>
        <v>211.7</v>
      </c>
    </row>
    <row r="270" spans="1:31" x14ac:dyDescent="0.25">
      <c r="A270" s="2" t="s">
        <v>624</v>
      </c>
      <c r="B270" s="2">
        <v>21</v>
      </c>
      <c r="C270" s="2" t="s">
        <v>88</v>
      </c>
      <c r="D270" s="2" t="s">
        <v>44</v>
      </c>
      <c r="E270" s="2" t="s">
        <v>55</v>
      </c>
      <c r="F270" s="2" t="s">
        <v>45</v>
      </c>
      <c r="G270" s="2" t="s">
        <v>44</v>
      </c>
      <c r="H270" s="2" t="s">
        <v>625</v>
      </c>
      <c r="I270" s="2" t="s">
        <v>114</v>
      </c>
      <c r="J270" s="2">
        <v>305.54000000000002</v>
      </c>
      <c r="K270" s="2">
        <v>6</v>
      </c>
      <c r="L270" s="2" t="s">
        <v>48</v>
      </c>
      <c r="M270" s="2">
        <v>3</v>
      </c>
      <c r="N270" s="2">
        <v>5</v>
      </c>
      <c r="O270" s="2">
        <v>0</v>
      </c>
      <c r="P270" s="2" t="s">
        <v>49</v>
      </c>
      <c r="Q270" s="2" t="s">
        <v>37</v>
      </c>
      <c r="R270" s="2">
        <v>0</v>
      </c>
      <c r="S270" s="2">
        <v>5</v>
      </c>
      <c r="T270" s="2" t="s">
        <v>49</v>
      </c>
      <c r="U270" s="2" t="s">
        <v>60</v>
      </c>
      <c r="V270" s="2" t="s">
        <v>66</v>
      </c>
      <c r="W270" s="3">
        <v>45379</v>
      </c>
      <c r="X270" s="2" t="b">
        <v>1</v>
      </c>
      <c r="Y270" s="2" t="b">
        <v>0</v>
      </c>
      <c r="Z270" s="2" t="s">
        <v>52</v>
      </c>
      <c r="AA270" s="2" t="s">
        <v>41</v>
      </c>
      <c r="AB270" s="2">
        <v>7</v>
      </c>
      <c r="AC270" s="2">
        <f>SUMIF(N:N,Ecommerce_Consumer_Behavior_Analysis_Data3[[#This Row],[Brand_Loyalty]],M:M)</f>
        <v>597</v>
      </c>
      <c r="AD270" s="2" t="e" cm="1" vm="1">
        <f t="array" aca="1" ref="AD270" ca="1">SUMIFS(Y:Y,Ecommerce_Consumer_Behavior_Analysis_Data3[[#This Row],[Payment_Method]],V:V)</f>
        <v>#VALUE!</v>
      </c>
      <c r="AE270" s="2">
        <f t="shared" si="8"/>
        <v>211.7</v>
      </c>
    </row>
    <row r="271" spans="1:31" x14ac:dyDescent="0.25">
      <c r="A271" s="2" t="s">
        <v>626</v>
      </c>
      <c r="B271" s="2">
        <v>23</v>
      </c>
      <c r="C271" s="2" t="s">
        <v>29</v>
      </c>
      <c r="D271" s="2" t="s">
        <v>44</v>
      </c>
      <c r="E271" s="2" t="s">
        <v>76</v>
      </c>
      <c r="F271" s="2" t="s">
        <v>45</v>
      </c>
      <c r="G271" s="2" t="s">
        <v>44</v>
      </c>
      <c r="H271" s="2" t="s">
        <v>627</v>
      </c>
      <c r="I271" s="2" t="s">
        <v>47</v>
      </c>
      <c r="J271" s="2">
        <v>339.12</v>
      </c>
      <c r="K271" s="2">
        <v>2</v>
      </c>
      <c r="L271" s="2" t="s">
        <v>48</v>
      </c>
      <c r="M271" s="2">
        <v>4</v>
      </c>
      <c r="N271" s="2">
        <v>4</v>
      </c>
      <c r="O271" s="2">
        <v>0</v>
      </c>
      <c r="P271" s="2" t="s">
        <v>49</v>
      </c>
      <c r="Q271" s="2" t="s">
        <v>50</v>
      </c>
      <c r="R271" s="2">
        <v>0</v>
      </c>
      <c r="S271" s="2">
        <v>5</v>
      </c>
      <c r="T271" s="2" t="s">
        <v>59</v>
      </c>
      <c r="U271" s="2" t="s">
        <v>60</v>
      </c>
      <c r="V271" s="2" t="s">
        <v>51</v>
      </c>
      <c r="W271" s="3">
        <v>45299</v>
      </c>
      <c r="X271" s="2" t="b">
        <v>0</v>
      </c>
      <c r="Y271" s="2" t="b">
        <v>0</v>
      </c>
      <c r="Z271" s="2" t="s">
        <v>62</v>
      </c>
      <c r="AA271" s="2" t="s">
        <v>41</v>
      </c>
      <c r="AB271" s="2">
        <v>1</v>
      </c>
      <c r="AC271" s="2">
        <f>SUMIF(N:N,Ecommerce_Consumer_Behavior_Analysis_Data3[[#This Row],[Brand_Loyalty]],M:M)</f>
        <v>603</v>
      </c>
      <c r="AD271" s="2" t="e" cm="1" vm="1">
        <f t="array" aca="1" ref="AD271" ca="1">SUMIFS(Y:Y,Ecommerce_Consumer_Behavior_Analysis_Data3[[#This Row],[Payment_Method]],V:V)</f>
        <v>#VALUE!</v>
      </c>
      <c r="AE271" s="2">
        <f t="shared" si="8"/>
        <v>333.8</v>
      </c>
    </row>
    <row r="272" spans="1:31" x14ac:dyDescent="0.25">
      <c r="A272" s="2" t="s">
        <v>628</v>
      </c>
      <c r="B272" s="2">
        <v>45</v>
      </c>
      <c r="C272" s="2" t="s">
        <v>190</v>
      </c>
      <c r="D272" s="2" t="s">
        <v>30</v>
      </c>
      <c r="E272" s="2" t="s">
        <v>76</v>
      </c>
      <c r="F272" s="2" t="s">
        <v>32</v>
      </c>
      <c r="G272" s="2" t="s">
        <v>44</v>
      </c>
      <c r="H272" s="2" t="s">
        <v>629</v>
      </c>
      <c r="I272" s="2" t="s">
        <v>246</v>
      </c>
      <c r="J272" s="2">
        <v>323.39999999999998</v>
      </c>
      <c r="K272" s="2">
        <v>11</v>
      </c>
      <c r="L272" s="2" t="s">
        <v>35</v>
      </c>
      <c r="M272" s="2">
        <v>2</v>
      </c>
      <c r="N272" s="2">
        <v>3</v>
      </c>
      <c r="O272" s="2">
        <v>2</v>
      </c>
      <c r="P272" s="2" t="s">
        <v>59</v>
      </c>
      <c r="Q272" s="2" t="s">
        <v>85</v>
      </c>
      <c r="R272" s="2">
        <v>0</v>
      </c>
      <c r="S272" s="2">
        <v>8</v>
      </c>
      <c r="T272" s="2" t="s">
        <v>36</v>
      </c>
      <c r="U272" s="2" t="s">
        <v>60</v>
      </c>
      <c r="V272" s="2" t="s">
        <v>39</v>
      </c>
      <c r="W272" s="3">
        <v>45350</v>
      </c>
      <c r="X272" s="2" t="b">
        <v>1</v>
      </c>
      <c r="Y272" s="2" t="b">
        <v>1</v>
      </c>
      <c r="Z272" s="2" t="s">
        <v>40</v>
      </c>
      <c r="AA272" s="2" t="s">
        <v>53</v>
      </c>
      <c r="AB272" s="2">
        <v>10</v>
      </c>
      <c r="AC272" s="2">
        <f>SUMIF(N:N,Ecommerce_Consumer_Behavior_Analysis_Data3[[#This Row],[Brand_Loyalty]],M:M)</f>
        <v>582</v>
      </c>
      <c r="AD272" s="2" t="e" cm="1" vm="1">
        <f t="array" aca="1" ref="AD272" ca="1">SUMIFS(Y:Y,Ecommerce_Consumer_Behavior_Analysis_Data3[[#This Row],[Payment_Method]],V:V)</f>
        <v>#VALUE!</v>
      </c>
      <c r="AE272" s="2">
        <f t="shared" si="8"/>
        <v>333.8</v>
      </c>
    </row>
    <row r="273" spans="1:31" x14ac:dyDescent="0.25">
      <c r="A273" s="2" t="s">
        <v>630</v>
      </c>
      <c r="B273" s="2">
        <v>24</v>
      </c>
      <c r="C273" s="2" t="s">
        <v>148</v>
      </c>
      <c r="D273" s="2" t="s">
        <v>30</v>
      </c>
      <c r="E273" s="2" t="s">
        <v>31</v>
      </c>
      <c r="F273" s="2" t="s">
        <v>45</v>
      </c>
      <c r="G273" s="2" t="s">
        <v>30</v>
      </c>
      <c r="H273" s="2" t="s">
        <v>631</v>
      </c>
      <c r="I273" s="2" t="s">
        <v>183</v>
      </c>
      <c r="J273" s="2">
        <v>472.61</v>
      </c>
      <c r="K273" s="2">
        <v>9</v>
      </c>
      <c r="L273" s="2" t="s">
        <v>48</v>
      </c>
      <c r="M273" s="2">
        <v>5</v>
      </c>
      <c r="N273" s="2">
        <v>5</v>
      </c>
      <c r="O273" s="2">
        <v>2</v>
      </c>
      <c r="P273" s="2" t="s">
        <v>36</v>
      </c>
      <c r="Q273" s="2" t="s">
        <v>85</v>
      </c>
      <c r="R273" s="2">
        <v>1</v>
      </c>
      <c r="S273" s="2">
        <v>4</v>
      </c>
      <c r="T273" s="2" t="s">
        <v>36</v>
      </c>
      <c r="U273" s="2" t="s">
        <v>60</v>
      </c>
      <c r="V273" s="2" t="s">
        <v>51</v>
      </c>
      <c r="W273" s="3">
        <v>45550</v>
      </c>
      <c r="X273" s="2" t="b">
        <v>1</v>
      </c>
      <c r="Y273" s="2" t="b">
        <v>1</v>
      </c>
      <c r="Z273" s="2" t="s">
        <v>62</v>
      </c>
      <c r="AA273" s="2" t="s">
        <v>67</v>
      </c>
      <c r="AB273" s="2">
        <v>5</v>
      </c>
      <c r="AC273" s="2">
        <f>SUMIF(N:N,Ecommerce_Consumer_Behavior_Analysis_Data3[[#This Row],[Brand_Loyalty]],M:M)</f>
        <v>641</v>
      </c>
      <c r="AD273" s="2" t="e" cm="1" vm="1">
        <f t="array" aca="1" ref="AD273" ca="1">SUMIFS(Y:Y,Ecommerce_Consumer_Behavior_Analysis_Data3[[#This Row],[Payment_Method]],V:V)</f>
        <v>#VALUE!</v>
      </c>
      <c r="AE273" s="2">
        <f t="shared" si="8"/>
        <v>101.31</v>
      </c>
    </row>
    <row r="274" spans="1:31" x14ac:dyDescent="0.25">
      <c r="A274" s="2" t="s">
        <v>632</v>
      </c>
      <c r="B274" s="2">
        <v>20</v>
      </c>
      <c r="C274" s="2" t="s">
        <v>29</v>
      </c>
      <c r="D274" s="2" t="s">
        <v>30</v>
      </c>
      <c r="E274" s="2" t="s">
        <v>69</v>
      </c>
      <c r="F274" s="2" t="s">
        <v>45</v>
      </c>
      <c r="G274" s="2" t="s">
        <v>30</v>
      </c>
      <c r="H274" s="2" t="s">
        <v>633</v>
      </c>
      <c r="I274" s="2" t="s">
        <v>71</v>
      </c>
      <c r="J274" s="2">
        <v>68.02</v>
      </c>
      <c r="K274" s="2">
        <v>10</v>
      </c>
      <c r="L274" s="2" t="s">
        <v>78</v>
      </c>
      <c r="M274" s="2">
        <v>3</v>
      </c>
      <c r="N274" s="2">
        <v>2</v>
      </c>
      <c r="O274" s="2">
        <v>1</v>
      </c>
      <c r="P274" s="2" t="s">
        <v>36</v>
      </c>
      <c r="Q274" s="2" t="s">
        <v>85</v>
      </c>
      <c r="R274" s="2">
        <v>1</v>
      </c>
      <c r="S274" s="2">
        <v>6</v>
      </c>
      <c r="T274" s="2" t="s">
        <v>36</v>
      </c>
      <c r="U274" s="2" t="s">
        <v>38</v>
      </c>
      <c r="V274" s="2" t="s">
        <v>39</v>
      </c>
      <c r="W274" s="3">
        <v>45597</v>
      </c>
      <c r="X274" s="2" t="b">
        <v>1</v>
      </c>
      <c r="Y274" s="2" t="b">
        <v>1</v>
      </c>
      <c r="Z274" s="2" t="s">
        <v>40</v>
      </c>
      <c r="AA274" s="2" t="s">
        <v>67</v>
      </c>
      <c r="AB274" s="2">
        <v>6</v>
      </c>
      <c r="AC274" s="2">
        <f>SUMIF(N:N,Ecommerce_Consumer_Behavior_Analysis_Data3[[#This Row],[Brand_Loyalty]],M:M)</f>
        <v>597</v>
      </c>
      <c r="AD274" s="2" t="e" cm="1" vm="1">
        <f t="array" aca="1" ref="AD274" ca="1">SUMIFS(Y:Y,Ecommerce_Consumer_Behavior_Analysis_Data3[[#This Row],[Payment_Method]],V:V)</f>
        <v>#VALUE!</v>
      </c>
      <c r="AE274" s="2">
        <f t="shared" si="8"/>
        <v>333.8</v>
      </c>
    </row>
    <row r="275" spans="1:31" x14ac:dyDescent="0.25">
      <c r="A275" s="2" t="s">
        <v>634</v>
      </c>
      <c r="B275" s="2">
        <v>27</v>
      </c>
      <c r="C275" s="2" t="s">
        <v>43</v>
      </c>
      <c r="D275" s="2" t="s">
        <v>44</v>
      </c>
      <c r="E275" s="2" t="s">
        <v>55</v>
      </c>
      <c r="F275" s="2" t="s">
        <v>56</v>
      </c>
      <c r="G275" s="2" t="s">
        <v>30</v>
      </c>
      <c r="H275" s="2" t="s">
        <v>635</v>
      </c>
      <c r="I275" s="2" t="s">
        <v>126</v>
      </c>
      <c r="J275" s="2">
        <v>199.44</v>
      </c>
      <c r="K275" s="2">
        <v>7</v>
      </c>
      <c r="L275" s="2" t="s">
        <v>78</v>
      </c>
      <c r="M275" s="2">
        <v>2</v>
      </c>
      <c r="N275" s="2">
        <v>1</v>
      </c>
      <c r="O275" s="2">
        <v>2</v>
      </c>
      <c r="P275" s="2" t="s">
        <v>36</v>
      </c>
      <c r="Q275" s="2" t="s">
        <v>85</v>
      </c>
      <c r="R275" s="2">
        <v>0</v>
      </c>
      <c r="S275" s="2">
        <v>3</v>
      </c>
      <c r="T275" s="2" t="s">
        <v>36</v>
      </c>
      <c r="U275" s="2" t="s">
        <v>38</v>
      </c>
      <c r="V275" s="2" t="s">
        <v>86</v>
      </c>
      <c r="W275" s="3">
        <v>45487</v>
      </c>
      <c r="X275" s="2" t="b">
        <v>0</v>
      </c>
      <c r="Y275" s="2" t="b">
        <v>1</v>
      </c>
      <c r="Z275" s="2" t="s">
        <v>40</v>
      </c>
      <c r="AA275" s="2" t="s">
        <v>53</v>
      </c>
      <c r="AB275" s="2">
        <v>1</v>
      </c>
      <c r="AC275" s="2">
        <f>SUMIF(N:N,Ecommerce_Consumer_Behavior_Analysis_Data3[[#This Row],[Brand_Loyalty]],M:M)</f>
        <v>582</v>
      </c>
      <c r="AD275" s="2" t="e" cm="1" vm="1">
        <f t="array" aca="1" ref="AD275" ca="1">SUMIFS(Y:Y,Ecommerce_Consumer_Behavior_Analysis_Data3[[#This Row],[Payment_Method]],V:V)</f>
        <v>#VALUE!</v>
      </c>
      <c r="AE275" s="2">
        <f t="shared" si="8"/>
        <v>101.31</v>
      </c>
    </row>
    <row r="276" spans="1:31" x14ac:dyDescent="0.25">
      <c r="A276" s="2" t="s">
        <v>636</v>
      </c>
      <c r="B276" s="2">
        <v>47</v>
      </c>
      <c r="C276" s="2" t="s">
        <v>43</v>
      </c>
      <c r="D276" s="2" t="s">
        <v>44</v>
      </c>
      <c r="E276" s="2" t="s">
        <v>76</v>
      </c>
      <c r="F276" s="2" t="s">
        <v>45</v>
      </c>
      <c r="G276" s="2" t="s">
        <v>30</v>
      </c>
      <c r="H276" s="2" t="s">
        <v>637</v>
      </c>
      <c r="I276" s="2" t="s">
        <v>90</v>
      </c>
      <c r="J276" s="2">
        <v>250.73</v>
      </c>
      <c r="K276" s="2">
        <v>4</v>
      </c>
      <c r="L276" s="2" t="s">
        <v>78</v>
      </c>
      <c r="M276" s="2">
        <v>3</v>
      </c>
      <c r="N276" s="2">
        <v>2</v>
      </c>
      <c r="O276" s="2">
        <v>1</v>
      </c>
      <c r="P276" s="2" t="s">
        <v>59</v>
      </c>
      <c r="Q276" s="2" t="s">
        <v>37</v>
      </c>
      <c r="R276" s="2">
        <v>1</v>
      </c>
      <c r="S276" s="2">
        <v>10</v>
      </c>
      <c r="T276" s="2" t="s">
        <v>36</v>
      </c>
      <c r="U276" s="2" t="s">
        <v>79</v>
      </c>
      <c r="V276" s="2" t="s">
        <v>86</v>
      </c>
      <c r="W276" s="3">
        <v>45406</v>
      </c>
      <c r="X276" s="2" t="b">
        <v>0</v>
      </c>
      <c r="Y276" s="2" t="b">
        <v>1</v>
      </c>
      <c r="Z276" s="2" t="s">
        <v>74</v>
      </c>
      <c r="AA276" s="2" t="s">
        <v>41</v>
      </c>
      <c r="AB276" s="2">
        <v>10</v>
      </c>
      <c r="AC276" s="2">
        <f>SUMIF(N:N,Ecommerce_Consumer_Behavior_Analysis_Data3[[#This Row],[Brand_Loyalty]],M:M)</f>
        <v>597</v>
      </c>
      <c r="AD276" s="2" t="e" cm="1" vm="1">
        <f t="array" aca="1" ref="AD276" ca="1">SUMIFS(Y:Y,Ecommerce_Consumer_Behavior_Analysis_Data3[[#This Row],[Payment_Method]],V:V)</f>
        <v>#VALUE!</v>
      </c>
      <c r="AE276" s="2">
        <f t="shared" si="8"/>
        <v>211.7</v>
      </c>
    </row>
    <row r="277" spans="1:31" x14ac:dyDescent="0.25">
      <c r="A277" s="2" t="s">
        <v>638</v>
      </c>
      <c r="B277" s="2">
        <v>34</v>
      </c>
      <c r="C277" s="2" t="s">
        <v>43</v>
      </c>
      <c r="D277" s="2" t="s">
        <v>30</v>
      </c>
      <c r="E277" s="2" t="s">
        <v>55</v>
      </c>
      <c r="F277" s="2" t="s">
        <v>45</v>
      </c>
      <c r="G277" s="2" t="s">
        <v>30</v>
      </c>
      <c r="H277" s="2" t="s">
        <v>639</v>
      </c>
      <c r="I277" s="2" t="s">
        <v>183</v>
      </c>
      <c r="J277" s="2">
        <v>372.49</v>
      </c>
      <c r="K277" s="2">
        <v>12</v>
      </c>
      <c r="L277" s="2" t="s">
        <v>78</v>
      </c>
      <c r="M277" s="2">
        <v>4</v>
      </c>
      <c r="N277" s="2">
        <v>3</v>
      </c>
      <c r="O277" s="2">
        <v>0</v>
      </c>
      <c r="P277" s="2" t="s">
        <v>44</v>
      </c>
      <c r="Q277" s="2" t="s">
        <v>85</v>
      </c>
      <c r="R277" s="2">
        <v>0</v>
      </c>
      <c r="S277" s="2">
        <v>5</v>
      </c>
      <c r="T277" s="2" t="s">
        <v>49</v>
      </c>
      <c r="U277" s="2" t="s">
        <v>79</v>
      </c>
      <c r="V277" s="2" t="s">
        <v>61</v>
      </c>
      <c r="W277" s="3">
        <v>45526</v>
      </c>
      <c r="X277" s="2" t="b">
        <v>1</v>
      </c>
      <c r="Y277" s="2" t="b">
        <v>0</v>
      </c>
      <c r="Z277" s="2" t="s">
        <v>74</v>
      </c>
      <c r="AA277" s="2" t="s">
        <v>41</v>
      </c>
      <c r="AB277" s="2">
        <v>7</v>
      </c>
      <c r="AC277" s="2">
        <f>SUMIF(N:N,Ecommerce_Consumer_Behavior_Analysis_Data3[[#This Row],[Brand_Loyalty]],M:M)</f>
        <v>603</v>
      </c>
      <c r="AD277" s="2" t="e" cm="1" vm="1">
        <f t="array" aca="1" ref="AD277" ca="1">SUMIFS(Y:Y,Ecommerce_Consumer_Behavior_Analysis_Data3[[#This Row],[Payment_Method]],V:V)</f>
        <v>#VALUE!</v>
      </c>
      <c r="AE277" s="2">
        <f t="shared" si="8"/>
        <v>333.8</v>
      </c>
    </row>
    <row r="278" spans="1:31" x14ac:dyDescent="0.25">
      <c r="A278" s="2" t="s">
        <v>640</v>
      </c>
      <c r="B278" s="2">
        <v>41</v>
      </c>
      <c r="C278" s="2" t="s">
        <v>43</v>
      </c>
      <c r="D278" s="2" t="s">
        <v>44</v>
      </c>
      <c r="E278" s="2" t="s">
        <v>69</v>
      </c>
      <c r="F278" s="2" t="s">
        <v>45</v>
      </c>
      <c r="G278" s="2" t="s">
        <v>44</v>
      </c>
      <c r="H278" s="2" t="s">
        <v>641</v>
      </c>
      <c r="I278" s="2" t="s">
        <v>82</v>
      </c>
      <c r="J278" s="2">
        <v>186.85</v>
      </c>
      <c r="K278" s="2">
        <v>2</v>
      </c>
      <c r="L278" s="2" t="s">
        <v>78</v>
      </c>
      <c r="M278" s="2">
        <v>3</v>
      </c>
      <c r="N278" s="2">
        <v>1</v>
      </c>
      <c r="O278" s="2">
        <v>2</v>
      </c>
      <c r="P278" s="2" t="s">
        <v>44</v>
      </c>
      <c r="Q278" s="2" t="s">
        <v>50</v>
      </c>
      <c r="R278" s="2">
        <v>2</v>
      </c>
      <c r="S278" s="2">
        <v>8</v>
      </c>
      <c r="T278" s="2" t="s">
        <v>59</v>
      </c>
      <c r="U278" s="2" t="s">
        <v>60</v>
      </c>
      <c r="V278" s="2" t="s">
        <v>66</v>
      </c>
      <c r="W278" s="3">
        <v>45342</v>
      </c>
      <c r="X278" s="2" t="b">
        <v>1</v>
      </c>
      <c r="Y278" s="2" t="b">
        <v>0</v>
      </c>
      <c r="Z278" s="2" t="s">
        <v>62</v>
      </c>
      <c r="AA278" s="2" t="s">
        <v>67</v>
      </c>
      <c r="AB278" s="2">
        <v>12</v>
      </c>
      <c r="AC278" s="2">
        <f>SUMIF(N:N,Ecommerce_Consumer_Behavior_Analysis_Data3[[#This Row],[Brand_Loyalty]],M:M)</f>
        <v>597</v>
      </c>
      <c r="AD278" s="2" t="e" cm="1" vm="1">
        <f t="array" aca="1" ref="AD278" ca="1">SUMIFS(Y:Y,Ecommerce_Consumer_Behavior_Analysis_Data3[[#This Row],[Payment_Method]],V:V)</f>
        <v>#VALUE!</v>
      </c>
      <c r="AE278" s="2">
        <f t="shared" si="8"/>
        <v>101.31</v>
      </c>
    </row>
    <row r="279" spans="1:31" x14ac:dyDescent="0.25">
      <c r="A279" s="2" t="s">
        <v>642</v>
      </c>
      <c r="B279" s="2">
        <v>26</v>
      </c>
      <c r="C279" s="2" t="s">
        <v>43</v>
      </c>
      <c r="D279" s="2" t="s">
        <v>44</v>
      </c>
      <c r="E279" s="2" t="s">
        <v>69</v>
      </c>
      <c r="F279" s="2" t="s">
        <v>56</v>
      </c>
      <c r="G279" s="2" t="s">
        <v>30</v>
      </c>
      <c r="H279" s="2" t="s">
        <v>643</v>
      </c>
      <c r="I279" s="2" t="s">
        <v>90</v>
      </c>
      <c r="J279" s="2">
        <v>73.319999999999993</v>
      </c>
      <c r="K279" s="2">
        <v>10</v>
      </c>
      <c r="L279" s="2" t="s">
        <v>48</v>
      </c>
      <c r="M279" s="2">
        <v>5</v>
      </c>
      <c r="N279" s="2">
        <v>1</v>
      </c>
      <c r="O279" s="2">
        <v>1</v>
      </c>
      <c r="P279" s="2" t="s">
        <v>36</v>
      </c>
      <c r="Q279" s="2" t="s">
        <v>50</v>
      </c>
      <c r="R279" s="2">
        <v>1</v>
      </c>
      <c r="S279" s="2">
        <v>1</v>
      </c>
      <c r="T279" s="2" t="s">
        <v>49</v>
      </c>
      <c r="U279" s="2" t="s">
        <v>60</v>
      </c>
      <c r="V279" s="2" t="s">
        <v>61</v>
      </c>
      <c r="W279" s="3">
        <v>45318</v>
      </c>
      <c r="X279" s="2" t="b">
        <v>1</v>
      </c>
      <c r="Y279" s="2" t="b">
        <v>0</v>
      </c>
      <c r="Z279" s="2" t="s">
        <v>52</v>
      </c>
      <c r="AA279" s="2" t="s">
        <v>53</v>
      </c>
      <c r="AB279" s="2">
        <v>14</v>
      </c>
      <c r="AC279" s="2">
        <f>SUMIF(N:N,Ecommerce_Consumer_Behavior_Analysis_Data3[[#This Row],[Brand_Loyalty]],M:M)</f>
        <v>641</v>
      </c>
      <c r="AD279" s="2" t="e" cm="1" vm="1">
        <f t="array" aca="1" ref="AD279" ca="1">SUMIFS(Y:Y,Ecommerce_Consumer_Behavior_Analysis_Data3[[#This Row],[Payment_Method]],V:V)</f>
        <v>#VALUE!</v>
      </c>
      <c r="AE279" s="2">
        <f t="shared" si="8"/>
        <v>211.7</v>
      </c>
    </row>
    <row r="280" spans="1:31" x14ac:dyDescent="0.25">
      <c r="A280" s="2" t="s">
        <v>644</v>
      </c>
      <c r="B280" s="2">
        <v>49</v>
      </c>
      <c r="C280" s="2" t="s">
        <v>43</v>
      </c>
      <c r="D280" s="2" t="s">
        <v>30</v>
      </c>
      <c r="E280" s="2" t="s">
        <v>69</v>
      </c>
      <c r="F280" s="2" t="s">
        <v>32</v>
      </c>
      <c r="G280" s="2" t="s">
        <v>30</v>
      </c>
      <c r="H280" s="2" t="s">
        <v>645</v>
      </c>
      <c r="I280" s="2" t="s">
        <v>183</v>
      </c>
      <c r="J280" s="2">
        <v>214.59</v>
      </c>
      <c r="K280" s="2">
        <v>6</v>
      </c>
      <c r="L280" s="2" t="s">
        <v>78</v>
      </c>
      <c r="M280" s="2">
        <v>1</v>
      </c>
      <c r="N280" s="2">
        <v>1</v>
      </c>
      <c r="O280" s="2">
        <v>0</v>
      </c>
      <c r="P280" s="2" t="s">
        <v>36</v>
      </c>
      <c r="Q280" s="2" t="s">
        <v>37</v>
      </c>
      <c r="R280" s="2">
        <v>1</v>
      </c>
      <c r="S280" s="2">
        <v>8</v>
      </c>
      <c r="T280" s="2" t="s">
        <v>59</v>
      </c>
      <c r="U280" s="2" t="s">
        <v>38</v>
      </c>
      <c r="V280" s="2" t="s">
        <v>66</v>
      </c>
      <c r="W280" s="3">
        <v>45331</v>
      </c>
      <c r="X280" s="2" t="b">
        <v>1</v>
      </c>
      <c r="Y280" s="2" t="b">
        <v>0</v>
      </c>
      <c r="Z280" s="2" t="s">
        <v>52</v>
      </c>
      <c r="AA280" s="2" t="s">
        <v>53</v>
      </c>
      <c r="AB280" s="2">
        <v>9</v>
      </c>
      <c r="AC280" s="2">
        <f>SUMIF(N:N,Ecommerce_Consumer_Behavior_Analysis_Data3[[#This Row],[Brand_Loyalty]],M:M)</f>
        <v>603</v>
      </c>
      <c r="AD280" s="2" t="e" cm="1" vm="1">
        <f t="array" aca="1" ref="AD280" ca="1">SUMIFS(Y:Y,Ecommerce_Consumer_Behavior_Analysis_Data3[[#This Row],[Payment_Method]],V:V)</f>
        <v>#VALUE!</v>
      </c>
      <c r="AE280" s="2">
        <f t="shared" si="8"/>
        <v>333.8</v>
      </c>
    </row>
    <row r="281" spans="1:31" x14ac:dyDescent="0.25">
      <c r="A281" s="2" t="s">
        <v>646</v>
      </c>
      <c r="B281" s="2">
        <v>47</v>
      </c>
      <c r="C281" s="2" t="s">
        <v>29</v>
      </c>
      <c r="D281" s="2" t="s">
        <v>30</v>
      </c>
      <c r="E281" s="2" t="s">
        <v>69</v>
      </c>
      <c r="F281" s="2" t="s">
        <v>45</v>
      </c>
      <c r="G281" s="2" t="s">
        <v>30</v>
      </c>
      <c r="H281" s="2" t="s">
        <v>647</v>
      </c>
      <c r="I281" s="2" t="s">
        <v>71</v>
      </c>
      <c r="J281" s="2">
        <v>467.32</v>
      </c>
      <c r="K281" s="2">
        <v>12</v>
      </c>
      <c r="L281" s="2" t="s">
        <v>48</v>
      </c>
      <c r="M281" s="2">
        <v>4</v>
      </c>
      <c r="N281" s="2">
        <v>4</v>
      </c>
      <c r="O281" s="2">
        <v>2</v>
      </c>
      <c r="P281" s="2" t="s">
        <v>49</v>
      </c>
      <c r="Q281" s="2" t="s">
        <v>37</v>
      </c>
      <c r="R281" s="2">
        <v>2</v>
      </c>
      <c r="S281" s="2">
        <v>4</v>
      </c>
      <c r="T281" s="2" t="s">
        <v>59</v>
      </c>
      <c r="U281" s="2" t="s">
        <v>60</v>
      </c>
      <c r="V281" s="2" t="s">
        <v>51</v>
      </c>
      <c r="W281" s="3">
        <v>45319</v>
      </c>
      <c r="X281" s="2" t="b">
        <v>0</v>
      </c>
      <c r="Y281" s="2" t="b">
        <v>1</v>
      </c>
      <c r="Z281" s="2" t="s">
        <v>40</v>
      </c>
      <c r="AA281" s="2" t="s">
        <v>41</v>
      </c>
      <c r="AB281" s="2">
        <v>11</v>
      </c>
      <c r="AC281" s="2">
        <f>SUMIF(N:N,Ecommerce_Consumer_Behavior_Analysis_Data3[[#This Row],[Brand_Loyalty]],M:M)</f>
        <v>603</v>
      </c>
      <c r="AD281" s="2" t="e" cm="1" vm="1">
        <f t="array" aca="1" ref="AD281" ca="1">SUMIFS(Y:Y,Ecommerce_Consumer_Behavior_Analysis_Data3[[#This Row],[Payment_Method]],V:V)</f>
        <v>#VALUE!</v>
      </c>
      <c r="AE281" s="2">
        <f t="shared" si="8"/>
        <v>211.7</v>
      </c>
    </row>
    <row r="282" spans="1:31" x14ac:dyDescent="0.25">
      <c r="A282" s="2" t="s">
        <v>648</v>
      </c>
      <c r="B282" s="2">
        <v>18</v>
      </c>
      <c r="C282" s="2" t="s">
        <v>43</v>
      </c>
      <c r="D282" s="2" t="s">
        <v>30</v>
      </c>
      <c r="E282" s="2" t="s">
        <v>31</v>
      </c>
      <c r="F282" s="2" t="s">
        <v>56</v>
      </c>
      <c r="G282" s="2" t="s">
        <v>30</v>
      </c>
      <c r="H282" s="2" t="s">
        <v>649</v>
      </c>
      <c r="I282" s="2" t="s">
        <v>194</v>
      </c>
      <c r="J282" s="2">
        <v>475.65</v>
      </c>
      <c r="K282" s="2">
        <v>4</v>
      </c>
      <c r="L282" s="2" t="s">
        <v>48</v>
      </c>
      <c r="M282" s="2">
        <v>4</v>
      </c>
      <c r="N282" s="2">
        <v>5</v>
      </c>
      <c r="O282" s="2">
        <v>0</v>
      </c>
      <c r="P282" s="2" t="s">
        <v>44</v>
      </c>
      <c r="Q282" s="2" t="s">
        <v>37</v>
      </c>
      <c r="R282" s="2">
        <v>2</v>
      </c>
      <c r="S282" s="2">
        <v>6</v>
      </c>
      <c r="T282" s="2" t="s">
        <v>59</v>
      </c>
      <c r="U282" s="2" t="s">
        <v>60</v>
      </c>
      <c r="V282" s="2" t="s">
        <v>51</v>
      </c>
      <c r="W282" s="3">
        <v>45466</v>
      </c>
      <c r="X282" s="2" t="b">
        <v>1</v>
      </c>
      <c r="Y282" s="2" t="b">
        <v>1</v>
      </c>
      <c r="Z282" s="2" t="s">
        <v>52</v>
      </c>
      <c r="AA282" s="2" t="s">
        <v>67</v>
      </c>
      <c r="AB282" s="2">
        <v>14</v>
      </c>
      <c r="AC282" s="2">
        <f>SUMIF(N:N,Ecommerce_Consumer_Behavior_Analysis_Data3[[#This Row],[Brand_Loyalty]],M:M)</f>
        <v>603</v>
      </c>
      <c r="AD282" s="2" t="e" cm="1" vm="1">
        <f t="array" aca="1" ref="AD282" ca="1">SUMIFS(Y:Y,Ecommerce_Consumer_Behavior_Analysis_Data3[[#This Row],[Payment_Method]],V:V)</f>
        <v>#VALUE!</v>
      </c>
      <c r="AE282" s="2">
        <f t="shared" si="8"/>
        <v>211.7</v>
      </c>
    </row>
    <row r="283" spans="1:31" x14ac:dyDescent="0.25">
      <c r="A283" s="2" t="s">
        <v>650</v>
      </c>
      <c r="B283" s="2">
        <v>48</v>
      </c>
      <c r="C283" s="2" t="s">
        <v>29</v>
      </c>
      <c r="D283" s="2" t="s">
        <v>30</v>
      </c>
      <c r="E283" s="2" t="s">
        <v>69</v>
      </c>
      <c r="F283" s="2" t="s">
        <v>56</v>
      </c>
      <c r="G283" s="2" t="s">
        <v>44</v>
      </c>
      <c r="H283" s="2" t="s">
        <v>651</v>
      </c>
      <c r="I283" s="2" t="s">
        <v>101</v>
      </c>
      <c r="J283" s="2">
        <v>161.38</v>
      </c>
      <c r="K283" s="2">
        <v>11</v>
      </c>
      <c r="L283" s="2" t="s">
        <v>35</v>
      </c>
      <c r="M283" s="2">
        <v>5</v>
      </c>
      <c r="N283" s="2">
        <v>3</v>
      </c>
      <c r="O283" s="2">
        <v>0</v>
      </c>
      <c r="P283" s="2" t="s">
        <v>36</v>
      </c>
      <c r="Q283" s="2" t="s">
        <v>85</v>
      </c>
      <c r="R283" s="2">
        <v>1</v>
      </c>
      <c r="S283" s="2">
        <v>10</v>
      </c>
      <c r="T283" s="2" t="s">
        <v>44</v>
      </c>
      <c r="U283" s="2" t="s">
        <v>38</v>
      </c>
      <c r="V283" s="2" t="s">
        <v>61</v>
      </c>
      <c r="W283" s="3">
        <v>45524</v>
      </c>
      <c r="X283" s="2" t="b">
        <v>1</v>
      </c>
      <c r="Y283" s="2" t="b">
        <v>1</v>
      </c>
      <c r="Z283" s="2" t="s">
        <v>62</v>
      </c>
      <c r="AA283" s="2" t="s">
        <v>53</v>
      </c>
      <c r="AB283" s="2">
        <v>10</v>
      </c>
      <c r="AC283" s="2">
        <f>SUMIF(N:N,Ecommerce_Consumer_Behavior_Analysis_Data3[[#This Row],[Brand_Loyalty]],M:M)</f>
        <v>641</v>
      </c>
      <c r="AD283" s="2" t="e" cm="1" vm="1">
        <f t="array" aca="1" ref="AD283" ca="1">SUMIFS(Y:Y,Ecommerce_Consumer_Behavior_Analysis_Data3[[#This Row],[Payment_Method]],V:V)</f>
        <v>#VALUE!</v>
      </c>
      <c r="AE283" s="2">
        <f t="shared" si="8"/>
        <v>211.7</v>
      </c>
    </row>
    <row r="284" spans="1:31" x14ac:dyDescent="0.25">
      <c r="A284" s="2" t="s">
        <v>652</v>
      </c>
      <c r="B284" s="2">
        <v>19</v>
      </c>
      <c r="C284" s="2" t="s">
        <v>43</v>
      </c>
      <c r="D284" s="2" t="s">
        <v>30</v>
      </c>
      <c r="E284" s="2" t="s">
        <v>55</v>
      </c>
      <c r="F284" s="2" t="s">
        <v>32</v>
      </c>
      <c r="G284" s="2" t="s">
        <v>30</v>
      </c>
      <c r="H284" s="2" t="s">
        <v>653</v>
      </c>
      <c r="I284" s="2" t="s">
        <v>123</v>
      </c>
      <c r="J284" s="2">
        <v>249.78</v>
      </c>
      <c r="K284" s="2">
        <v>4</v>
      </c>
      <c r="L284" s="2" t="s">
        <v>48</v>
      </c>
      <c r="M284" s="2">
        <v>5</v>
      </c>
      <c r="N284" s="2">
        <v>4</v>
      </c>
      <c r="O284" s="2">
        <v>0</v>
      </c>
      <c r="P284" s="2" t="s">
        <v>59</v>
      </c>
      <c r="Q284" s="2" t="s">
        <v>85</v>
      </c>
      <c r="R284" s="2">
        <v>0</v>
      </c>
      <c r="S284" s="2">
        <v>1</v>
      </c>
      <c r="T284" s="2" t="s">
        <v>36</v>
      </c>
      <c r="U284" s="2" t="s">
        <v>79</v>
      </c>
      <c r="V284" s="2" t="s">
        <v>51</v>
      </c>
      <c r="W284" s="3">
        <v>45620</v>
      </c>
      <c r="X284" s="2" t="b">
        <v>0</v>
      </c>
      <c r="Y284" s="2" t="b">
        <v>0</v>
      </c>
      <c r="Z284" s="2" t="s">
        <v>52</v>
      </c>
      <c r="AA284" s="2" t="s">
        <v>41</v>
      </c>
      <c r="AB284" s="2">
        <v>11</v>
      </c>
      <c r="AC284" s="2">
        <f>SUMIF(N:N,Ecommerce_Consumer_Behavior_Analysis_Data3[[#This Row],[Brand_Loyalty]],M:M)</f>
        <v>641</v>
      </c>
      <c r="AD284" s="2" t="e" cm="1" vm="1">
        <f t="array" aca="1" ref="AD284" ca="1">SUMIFS(Y:Y,Ecommerce_Consumer_Behavior_Analysis_Data3[[#This Row],[Payment_Method]],V:V)</f>
        <v>#VALUE!</v>
      </c>
      <c r="AE284" s="2">
        <f t="shared" si="8"/>
        <v>211.7</v>
      </c>
    </row>
    <row r="285" spans="1:31" x14ac:dyDescent="0.25">
      <c r="A285" s="2" t="s">
        <v>654</v>
      </c>
      <c r="B285" s="2">
        <v>39</v>
      </c>
      <c r="C285" s="2" t="s">
        <v>29</v>
      </c>
      <c r="D285" s="2" t="s">
        <v>30</v>
      </c>
      <c r="E285" s="2" t="s">
        <v>76</v>
      </c>
      <c r="F285" s="2" t="s">
        <v>45</v>
      </c>
      <c r="G285" s="2" t="s">
        <v>44</v>
      </c>
      <c r="H285" s="2" t="s">
        <v>655</v>
      </c>
      <c r="I285" s="2" t="s">
        <v>183</v>
      </c>
      <c r="J285" s="2">
        <v>149.88</v>
      </c>
      <c r="K285" s="2">
        <v>9</v>
      </c>
      <c r="L285" s="2" t="s">
        <v>35</v>
      </c>
      <c r="M285" s="2">
        <v>3</v>
      </c>
      <c r="N285" s="2">
        <v>2</v>
      </c>
      <c r="O285" s="2">
        <v>0</v>
      </c>
      <c r="P285" s="2" t="s">
        <v>59</v>
      </c>
      <c r="Q285" s="2" t="s">
        <v>37</v>
      </c>
      <c r="R285" s="2">
        <v>1</v>
      </c>
      <c r="S285" s="2">
        <v>10</v>
      </c>
      <c r="T285" s="2" t="s">
        <v>59</v>
      </c>
      <c r="U285" s="2" t="s">
        <v>60</v>
      </c>
      <c r="V285" s="2" t="s">
        <v>61</v>
      </c>
      <c r="W285" s="3">
        <v>45401</v>
      </c>
      <c r="X285" s="2" t="b">
        <v>0</v>
      </c>
      <c r="Y285" s="2" t="b">
        <v>0</v>
      </c>
      <c r="Z285" s="2" t="s">
        <v>62</v>
      </c>
      <c r="AA285" s="2" t="s">
        <v>53</v>
      </c>
      <c r="AB285" s="2">
        <v>4</v>
      </c>
      <c r="AC285" s="2">
        <f>SUMIF(N:N,Ecommerce_Consumer_Behavior_Analysis_Data3[[#This Row],[Brand_Loyalty]],M:M)</f>
        <v>597</v>
      </c>
      <c r="AD285" s="2" t="e" cm="1" vm="1">
        <f t="array" aca="1" ref="AD285" ca="1">SUMIFS(Y:Y,Ecommerce_Consumer_Behavior_Analysis_Data3[[#This Row],[Payment_Method]],V:V)</f>
        <v>#VALUE!</v>
      </c>
      <c r="AE285" s="2">
        <f t="shared" si="8"/>
        <v>211.7</v>
      </c>
    </row>
    <row r="286" spans="1:31" x14ac:dyDescent="0.25">
      <c r="A286" s="2" t="s">
        <v>656</v>
      </c>
      <c r="B286" s="2">
        <v>48</v>
      </c>
      <c r="C286" s="2" t="s">
        <v>29</v>
      </c>
      <c r="D286" s="2" t="s">
        <v>44</v>
      </c>
      <c r="E286" s="2" t="s">
        <v>76</v>
      </c>
      <c r="F286" s="2" t="s">
        <v>56</v>
      </c>
      <c r="G286" s="2" t="s">
        <v>30</v>
      </c>
      <c r="H286" s="2" t="s">
        <v>657</v>
      </c>
      <c r="I286" s="2" t="s">
        <v>246</v>
      </c>
      <c r="J286" s="2">
        <v>347.09</v>
      </c>
      <c r="K286" s="2">
        <v>5</v>
      </c>
      <c r="L286" s="2" t="s">
        <v>48</v>
      </c>
      <c r="M286" s="2">
        <v>5</v>
      </c>
      <c r="N286" s="2">
        <v>2</v>
      </c>
      <c r="O286" s="2">
        <v>0</v>
      </c>
      <c r="P286" s="2" t="s">
        <v>49</v>
      </c>
      <c r="Q286" s="2" t="s">
        <v>37</v>
      </c>
      <c r="R286" s="2">
        <v>2</v>
      </c>
      <c r="S286" s="2">
        <v>1</v>
      </c>
      <c r="T286" s="2" t="s">
        <v>36</v>
      </c>
      <c r="U286" s="2" t="s">
        <v>60</v>
      </c>
      <c r="V286" s="2" t="s">
        <v>66</v>
      </c>
      <c r="W286" s="3">
        <v>45317</v>
      </c>
      <c r="X286" s="2" t="b">
        <v>0</v>
      </c>
      <c r="Y286" s="2" t="b">
        <v>0</v>
      </c>
      <c r="Z286" s="2" t="s">
        <v>74</v>
      </c>
      <c r="AA286" s="2" t="s">
        <v>41</v>
      </c>
      <c r="AB286" s="2">
        <v>7</v>
      </c>
      <c r="AC286" s="2">
        <f>SUMIF(N:N,Ecommerce_Consumer_Behavior_Analysis_Data3[[#This Row],[Brand_Loyalty]],M:M)</f>
        <v>641</v>
      </c>
      <c r="AD286" s="2" t="e" cm="1" vm="1">
        <f t="array" aca="1" ref="AD286" ca="1">SUMIFS(Y:Y,Ecommerce_Consumer_Behavior_Analysis_Data3[[#This Row],[Payment_Method]],V:V)</f>
        <v>#VALUE!</v>
      </c>
      <c r="AE286" s="2">
        <f t="shared" si="8"/>
        <v>333.8</v>
      </c>
    </row>
    <row r="287" spans="1:31" x14ac:dyDescent="0.25">
      <c r="A287" s="2" t="s">
        <v>658</v>
      </c>
      <c r="B287" s="2">
        <v>43</v>
      </c>
      <c r="C287" s="2" t="s">
        <v>29</v>
      </c>
      <c r="D287" s="2" t="s">
        <v>44</v>
      </c>
      <c r="E287" s="2" t="s">
        <v>69</v>
      </c>
      <c r="F287" s="2" t="s">
        <v>56</v>
      </c>
      <c r="G287" s="2" t="s">
        <v>44</v>
      </c>
      <c r="H287" s="2" t="s">
        <v>659</v>
      </c>
      <c r="I287" s="2" t="s">
        <v>104</v>
      </c>
      <c r="J287" s="2">
        <v>345.49</v>
      </c>
      <c r="K287" s="2">
        <v>9</v>
      </c>
      <c r="L287" s="2" t="s">
        <v>35</v>
      </c>
      <c r="M287" s="2">
        <v>3</v>
      </c>
      <c r="N287" s="2">
        <v>1</v>
      </c>
      <c r="O287" s="2">
        <v>2</v>
      </c>
      <c r="P287" s="2" t="s">
        <v>44</v>
      </c>
      <c r="Q287" s="2" t="s">
        <v>50</v>
      </c>
      <c r="R287" s="2">
        <v>0</v>
      </c>
      <c r="S287" s="2">
        <v>10</v>
      </c>
      <c r="T287" s="2" t="s">
        <v>49</v>
      </c>
      <c r="U287" s="2" t="s">
        <v>38</v>
      </c>
      <c r="V287" s="2" t="s">
        <v>51</v>
      </c>
      <c r="W287" s="3">
        <v>45541</v>
      </c>
      <c r="X287" s="2" t="b">
        <v>1</v>
      </c>
      <c r="Y287" s="2" t="b">
        <v>0</v>
      </c>
      <c r="Z287" s="2" t="s">
        <v>62</v>
      </c>
      <c r="AA287" s="2" t="s">
        <v>67</v>
      </c>
      <c r="AB287" s="2">
        <v>3</v>
      </c>
      <c r="AC287" s="2">
        <f>SUMIF(N:N,Ecommerce_Consumer_Behavior_Analysis_Data3[[#This Row],[Brand_Loyalty]],M:M)</f>
        <v>597</v>
      </c>
      <c r="AD287" s="2" t="e" cm="1" vm="1">
        <f t="array" aca="1" ref="AD287" ca="1">SUMIFS(Y:Y,Ecommerce_Consumer_Behavior_Analysis_Data3[[#This Row],[Payment_Method]],V:V)</f>
        <v>#VALUE!</v>
      </c>
      <c r="AE287" s="2">
        <f t="shared" si="8"/>
        <v>211.7</v>
      </c>
    </row>
    <row r="288" spans="1:31" x14ac:dyDescent="0.25">
      <c r="A288" s="2" t="s">
        <v>660</v>
      </c>
      <c r="B288" s="2">
        <v>31</v>
      </c>
      <c r="C288" s="2" t="s">
        <v>29</v>
      </c>
      <c r="D288" s="2" t="s">
        <v>44</v>
      </c>
      <c r="E288" s="2" t="s">
        <v>76</v>
      </c>
      <c r="F288" s="2" t="s">
        <v>32</v>
      </c>
      <c r="G288" s="2" t="s">
        <v>44</v>
      </c>
      <c r="H288" s="2" t="s">
        <v>661</v>
      </c>
      <c r="I288" s="2" t="s">
        <v>104</v>
      </c>
      <c r="J288" s="2">
        <v>297.24</v>
      </c>
      <c r="K288" s="2">
        <v>2</v>
      </c>
      <c r="L288" s="2" t="s">
        <v>35</v>
      </c>
      <c r="M288" s="2">
        <v>1</v>
      </c>
      <c r="N288" s="2">
        <v>4</v>
      </c>
      <c r="O288" s="2">
        <v>0</v>
      </c>
      <c r="P288" s="2" t="s">
        <v>49</v>
      </c>
      <c r="Q288" s="2" t="s">
        <v>50</v>
      </c>
      <c r="R288" s="2">
        <v>0</v>
      </c>
      <c r="S288" s="2">
        <v>9</v>
      </c>
      <c r="T288" s="2" t="s">
        <v>44</v>
      </c>
      <c r="U288" s="2" t="s">
        <v>79</v>
      </c>
      <c r="V288" s="2" t="s">
        <v>51</v>
      </c>
      <c r="W288" s="3">
        <v>45472</v>
      </c>
      <c r="X288" s="2" t="b">
        <v>1</v>
      </c>
      <c r="Y288" s="2" t="b">
        <v>1</v>
      </c>
      <c r="Z288" s="2" t="s">
        <v>74</v>
      </c>
      <c r="AA288" s="2" t="s">
        <v>67</v>
      </c>
      <c r="AB288" s="2">
        <v>7</v>
      </c>
      <c r="AC288" s="2">
        <f>SUMIF(N:N,Ecommerce_Consumer_Behavior_Analysis_Data3[[#This Row],[Brand_Loyalty]],M:M)</f>
        <v>603</v>
      </c>
      <c r="AD288" s="2" t="e" cm="1" vm="1">
        <f t="array" aca="1" ref="AD288" ca="1">SUMIFS(Y:Y,Ecommerce_Consumer_Behavior_Analysis_Data3[[#This Row],[Payment_Method]],V:V)</f>
        <v>#VALUE!</v>
      </c>
      <c r="AE288" s="2">
        <f t="shared" si="8"/>
        <v>494.34</v>
      </c>
    </row>
    <row r="289" spans="1:31" x14ac:dyDescent="0.25">
      <c r="A289" s="2" t="s">
        <v>662</v>
      </c>
      <c r="B289" s="2">
        <v>28</v>
      </c>
      <c r="C289" s="2" t="s">
        <v>29</v>
      </c>
      <c r="D289" s="2" t="s">
        <v>30</v>
      </c>
      <c r="E289" s="2" t="s">
        <v>76</v>
      </c>
      <c r="F289" s="2" t="s">
        <v>32</v>
      </c>
      <c r="G289" s="2" t="s">
        <v>44</v>
      </c>
      <c r="H289" s="2" t="s">
        <v>663</v>
      </c>
      <c r="I289" s="2" t="s">
        <v>65</v>
      </c>
      <c r="J289" s="2">
        <v>494.34</v>
      </c>
      <c r="K289" s="2">
        <v>12</v>
      </c>
      <c r="L289" s="2" t="s">
        <v>78</v>
      </c>
      <c r="M289" s="2">
        <v>5</v>
      </c>
      <c r="N289" s="2">
        <v>3</v>
      </c>
      <c r="O289" s="2">
        <v>0.25</v>
      </c>
      <c r="P289" s="2" t="s">
        <v>44</v>
      </c>
      <c r="Q289" s="2" t="s">
        <v>85</v>
      </c>
      <c r="R289" s="2">
        <v>1</v>
      </c>
      <c r="S289" s="2">
        <v>8</v>
      </c>
      <c r="T289" s="2" t="s">
        <v>59</v>
      </c>
      <c r="U289" s="2" t="s">
        <v>79</v>
      </c>
      <c r="V289" s="2" t="s">
        <v>61</v>
      </c>
      <c r="W289" s="3">
        <v>45354</v>
      </c>
      <c r="X289" s="2" t="b">
        <v>0</v>
      </c>
      <c r="Y289" s="2" t="b">
        <v>0</v>
      </c>
      <c r="Z289" s="2" t="s">
        <v>52</v>
      </c>
      <c r="AA289" s="2" t="s">
        <v>67</v>
      </c>
      <c r="AB289" s="2">
        <v>3</v>
      </c>
      <c r="AC289" s="2">
        <f>SUMIF(N:N,Ecommerce_Consumer_Behavior_Analysis_Data3[[#This Row],[Brand_Loyalty]],M:M)</f>
        <v>641</v>
      </c>
      <c r="AD289" s="2" t="e" cm="1" vm="1">
        <f t="array" aca="1" ref="AD289" ca="1">SUMIFS(Y:Y,Ecommerce_Consumer_Behavior_Analysis_Data3[[#This Row],[Payment_Method]],V:V)</f>
        <v>#VALUE!</v>
      </c>
      <c r="AE289" s="2">
        <f t="shared" si="8"/>
        <v>211.7</v>
      </c>
    </row>
    <row r="290" spans="1:31" x14ac:dyDescent="0.25">
      <c r="A290" s="2" t="s">
        <v>664</v>
      </c>
      <c r="B290" s="2">
        <v>29</v>
      </c>
      <c r="C290" s="2" t="s">
        <v>352</v>
      </c>
      <c r="D290" s="2" t="s">
        <v>30</v>
      </c>
      <c r="E290" s="2" t="s">
        <v>31</v>
      </c>
      <c r="F290" s="2" t="s">
        <v>56</v>
      </c>
      <c r="G290" s="2" t="s">
        <v>44</v>
      </c>
      <c r="H290" s="2" t="s">
        <v>665</v>
      </c>
      <c r="I290" s="2" t="s">
        <v>101</v>
      </c>
      <c r="J290" s="2">
        <v>443.52</v>
      </c>
      <c r="K290" s="2">
        <v>5</v>
      </c>
      <c r="L290" s="2" t="s">
        <v>48</v>
      </c>
      <c r="M290" s="2">
        <v>5</v>
      </c>
      <c r="N290" s="2">
        <v>3</v>
      </c>
      <c r="O290" s="2">
        <v>0</v>
      </c>
      <c r="P290" s="2" t="s">
        <v>36</v>
      </c>
      <c r="Q290" s="2" t="s">
        <v>37</v>
      </c>
      <c r="R290" s="2">
        <v>0</v>
      </c>
      <c r="S290" s="2">
        <v>7</v>
      </c>
      <c r="T290" s="2" t="s">
        <v>59</v>
      </c>
      <c r="U290" s="2" t="s">
        <v>38</v>
      </c>
      <c r="V290" s="2" t="s">
        <v>86</v>
      </c>
      <c r="W290" s="3">
        <v>45422</v>
      </c>
      <c r="X290" s="2" t="b">
        <v>1</v>
      </c>
      <c r="Y290" s="2" t="b">
        <v>0</v>
      </c>
      <c r="Z290" s="2" t="s">
        <v>40</v>
      </c>
      <c r="AA290" s="2" t="s">
        <v>53</v>
      </c>
      <c r="AB290" s="2">
        <v>9</v>
      </c>
      <c r="AC290" s="2">
        <f>SUMIF(N:N,Ecommerce_Consumer_Behavior_Analysis_Data3[[#This Row],[Brand_Loyalty]],M:M)</f>
        <v>641</v>
      </c>
      <c r="AD290" s="2" t="e" cm="1" vm="1">
        <f t="array" aca="1" ref="AD290" ca="1">SUMIFS(Y:Y,Ecommerce_Consumer_Behavior_Analysis_Data3[[#This Row],[Payment_Method]],V:V)</f>
        <v>#VALUE!</v>
      </c>
      <c r="AE290" s="2">
        <f t="shared" si="8"/>
        <v>333.8</v>
      </c>
    </row>
    <row r="291" spans="1:31" x14ac:dyDescent="0.25">
      <c r="A291" s="2" t="s">
        <v>666</v>
      </c>
      <c r="B291" s="2">
        <v>45</v>
      </c>
      <c r="C291" s="2" t="s">
        <v>148</v>
      </c>
      <c r="D291" s="2" t="s">
        <v>30</v>
      </c>
      <c r="E291" s="2" t="s">
        <v>76</v>
      </c>
      <c r="F291" s="2" t="s">
        <v>45</v>
      </c>
      <c r="G291" s="2" t="s">
        <v>44</v>
      </c>
      <c r="H291" s="2" t="s">
        <v>667</v>
      </c>
      <c r="I291" s="2" t="s">
        <v>246</v>
      </c>
      <c r="J291" s="2">
        <v>457.18</v>
      </c>
      <c r="K291" s="2">
        <v>7</v>
      </c>
      <c r="L291" s="2" t="s">
        <v>48</v>
      </c>
      <c r="M291" s="2">
        <v>4</v>
      </c>
      <c r="N291" s="2">
        <v>3</v>
      </c>
      <c r="O291" s="2">
        <v>2</v>
      </c>
      <c r="P291" s="2" t="s">
        <v>44</v>
      </c>
      <c r="Q291" s="2" t="s">
        <v>85</v>
      </c>
      <c r="R291" s="2">
        <v>2</v>
      </c>
      <c r="S291" s="2">
        <v>6</v>
      </c>
      <c r="T291" s="2" t="s">
        <v>49</v>
      </c>
      <c r="U291" s="2" t="s">
        <v>60</v>
      </c>
      <c r="V291" s="2" t="s">
        <v>66</v>
      </c>
      <c r="W291" s="3">
        <v>45524</v>
      </c>
      <c r="X291" s="2" t="b">
        <v>1</v>
      </c>
      <c r="Y291" s="2" t="b">
        <v>1</v>
      </c>
      <c r="Z291" s="2" t="s">
        <v>52</v>
      </c>
      <c r="AA291" s="2" t="s">
        <v>67</v>
      </c>
      <c r="AB291" s="2">
        <v>10</v>
      </c>
      <c r="AC291" s="2">
        <f>SUMIF(N:N,Ecommerce_Consumer_Behavior_Analysis_Data3[[#This Row],[Brand_Loyalty]],M:M)</f>
        <v>603</v>
      </c>
      <c r="AD291" s="2" t="e" cm="1" vm="1">
        <f t="array" aca="1" ref="AD291" ca="1">SUMIFS(Y:Y,Ecommerce_Consumer_Behavior_Analysis_Data3[[#This Row],[Payment_Method]],V:V)</f>
        <v>#VALUE!</v>
      </c>
      <c r="AE291" s="2">
        <f t="shared" si="8"/>
        <v>101.31</v>
      </c>
    </row>
    <row r="292" spans="1:31" x14ac:dyDescent="0.25">
      <c r="A292" s="2" t="s">
        <v>668</v>
      </c>
      <c r="B292" s="2">
        <v>38</v>
      </c>
      <c r="C292" s="2" t="s">
        <v>43</v>
      </c>
      <c r="D292" s="2" t="s">
        <v>30</v>
      </c>
      <c r="E292" s="2" t="s">
        <v>55</v>
      </c>
      <c r="F292" s="2" t="s">
        <v>56</v>
      </c>
      <c r="G292" s="2" t="s">
        <v>44</v>
      </c>
      <c r="H292" s="2" t="s">
        <v>669</v>
      </c>
      <c r="I292" s="2" t="s">
        <v>82</v>
      </c>
      <c r="J292" s="2">
        <v>407.88</v>
      </c>
      <c r="K292" s="2">
        <v>4</v>
      </c>
      <c r="L292" s="2" t="s">
        <v>48</v>
      </c>
      <c r="M292" s="2">
        <v>1</v>
      </c>
      <c r="N292" s="2">
        <v>3</v>
      </c>
      <c r="O292" s="2">
        <v>1</v>
      </c>
      <c r="P292" s="2" t="s">
        <v>36</v>
      </c>
      <c r="Q292" s="2" t="s">
        <v>85</v>
      </c>
      <c r="R292" s="2">
        <v>1</v>
      </c>
      <c r="S292" s="2">
        <v>10</v>
      </c>
      <c r="T292" s="2" t="s">
        <v>49</v>
      </c>
      <c r="U292" s="2" t="s">
        <v>38</v>
      </c>
      <c r="V292" s="2" t="s">
        <v>86</v>
      </c>
      <c r="W292" s="3">
        <v>45607</v>
      </c>
      <c r="X292" s="2" t="b">
        <v>0</v>
      </c>
      <c r="Y292" s="2" t="b">
        <v>0</v>
      </c>
      <c r="Z292" s="2" t="s">
        <v>74</v>
      </c>
      <c r="AA292" s="2" t="s">
        <v>53</v>
      </c>
      <c r="AB292" s="2">
        <v>14</v>
      </c>
      <c r="AC292" s="2">
        <f>SUMIF(N:N,Ecommerce_Consumer_Behavior_Analysis_Data3[[#This Row],[Brand_Loyalty]],M:M)</f>
        <v>603</v>
      </c>
      <c r="AD292" s="2" t="e" cm="1" vm="1">
        <f t="array" aca="1" ref="AD292" ca="1">SUMIFS(Y:Y,Ecommerce_Consumer_Behavior_Analysis_Data3[[#This Row],[Payment_Method]],V:V)</f>
        <v>#VALUE!</v>
      </c>
      <c r="AE292" s="2">
        <f t="shared" si="8"/>
        <v>333.8</v>
      </c>
    </row>
    <row r="293" spans="1:31" x14ac:dyDescent="0.25">
      <c r="A293" s="2" t="s">
        <v>670</v>
      </c>
      <c r="B293" s="2">
        <v>30</v>
      </c>
      <c r="C293" s="2" t="s">
        <v>43</v>
      </c>
      <c r="D293" s="2" t="s">
        <v>30</v>
      </c>
      <c r="E293" s="2" t="s">
        <v>69</v>
      </c>
      <c r="F293" s="2" t="s">
        <v>32</v>
      </c>
      <c r="G293" s="2" t="s">
        <v>30</v>
      </c>
      <c r="H293" s="2" t="s">
        <v>671</v>
      </c>
      <c r="I293" s="2" t="s">
        <v>82</v>
      </c>
      <c r="J293" s="2">
        <v>448.68</v>
      </c>
      <c r="K293" s="2">
        <v>8</v>
      </c>
      <c r="L293" s="2" t="s">
        <v>48</v>
      </c>
      <c r="M293" s="2">
        <v>4</v>
      </c>
      <c r="N293" s="2">
        <v>4</v>
      </c>
      <c r="O293" s="2">
        <v>2</v>
      </c>
      <c r="P293" s="2" t="s">
        <v>44</v>
      </c>
      <c r="Q293" s="2" t="s">
        <v>37</v>
      </c>
      <c r="R293" s="2">
        <v>1</v>
      </c>
      <c r="S293" s="2">
        <v>3</v>
      </c>
      <c r="T293" s="2" t="s">
        <v>49</v>
      </c>
      <c r="U293" s="2" t="s">
        <v>38</v>
      </c>
      <c r="V293" s="2" t="s">
        <v>61</v>
      </c>
      <c r="W293" s="3">
        <v>45437</v>
      </c>
      <c r="X293" s="2" t="b">
        <v>1</v>
      </c>
      <c r="Y293" s="2" t="b">
        <v>0</v>
      </c>
      <c r="Z293" s="2" t="s">
        <v>52</v>
      </c>
      <c r="AA293" s="2" t="s">
        <v>67</v>
      </c>
      <c r="AB293" s="2">
        <v>8</v>
      </c>
      <c r="AC293" s="2">
        <f>SUMIF(N:N,Ecommerce_Consumer_Behavior_Analysis_Data3[[#This Row],[Brand_Loyalty]],M:M)</f>
        <v>603</v>
      </c>
      <c r="AD293" s="2" t="e" cm="1" vm="1">
        <f t="array" aca="1" ref="AD293" ca="1">SUMIFS(Y:Y,Ecommerce_Consumer_Behavior_Analysis_Data3[[#This Row],[Payment_Method]],V:V)</f>
        <v>#VALUE!</v>
      </c>
      <c r="AE293" s="2">
        <f t="shared" si="8"/>
        <v>101.31</v>
      </c>
    </row>
    <row r="294" spans="1:31" x14ac:dyDescent="0.25">
      <c r="A294" s="2" t="s">
        <v>672</v>
      </c>
      <c r="B294" s="2">
        <v>40</v>
      </c>
      <c r="C294" s="2" t="s">
        <v>29</v>
      </c>
      <c r="D294" s="2" t="s">
        <v>44</v>
      </c>
      <c r="E294" s="2" t="s">
        <v>69</v>
      </c>
      <c r="F294" s="2" t="s">
        <v>32</v>
      </c>
      <c r="G294" s="2" t="s">
        <v>44</v>
      </c>
      <c r="H294" s="2" t="s">
        <v>673</v>
      </c>
      <c r="I294" s="2" t="s">
        <v>117</v>
      </c>
      <c r="J294" s="2">
        <v>255.96</v>
      </c>
      <c r="K294" s="2">
        <v>7</v>
      </c>
      <c r="L294" s="2" t="s">
        <v>78</v>
      </c>
      <c r="M294" s="2">
        <v>5</v>
      </c>
      <c r="N294" s="2">
        <v>1</v>
      </c>
      <c r="O294" s="2">
        <v>1</v>
      </c>
      <c r="P294" s="2" t="s">
        <v>44</v>
      </c>
      <c r="Q294" s="2" t="s">
        <v>85</v>
      </c>
      <c r="R294" s="2">
        <v>0</v>
      </c>
      <c r="S294" s="2">
        <v>10</v>
      </c>
      <c r="T294" s="2" t="s">
        <v>36</v>
      </c>
      <c r="U294" s="2" t="s">
        <v>38</v>
      </c>
      <c r="V294" s="2" t="s">
        <v>86</v>
      </c>
      <c r="W294" s="3">
        <v>45649</v>
      </c>
      <c r="X294" s="2" t="b">
        <v>0</v>
      </c>
      <c r="Y294" s="2" t="b">
        <v>0</v>
      </c>
      <c r="Z294" s="2" t="s">
        <v>40</v>
      </c>
      <c r="AA294" s="2" t="s">
        <v>41</v>
      </c>
      <c r="AB294" s="2">
        <v>13</v>
      </c>
      <c r="AC294" s="2">
        <f>SUMIF(N:N,Ecommerce_Consumer_Behavior_Analysis_Data3[[#This Row],[Brand_Loyalty]],M:M)</f>
        <v>641</v>
      </c>
      <c r="AD294" s="2" t="e" cm="1" vm="1">
        <f t="array" aca="1" ref="AD294" ca="1">SUMIFS(Y:Y,Ecommerce_Consumer_Behavior_Analysis_Data3[[#This Row],[Payment_Method]],V:V)</f>
        <v>#VALUE!</v>
      </c>
      <c r="AE294" s="2">
        <f t="shared" si="8"/>
        <v>101.31</v>
      </c>
    </row>
    <row r="295" spans="1:31" x14ac:dyDescent="0.25">
      <c r="A295" s="2" t="s">
        <v>674</v>
      </c>
      <c r="B295" s="2">
        <v>45</v>
      </c>
      <c r="C295" s="2" t="s">
        <v>43</v>
      </c>
      <c r="D295" s="2" t="s">
        <v>30</v>
      </c>
      <c r="E295" s="2" t="s">
        <v>31</v>
      </c>
      <c r="F295" s="2" t="s">
        <v>45</v>
      </c>
      <c r="G295" s="2" t="s">
        <v>44</v>
      </c>
      <c r="H295" s="2" t="s">
        <v>675</v>
      </c>
      <c r="I295" s="2" t="s">
        <v>98</v>
      </c>
      <c r="J295" s="2">
        <v>146.07</v>
      </c>
      <c r="K295" s="2">
        <v>7</v>
      </c>
      <c r="L295" s="2" t="s">
        <v>48</v>
      </c>
      <c r="M295" s="2">
        <v>4</v>
      </c>
      <c r="N295" s="2">
        <v>2</v>
      </c>
      <c r="O295" s="2">
        <v>1</v>
      </c>
      <c r="P295" s="2" t="s">
        <v>59</v>
      </c>
      <c r="Q295" s="2" t="s">
        <v>85</v>
      </c>
      <c r="R295" s="2">
        <v>1</v>
      </c>
      <c r="S295" s="2">
        <v>6</v>
      </c>
      <c r="T295" s="2" t="s">
        <v>36</v>
      </c>
      <c r="U295" s="2" t="s">
        <v>38</v>
      </c>
      <c r="V295" s="2" t="s">
        <v>39</v>
      </c>
      <c r="W295" s="3">
        <v>45480</v>
      </c>
      <c r="X295" s="2" t="b">
        <v>1</v>
      </c>
      <c r="Y295" s="2" t="b">
        <v>1</v>
      </c>
      <c r="Z295" s="2" t="s">
        <v>40</v>
      </c>
      <c r="AA295" s="2" t="s">
        <v>53</v>
      </c>
      <c r="AB295" s="2">
        <v>1</v>
      </c>
      <c r="AC295" s="2">
        <f>SUMIF(N:N,Ecommerce_Consumer_Behavior_Analysis_Data3[[#This Row],[Brand_Loyalty]],M:M)</f>
        <v>603</v>
      </c>
      <c r="AD295" s="2" t="e" cm="1" vm="1">
        <f t="array" aca="1" ref="AD295" ca="1">SUMIFS(Y:Y,Ecommerce_Consumer_Behavior_Analysis_Data3[[#This Row],[Payment_Method]],V:V)</f>
        <v>#VALUE!</v>
      </c>
      <c r="AE295" s="2">
        <f t="shared" si="8"/>
        <v>333.8</v>
      </c>
    </row>
    <row r="296" spans="1:31" x14ac:dyDescent="0.25">
      <c r="A296" s="2" t="s">
        <v>676</v>
      </c>
      <c r="B296" s="2">
        <v>44</v>
      </c>
      <c r="C296" s="2" t="s">
        <v>29</v>
      </c>
      <c r="D296" s="2" t="s">
        <v>44</v>
      </c>
      <c r="E296" s="2" t="s">
        <v>55</v>
      </c>
      <c r="F296" s="2" t="s">
        <v>45</v>
      </c>
      <c r="G296" s="2" t="s">
        <v>30</v>
      </c>
      <c r="H296" s="2" t="s">
        <v>677</v>
      </c>
      <c r="I296" s="2" t="s">
        <v>142</v>
      </c>
      <c r="J296" s="2">
        <v>311.89999999999998</v>
      </c>
      <c r="K296" s="2">
        <v>4</v>
      </c>
      <c r="L296" s="2" t="s">
        <v>48</v>
      </c>
      <c r="M296" s="2">
        <v>2</v>
      </c>
      <c r="N296" s="2">
        <v>4</v>
      </c>
      <c r="O296" s="2">
        <v>2</v>
      </c>
      <c r="P296" s="2" t="s">
        <v>59</v>
      </c>
      <c r="Q296" s="2" t="s">
        <v>85</v>
      </c>
      <c r="R296" s="2">
        <v>0</v>
      </c>
      <c r="S296" s="2">
        <v>6</v>
      </c>
      <c r="T296" s="2" t="s">
        <v>44</v>
      </c>
      <c r="U296" s="2" t="s">
        <v>60</v>
      </c>
      <c r="V296" s="2" t="s">
        <v>39</v>
      </c>
      <c r="W296" s="3">
        <v>45656</v>
      </c>
      <c r="X296" s="2" t="b">
        <v>0</v>
      </c>
      <c r="Y296" s="2" t="b">
        <v>1</v>
      </c>
      <c r="Z296" s="2" t="s">
        <v>74</v>
      </c>
      <c r="AA296" s="2" t="s">
        <v>41</v>
      </c>
      <c r="AB296" s="2">
        <v>2</v>
      </c>
      <c r="AC296" s="2">
        <f>SUMIF(N:N,Ecommerce_Consumer_Behavior_Analysis_Data3[[#This Row],[Brand_Loyalty]],M:M)</f>
        <v>582</v>
      </c>
      <c r="AD296" s="2" t="e" cm="1" vm="1">
        <f t="array" aca="1" ref="AD296" ca="1">SUMIFS(Y:Y,Ecommerce_Consumer_Behavior_Analysis_Data3[[#This Row],[Payment_Method]],V:V)</f>
        <v>#VALUE!</v>
      </c>
      <c r="AE296" s="2">
        <f t="shared" si="8"/>
        <v>101.31</v>
      </c>
    </row>
    <row r="297" spans="1:31" x14ac:dyDescent="0.25">
      <c r="A297" s="2" t="s">
        <v>678</v>
      </c>
      <c r="B297" s="2">
        <v>38</v>
      </c>
      <c r="C297" s="2" t="s">
        <v>29</v>
      </c>
      <c r="D297" s="2" t="s">
        <v>30</v>
      </c>
      <c r="E297" s="2" t="s">
        <v>69</v>
      </c>
      <c r="F297" s="2" t="s">
        <v>45</v>
      </c>
      <c r="G297" s="2" t="s">
        <v>30</v>
      </c>
      <c r="H297" s="2" t="s">
        <v>679</v>
      </c>
      <c r="I297" s="2" t="s">
        <v>34</v>
      </c>
      <c r="J297" s="2">
        <v>301.60000000000002</v>
      </c>
      <c r="K297" s="2">
        <v>4</v>
      </c>
      <c r="L297" s="2" t="s">
        <v>35</v>
      </c>
      <c r="M297" s="2">
        <v>4</v>
      </c>
      <c r="N297" s="2">
        <v>5</v>
      </c>
      <c r="O297" s="2">
        <v>1</v>
      </c>
      <c r="P297" s="2" t="s">
        <v>59</v>
      </c>
      <c r="Q297" s="2" t="s">
        <v>50</v>
      </c>
      <c r="R297" s="2">
        <v>2</v>
      </c>
      <c r="S297" s="2">
        <v>10</v>
      </c>
      <c r="T297" s="2" t="s">
        <v>44</v>
      </c>
      <c r="U297" s="2" t="s">
        <v>79</v>
      </c>
      <c r="V297" s="2" t="s">
        <v>39</v>
      </c>
      <c r="W297" s="3">
        <v>45362</v>
      </c>
      <c r="X297" s="2" t="b">
        <v>0</v>
      </c>
      <c r="Y297" s="2" t="b">
        <v>0</v>
      </c>
      <c r="Z297" s="2" t="s">
        <v>62</v>
      </c>
      <c r="AA297" s="2" t="s">
        <v>53</v>
      </c>
      <c r="AB297" s="2">
        <v>13</v>
      </c>
      <c r="AC297" s="2">
        <f>SUMIF(N:N,Ecommerce_Consumer_Behavior_Analysis_Data3[[#This Row],[Brand_Loyalty]],M:M)</f>
        <v>603</v>
      </c>
      <c r="AD297" s="2" t="e" cm="1" vm="1">
        <f t="array" aca="1" ref="AD297" ca="1">SUMIFS(Y:Y,Ecommerce_Consumer_Behavior_Analysis_Data3[[#This Row],[Payment_Method]],V:V)</f>
        <v>#VALUE!</v>
      </c>
      <c r="AE297" s="2">
        <f t="shared" si="8"/>
        <v>211.7</v>
      </c>
    </row>
    <row r="298" spans="1:31" x14ac:dyDescent="0.25">
      <c r="A298" s="2" t="s">
        <v>680</v>
      </c>
      <c r="B298" s="2">
        <v>23</v>
      </c>
      <c r="C298" s="2" t="s">
        <v>212</v>
      </c>
      <c r="D298" s="2" t="s">
        <v>30</v>
      </c>
      <c r="E298" s="2" t="s">
        <v>69</v>
      </c>
      <c r="F298" s="2" t="s">
        <v>32</v>
      </c>
      <c r="G298" s="2" t="s">
        <v>44</v>
      </c>
      <c r="H298" s="2" t="s">
        <v>681</v>
      </c>
      <c r="I298" s="2" t="s">
        <v>120</v>
      </c>
      <c r="J298" s="2">
        <v>297.45</v>
      </c>
      <c r="K298" s="2">
        <v>3</v>
      </c>
      <c r="L298" s="2" t="s">
        <v>35</v>
      </c>
      <c r="M298" s="2">
        <v>1</v>
      </c>
      <c r="N298" s="2">
        <v>5</v>
      </c>
      <c r="O298" s="2">
        <v>0</v>
      </c>
      <c r="P298" s="2" t="s">
        <v>49</v>
      </c>
      <c r="Q298" s="2" t="s">
        <v>85</v>
      </c>
      <c r="R298" s="2">
        <v>0</v>
      </c>
      <c r="S298" s="2">
        <v>7</v>
      </c>
      <c r="T298" s="2" t="s">
        <v>59</v>
      </c>
      <c r="U298" s="2" t="s">
        <v>38</v>
      </c>
      <c r="V298" s="2" t="s">
        <v>61</v>
      </c>
      <c r="W298" s="3">
        <v>45480</v>
      </c>
      <c r="X298" s="2" t="b">
        <v>0</v>
      </c>
      <c r="Y298" s="2" t="b">
        <v>0</v>
      </c>
      <c r="Z298" s="2" t="s">
        <v>74</v>
      </c>
      <c r="AA298" s="2" t="s">
        <v>41</v>
      </c>
      <c r="AB298" s="2">
        <v>4</v>
      </c>
      <c r="AC298" s="2">
        <f>SUMIF(N:N,Ecommerce_Consumer_Behavior_Analysis_Data3[[#This Row],[Brand_Loyalty]],M:M)</f>
        <v>603</v>
      </c>
      <c r="AD298" s="2" t="e" cm="1" vm="1">
        <f t="array" aca="1" ref="AD298" ca="1">SUMIFS(Y:Y,Ecommerce_Consumer_Behavior_Analysis_Data3[[#This Row],[Payment_Method]],V:V)</f>
        <v>#VALUE!</v>
      </c>
      <c r="AE298" s="2">
        <f t="shared" si="8"/>
        <v>101.31</v>
      </c>
    </row>
    <row r="299" spans="1:31" x14ac:dyDescent="0.25">
      <c r="A299" s="2" t="s">
        <v>682</v>
      </c>
      <c r="B299" s="2">
        <v>30</v>
      </c>
      <c r="C299" s="2" t="s">
        <v>352</v>
      </c>
      <c r="D299" s="2" t="s">
        <v>44</v>
      </c>
      <c r="E299" s="2" t="s">
        <v>69</v>
      </c>
      <c r="F299" s="2" t="s">
        <v>32</v>
      </c>
      <c r="G299" s="2" t="s">
        <v>44</v>
      </c>
      <c r="H299" s="2" t="s">
        <v>683</v>
      </c>
      <c r="I299" s="2" t="s">
        <v>90</v>
      </c>
      <c r="J299" s="2">
        <v>157.26</v>
      </c>
      <c r="K299" s="2">
        <v>3</v>
      </c>
      <c r="L299" s="2" t="s">
        <v>78</v>
      </c>
      <c r="M299" s="2">
        <v>1</v>
      </c>
      <c r="N299" s="2">
        <v>3</v>
      </c>
      <c r="O299" s="2">
        <v>1</v>
      </c>
      <c r="P299" s="2" t="s">
        <v>49</v>
      </c>
      <c r="Q299" s="2" t="s">
        <v>50</v>
      </c>
      <c r="R299" s="2">
        <v>1</v>
      </c>
      <c r="S299" s="2">
        <v>1</v>
      </c>
      <c r="T299" s="2" t="s">
        <v>36</v>
      </c>
      <c r="U299" s="2" t="s">
        <v>79</v>
      </c>
      <c r="V299" s="2" t="s">
        <v>86</v>
      </c>
      <c r="W299" s="3">
        <v>45497</v>
      </c>
      <c r="X299" s="2" t="b">
        <v>0</v>
      </c>
      <c r="Y299" s="2" t="b">
        <v>0</v>
      </c>
      <c r="Z299" s="2" t="s">
        <v>40</v>
      </c>
      <c r="AA299" s="2" t="s">
        <v>53</v>
      </c>
      <c r="AB299" s="2">
        <v>8</v>
      </c>
      <c r="AC299" s="2">
        <f>SUMIF(N:N,Ecommerce_Consumer_Behavior_Analysis_Data3[[#This Row],[Brand_Loyalty]],M:M)</f>
        <v>603</v>
      </c>
      <c r="AD299" s="2" t="e" cm="1" vm="1">
        <f t="array" aca="1" ref="AD299" ca="1">SUMIFS(Y:Y,Ecommerce_Consumer_Behavior_Analysis_Data3[[#This Row],[Payment_Method]],V:V)</f>
        <v>#VALUE!</v>
      </c>
      <c r="AE299" s="2">
        <f t="shared" si="8"/>
        <v>211.7</v>
      </c>
    </row>
    <row r="300" spans="1:31" x14ac:dyDescent="0.25">
      <c r="A300" s="2" t="s">
        <v>684</v>
      </c>
      <c r="B300" s="2">
        <v>42</v>
      </c>
      <c r="C300" s="2" t="s">
        <v>43</v>
      </c>
      <c r="D300" s="2" t="s">
        <v>44</v>
      </c>
      <c r="E300" s="2" t="s">
        <v>69</v>
      </c>
      <c r="F300" s="2" t="s">
        <v>56</v>
      </c>
      <c r="G300" s="2" t="s">
        <v>30</v>
      </c>
      <c r="H300" s="2" t="s">
        <v>685</v>
      </c>
      <c r="I300" s="2" t="s">
        <v>142</v>
      </c>
      <c r="J300" s="2">
        <v>239.46</v>
      </c>
      <c r="K300" s="2">
        <v>3</v>
      </c>
      <c r="L300" s="2" t="s">
        <v>35</v>
      </c>
      <c r="M300" s="2">
        <v>3</v>
      </c>
      <c r="N300" s="2">
        <v>1</v>
      </c>
      <c r="O300" s="2">
        <v>0</v>
      </c>
      <c r="P300" s="2" t="s">
        <v>59</v>
      </c>
      <c r="Q300" s="2" t="s">
        <v>50</v>
      </c>
      <c r="R300" s="2">
        <v>2</v>
      </c>
      <c r="S300" s="2">
        <v>8</v>
      </c>
      <c r="T300" s="2" t="s">
        <v>44</v>
      </c>
      <c r="U300" s="2" t="s">
        <v>79</v>
      </c>
      <c r="V300" s="2" t="s">
        <v>66</v>
      </c>
      <c r="W300" s="3">
        <v>45508</v>
      </c>
      <c r="X300" s="2" t="b">
        <v>1</v>
      </c>
      <c r="Y300" s="2" t="b">
        <v>1</v>
      </c>
      <c r="Z300" s="2" t="s">
        <v>74</v>
      </c>
      <c r="AA300" s="2" t="s">
        <v>53</v>
      </c>
      <c r="AB300" s="2">
        <v>7</v>
      </c>
      <c r="AC300" s="2">
        <f>SUMIF(N:N,Ecommerce_Consumer_Behavior_Analysis_Data3[[#This Row],[Brand_Loyalty]],M:M)</f>
        <v>597</v>
      </c>
      <c r="AD300" s="2" t="e" cm="1" vm="1">
        <f t="array" aca="1" ref="AD300" ca="1">SUMIFS(Y:Y,Ecommerce_Consumer_Behavior_Analysis_Data3[[#This Row],[Payment_Method]],V:V)</f>
        <v>#VALUE!</v>
      </c>
      <c r="AE300" s="2">
        <f t="shared" si="8"/>
        <v>333.8</v>
      </c>
    </row>
    <row r="301" spans="1:31" x14ac:dyDescent="0.25">
      <c r="A301" s="2" t="s">
        <v>686</v>
      </c>
      <c r="B301" s="2">
        <v>28</v>
      </c>
      <c r="C301" s="2" t="s">
        <v>29</v>
      </c>
      <c r="D301" s="2" t="s">
        <v>44</v>
      </c>
      <c r="E301" s="2" t="s">
        <v>69</v>
      </c>
      <c r="F301" s="2" t="s">
        <v>45</v>
      </c>
      <c r="G301" s="2" t="s">
        <v>44</v>
      </c>
      <c r="H301" s="2" t="s">
        <v>687</v>
      </c>
      <c r="I301" s="2" t="s">
        <v>34</v>
      </c>
      <c r="J301" s="2">
        <v>240.82</v>
      </c>
      <c r="K301" s="2">
        <v>10</v>
      </c>
      <c r="L301" s="2" t="s">
        <v>35</v>
      </c>
      <c r="M301" s="2">
        <v>1</v>
      </c>
      <c r="N301" s="2">
        <v>3</v>
      </c>
      <c r="O301" s="2">
        <v>2</v>
      </c>
      <c r="P301" s="2" t="s">
        <v>44</v>
      </c>
      <c r="Q301" s="2" t="s">
        <v>37</v>
      </c>
      <c r="R301" s="2">
        <v>0</v>
      </c>
      <c r="S301" s="2">
        <v>3</v>
      </c>
      <c r="T301" s="2" t="s">
        <v>49</v>
      </c>
      <c r="U301" s="2" t="s">
        <v>38</v>
      </c>
      <c r="V301" s="2" t="s">
        <v>51</v>
      </c>
      <c r="W301" s="3">
        <v>45293</v>
      </c>
      <c r="X301" s="2" t="b">
        <v>1</v>
      </c>
      <c r="Y301" s="2" t="b">
        <v>0</v>
      </c>
      <c r="Z301" s="2" t="s">
        <v>74</v>
      </c>
      <c r="AA301" s="2" t="s">
        <v>41</v>
      </c>
      <c r="AB301" s="2">
        <v>8</v>
      </c>
      <c r="AC301" s="2">
        <f>SUMIF(N:N,Ecommerce_Consumer_Behavior_Analysis_Data3[[#This Row],[Brand_Loyalty]],M:M)</f>
        <v>603</v>
      </c>
      <c r="AD301" s="2" t="e" cm="1" vm="1">
        <f t="array" aca="1" ref="AD301" ca="1">SUMIFS(Y:Y,Ecommerce_Consumer_Behavior_Analysis_Data3[[#This Row],[Payment_Method]],V:V)</f>
        <v>#VALUE!</v>
      </c>
      <c r="AE301" s="2">
        <f t="shared" si="8"/>
        <v>101.31</v>
      </c>
    </row>
    <row r="302" spans="1:31" x14ac:dyDescent="0.25">
      <c r="A302" s="2" t="s">
        <v>688</v>
      </c>
      <c r="B302" s="2">
        <v>44</v>
      </c>
      <c r="C302" s="2" t="s">
        <v>29</v>
      </c>
      <c r="D302" s="2" t="s">
        <v>30</v>
      </c>
      <c r="E302" s="2" t="s">
        <v>55</v>
      </c>
      <c r="F302" s="2" t="s">
        <v>56</v>
      </c>
      <c r="G302" s="2" t="s">
        <v>44</v>
      </c>
      <c r="H302" s="2" t="s">
        <v>689</v>
      </c>
      <c r="I302" s="2" t="s">
        <v>90</v>
      </c>
      <c r="J302" s="2">
        <v>302.07</v>
      </c>
      <c r="K302" s="2">
        <v>6</v>
      </c>
      <c r="L302" s="2" t="s">
        <v>35</v>
      </c>
      <c r="M302" s="2">
        <v>1</v>
      </c>
      <c r="N302" s="2">
        <v>5</v>
      </c>
      <c r="O302" s="2">
        <v>1</v>
      </c>
      <c r="P302" s="2" t="s">
        <v>49</v>
      </c>
      <c r="Q302" s="2" t="s">
        <v>50</v>
      </c>
      <c r="R302" s="2">
        <v>2</v>
      </c>
      <c r="S302" s="2">
        <v>5</v>
      </c>
      <c r="T302" s="2" t="s">
        <v>49</v>
      </c>
      <c r="U302" s="2" t="s">
        <v>79</v>
      </c>
      <c r="V302" s="2" t="s">
        <v>66</v>
      </c>
      <c r="W302" s="3">
        <v>45391</v>
      </c>
      <c r="X302" s="2" t="b">
        <v>1</v>
      </c>
      <c r="Y302" s="2" t="b">
        <v>0</v>
      </c>
      <c r="Z302" s="2" t="s">
        <v>74</v>
      </c>
      <c r="AA302" s="2" t="s">
        <v>67</v>
      </c>
      <c r="AB302" s="2">
        <v>13</v>
      </c>
      <c r="AC302" s="2">
        <f>SUMIF(N:N,Ecommerce_Consumer_Behavior_Analysis_Data3[[#This Row],[Brand_Loyalty]],M:M)</f>
        <v>603</v>
      </c>
      <c r="AD302" s="2" t="e" cm="1" vm="1">
        <f t="array" aca="1" ref="AD302" ca="1">SUMIFS(Y:Y,Ecommerce_Consumer_Behavior_Analysis_Data3[[#This Row],[Payment_Method]],V:V)</f>
        <v>#VALUE!</v>
      </c>
      <c r="AE302" s="2">
        <f t="shared" si="8"/>
        <v>101.31</v>
      </c>
    </row>
    <row r="303" spans="1:31" x14ac:dyDescent="0.25">
      <c r="A303" s="2" t="s">
        <v>690</v>
      </c>
      <c r="B303" s="2">
        <v>45</v>
      </c>
      <c r="C303" s="2" t="s">
        <v>43</v>
      </c>
      <c r="D303" s="2" t="s">
        <v>30</v>
      </c>
      <c r="E303" s="2" t="s">
        <v>69</v>
      </c>
      <c r="F303" s="2" t="s">
        <v>32</v>
      </c>
      <c r="G303" s="2" t="s">
        <v>30</v>
      </c>
      <c r="H303" s="2" t="s">
        <v>691</v>
      </c>
      <c r="I303" s="2" t="s">
        <v>120</v>
      </c>
      <c r="J303" s="2">
        <v>367.99</v>
      </c>
      <c r="K303" s="2">
        <v>2</v>
      </c>
      <c r="L303" s="2" t="s">
        <v>78</v>
      </c>
      <c r="M303" s="2">
        <v>2</v>
      </c>
      <c r="N303" s="2">
        <v>5</v>
      </c>
      <c r="O303" s="2">
        <v>1</v>
      </c>
      <c r="P303" s="2" t="s">
        <v>36</v>
      </c>
      <c r="Q303" s="2" t="s">
        <v>50</v>
      </c>
      <c r="R303" s="2">
        <v>2</v>
      </c>
      <c r="S303" s="2">
        <v>2</v>
      </c>
      <c r="T303" s="2" t="s">
        <v>44</v>
      </c>
      <c r="U303" s="2" t="s">
        <v>60</v>
      </c>
      <c r="V303" s="2" t="s">
        <v>61</v>
      </c>
      <c r="W303" s="3">
        <v>45580</v>
      </c>
      <c r="X303" s="2" t="b">
        <v>0</v>
      </c>
      <c r="Y303" s="2" t="b">
        <v>0</v>
      </c>
      <c r="Z303" s="2" t="s">
        <v>74</v>
      </c>
      <c r="AA303" s="2" t="s">
        <v>67</v>
      </c>
      <c r="AB303" s="2">
        <v>8</v>
      </c>
      <c r="AC303" s="2">
        <f>SUMIF(N:N,Ecommerce_Consumer_Behavior_Analysis_Data3[[#This Row],[Brand_Loyalty]],M:M)</f>
        <v>582</v>
      </c>
      <c r="AD303" s="2" t="e" cm="1" vm="1">
        <f t="array" aca="1" ref="AD303" ca="1">SUMIFS(Y:Y,Ecommerce_Consumer_Behavior_Analysis_Data3[[#This Row],[Payment_Method]],V:V)</f>
        <v>#VALUE!</v>
      </c>
      <c r="AE303" s="2">
        <f t="shared" si="8"/>
        <v>101.31</v>
      </c>
    </row>
    <row r="304" spans="1:31" x14ac:dyDescent="0.25">
      <c r="A304" s="2" t="s">
        <v>692</v>
      </c>
      <c r="B304" s="2">
        <v>46</v>
      </c>
      <c r="C304" s="2" t="s">
        <v>29</v>
      </c>
      <c r="D304" s="2" t="s">
        <v>44</v>
      </c>
      <c r="E304" s="2" t="s">
        <v>31</v>
      </c>
      <c r="F304" s="2" t="s">
        <v>56</v>
      </c>
      <c r="G304" s="2" t="s">
        <v>30</v>
      </c>
      <c r="H304" s="2" t="s">
        <v>693</v>
      </c>
      <c r="I304" s="2" t="s">
        <v>158</v>
      </c>
      <c r="J304" s="2">
        <v>359.75</v>
      </c>
      <c r="K304" s="2">
        <v>7</v>
      </c>
      <c r="L304" s="2" t="s">
        <v>48</v>
      </c>
      <c r="M304" s="2">
        <v>5</v>
      </c>
      <c r="N304" s="2">
        <v>1</v>
      </c>
      <c r="O304" s="2">
        <v>1</v>
      </c>
      <c r="P304" s="2" t="s">
        <v>44</v>
      </c>
      <c r="Q304" s="2" t="s">
        <v>50</v>
      </c>
      <c r="R304" s="2">
        <v>1</v>
      </c>
      <c r="S304" s="2">
        <v>6</v>
      </c>
      <c r="T304" s="2" t="s">
        <v>59</v>
      </c>
      <c r="U304" s="2" t="s">
        <v>38</v>
      </c>
      <c r="V304" s="2" t="s">
        <v>66</v>
      </c>
      <c r="W304" s="3">
        <v>45314</v>
      </c>
      <c r="X304" s="2" t="b">
        <v>0</v>
      </c>
      <c r="Y304" s="2" t="b">
        <v>0</v>
      </c>
      <c r="Z304" s="2" t="s">
        <v>52</v>
      </c>
      <c r="AA304" s="2" t="s">
        <v>53</v>
      </c>
      <c r="AB304" s="2">
        <v>3</v>
      </c>
      <c r="AC304" s="2">
        <f>SUMIF(N:N,Ecommerce_Consumer_Behavior_Analysis_Data3[[#This Row],[Brand_Loyalty]],M:M)</f>
        <v>641</v>
      </c>
      <c r="AD304" s="2" t="e" cm="1" vm="1">
        <f t="array" aca="1" ref="AD304" ca="1">SUMIFS(Y:Y,Ecommerce_Consumer_Behavior_Analysis_Data3[[#This Row],[Payment_Method]],V:V)</f>
        <v>#VALUE!</v>
      </c>
      <c r="AE304" s="2">
        <f t="shared" si="8"/>
        <v>333.8</v>
      </c>
    </row>
    <row r="305" spans="1:31" x14ac:dyDescent="0.25">
      <c r="A305" s="2" t="s">
        <v>694</v>
      </c>
      <c r="B305" s="2">
        <v>28</v>
      </c>
      <c r="C305" s="2" t="s">
        <v>29</v>
      </c>
      <c r="D305" s="2" t="s">
        <v>30</v>
      </c>
      <c r="E305" s="2" t="s">
        <v>76</v>
      </c>
      <c r="F305" s="2" t="s">
        <v>32</v>
      </c>
      <c r="G305" s="2" t="s">
        <v>44</v>
      </c>
      <c r="H305" s="2" t="s">
        <v>695</v>
      </c>
      <c r="I305" s="2" t="s">
        <v>114</v>
      </c>
      <c r="J305" s="2">
        <v>204.44</v>
      </c>
      <c r="K305" s="2">
        <v>2</v>
      </c>
      <c r="L305" s="2" t="s">
        <v>35</v>
      </c>
      <c r="M305" s="2">
        <v>5</v>
      </c>
      <c r="N305" s="2">
        <v>3</v>
      </c>
      <c r="O305" s="2">
        <v>2</v>
      </c>
      <c r="P305" s="2" t="s">
        <v>36</v>
      </c>
      <c r="Q305" s="2" t="s">
        <v>37</v>
      </c>
      <c r="R305" s="2">
        <v>1</v>
      </c>
      <c r="S305" s="2">
        <v>3</v>
      </c>
      <c r="T305" s="2" t="s">
        <v>44</v>
      </c>
      <c r="U305" s="2" t="s">
        <v>79</v>
      </c>
      <c r="V305" s="2" t="s">
        <v>61</v>
      </c>
      <c r="W305" s="3">
        <v>45627</v>
      </c>
      <c r="X305" s="2" t="b">
        <v>0</v>
      </c>
      <c r="Y305" s="2" t="b">
        <v>1</v>
      </c>
      <c r="Z305" s="2" t="s">
        <v>62</v>
      </c>
      <c r="AA305" s="2" t="s">
        <v>53</v>
      </c>
      <c r="AB305" s="2">
        <v>13</v>
      </c>
      <c r="AC305" s="2">
        <f>SUMIF(N:N,Ecommerce_Consumer_Behavior_Analysis_Data3[[#This Row],[Brand_Loyalty]],M:M)</f>
        <v>641</v>
      </c>
      <c r="AD305" s="2" t="e" cm="1" vm="1">
        <f t="array" aca="1" ref="AD305" ca="1">SUMIFS(Y:Y,Ecommerce_Consumer_Behavior_Analysis_Data3[[#This Row],[Payment_Method]],V:V)</f>
        <v>#VALUE!</v>
      </c>
      <c r="AE305" s="2">
        <f t="shared" si="8"/>
        <v>333.8</v>
      </c>
    </row>
    <row r="306" spans="1:31" x14ac:dyDescent="0.25">
      <c r="A306" s="2" t="s">
        <v>696</v>
      </c>
      <c r="B306" s="2">
        <v>27</v>
      </c>
      <c r="C306" s="2" t="s">
        <v>43</v>
      </c>
      <c r="D306" s="2" t="s">
        <v>44</v>
      </c>
      <c r="E306" s="2" t="s">
        <v>55</v>
      </c>
      <c r="F306" s="2" t="s">
        <v>56</v>
      </c>
      <c r="G306" s="2" t="s">
        <v>44</v>
      </c>
      <c r="H306" s="2" t="s">
        <v>697</v>
      </c>
      <c r="I306" s="2" t="s">
        <v>34</v>
      </c>
      <c r="J306" s="2">
        <v>228.93</v>
      </c>
      <c r="K306" s="2">
        <v>7</v>
      </c>
      <c r="L306" s="2" t="s">
        <v>78</v>
      </c>
      <c r="M306" s="2">
        <v>1</v>
      </c>
      <c r="N306" s="2">
        <v>1</v>
      </c>
      <c r="O306" s="2">
        <v>2</v>
      </c>
      <c r="P306" s="2" t="s">
        <v>59</v>
      </c>
      <c r="Q306" s="2" t="s">
        <v>50</v>
      </c>
      <c r="R306" s="2">
        <v>2</v>
      </c>
      <c r="S306" s="2">
        <v>2</v>
      </c>
      <c r="T306" s="2" t="s">
        <v>49</v>
      </c>
      <c r="U306" s="2" t="s">
        <v>79</v>
      </c>
      <c r="V306" s="2" t="s">
        <v>51</v>
      </c>
      <c r="W306" s="3">
        <v>45341</v>
      </c>
      <c r="X306" s="2" t="b">
        <v>1</v>
      </c>
      <c r="Y306" s="2" t="b">
        <v>1</v>
      </c>
      <c r="Z306" s="2" t="s">
        <v>62</v>
      </c>
      <c r="AA306" s="2" t="s">
        <v>67</v>
      </c>
      <c r="AB306" s="2">
        <v>11</v>
      </c>
      <c r="AC306" s="2">
        <f>SUMIF(N:N,Ecommerce_Consumer_Behavior_Analysis_Data3[[#This Row],[Brand_Loyalty]],M:M)</f>
        <v>603</v>
      </c>
      <c r="AD306" s="2" t="e" cm="1" vm="1">
        <f t="array" aca="1" ref="AD306" ca="1">SUMIFS(Y:Y,Ecommerce_Consumer_Behavior_Analysis_Data3[[#This Row],[Payment_Method]],V:V)</f>
        <v>#VALUE!</v>
      </c>
      <c r="AE306" s="2">
        <f t="shared" si="8"/>
        <v>211.7</v>
      </c>
    </row>
    <row r="307" spans="1:31" x14ac:dyDescent="0.25">
      <c r="A307" s="2" t="s">
        <v>698</v>
      </c>
      <c r="B307" s="2">
        <v>20</v>
      </c>
      <c r="C307" s="2" t="s">
        <v>29</v>
      </c>
      <c r="D307" s="2" t="s">
        <v>44</v>
      </c>
      <c r="E307" s="2" t="s">
        <v>55</v>
      </c>
      <c r="F307" s="2" t="s">
        <v>45</v>
      </c>
      <c r="G307" s="2" t="s">
        <v>30</v>
      </c>
      <c r="H307" s="2" t="s">
        <v>546</v>
      </c>
      <c r="I307" s="2" t="s">
        <v>58</v>
      </c>
      <c r="J307" s="2">
        <v>355.31</v>
      </c>
      <c r="K307" s="2">
        <v>11</v>
      </c>
      <c r="L307" s="2" t="s">
        <v>78</v>
      </c>
      <c r="M307" s="2">
        <v>1</v>
      </c>
      <c r="N307" s="2">
        <v>1</v>
      </c>
      <c r="O307" s="2">
        <v>0</v>
      </c>
      <c r="P307" s="2" t="s">
        <v>44</v>
      </c>
      <c r="Q307" s="2" t="s">
        <v>50</v>
      </c>
      <c r="R307" s="2">
        <v>1</v>
      </c>
      <c r="S307" s="2">
        <v>2</v>
      </c>
      <c r="T307" s="2" t="s">
        <v>49</v>
      </c>
      <c r="U307" s="2" t="s">
        <v>79</v>
      </c>
      <c r="V307" s="2" t="s">
        <v>61</v>
      </c>
      <c r="W307" s="3">
        <v>45523</v>
      </c>
      <c r="X307" s="2" t="b">
        <v>0</v>
      </c>
      <c r="Y307" s="2" t="b">
        <v>1</v>
      </c>
      <c r="Z307" s="2" t="s">
        <v>62</v>
      </c>
      <c r="AA307" s="2" t="s">
        <v>67</v>
      </c>
      <c r="AB307" s="2">
        <v>12</v>
      </c>
      <c r="AC307" s="2">
        <f>SUMIF(N:N,Ecommerce_Consumer_Behavior_Analysis_Data3[[#This Row],[Brand_Loyalty]],M:M)</f>
        <v>603</v>
      </c>
      <c r="AD307" s="2" t="e" cm="1" vm="1">
        <f t="array" aca="1" ref="AD307" ca="1">SUMIFS(Y:Y,Ecommerce_Consumer_Behavior_Analysis_Data3[[#This Row],[Payment_Method]],V:V)</f>
        <v>#VALUE!</v>
      </c>
      <c r="AE307" s="2">
        <f t="shared" si="8"/>
        <v>333.8</v>
      </c>
    </row>
    <row r="308" spans="1:31" x14ac:dyDescent="0.25">
      <c r="A308" s="2" t="s">
        <v>699</v>
      </c>
      <c r="B308" s="2">
        <v>40</v>
      </c>
      <c r="C308" s="2" t="s">
        <v>43</v>
      </c>
      <c r="D308" s="2" t="s">
        <v>44</v>
      </c>
      <c r="E308" s="2" t="s">
        <v>31</v>
      </c>
      <c r="F308" s="2" t="s">
        <v>45</v>
      </c>
      <c r="G308" s="2" t="s">
        <v>44</v>
      </c>
      <c r="H308" s="2" t="s">
        <v>700</v>
      </c>
      <c r="I308" s="2" t="s">
        <v>101</v>
      </c>
      <c r="J308" s="2">
        <v>334.67</v>
      </c>
      <c r="K308" s="2">
        <v>12</v>
      </c>
      <c r="L308" s="2" t="s">
        <v>48</v>
      </c>
      <c r="M308" s="2">
        <v>2</v>
      </c>
      <c r="N308" s="2">
        <v>1</v>
      </c>
      <c r="O308" s="2">
        <v>2</v>
      </c>
      <c r="P308" s="2" t="s">
        <v>36</v>
      </c>
      <c r="Q308" s="2" t="s">
        <v>37</v>
      </c>
      <c r="R308" s="2">
        <v>2</v>
      </c>
      <c r="S308" s="2">
        <v>5</v>
      </c>
      <c r="T308" s="2" t="s">
        <v>36</v>
      </c>
      <c r="U308" s="2" t="s">
        <v>38</v>
      </c>
      <c r="V308" s="2" t="s">
        <v>61</v>
      </c>
      <c r="W308" s="3">
        <v>45614</v>
      </c>
      <c r="X308" s="2" t="b">
        <v>1</v>
      </c>
      <c r="Y308" s="2" t="b">
        <v>0</v>
      </c>
      <c r="Z308" s="2" t="s">
        <v>40</v>
      </c>
      <c r="AA308" s="2" t="s">
        <v>53</v>
      </c>
      <c r="AB308" s="2">
        <v>13</v>
      </c>
      <c r="AC308" s="2">
        <f>SUMIF(N:N,Ecommerce_Consumer_Behavior_Analysis_Data3[[#This Row],[Brand_Loyalty]],M:M)</f>
        <v>582</v>
      </c>
      <c r="AD308" s="2" t="e" cm="1" vm="1">
        <f t="array" aca="1" ref="AD308" ca="1">SUMIFS(Y:Y,Ecommerce_Consumer_Behavior_Analysis_Data3[[#This Row],[Payment_Method]],V:V)</f>
        <v>#VALUE!</v>
      </c>
      <c r="AE308" s="2">
        <f t="shared" si="8"/>
        <v>333.8</v>
      </c>
    </row>
    <row r="309" spans="1:31" x14ac:dyDescent="0.25">
      <c r="A309" s="2" t="s">
        <v>701</v>
      </c>
      <c r="B309" s="2">
        <v>36</v>
      </c>
      <c r="C309" s="2" t="s">
        <v>43</v>
      </c>
      <c r="D309" s="2" t="s">
        <v>30</v>
      </c>
      <c r="E309" s="2" t="s">
        <v>69</v>
      </c>
      <c r="F309" s="2" t="s">
        <v>56</v>
      </c>
      <c r="G309" s="2" t="s">
        <v>30</v>
      </c>
      <c r="H309" s="2" t="s">
        <v>702</v>
      </c>
      <c r="I309" s="2" t="s">
        <v>82</v>
      </c>
      <c r="J309" s="2">
        <v>182.72</v>
      </c>
      <c r="K309" s="2">
        <v>5</v>
      </c>
      <c r="L309" s="2" t="s">
        <v>78</v>
      </c>
      <c r="M309" s="2">
        <v>2</v>
      </c>
      <c r="N309" s="2">
        <v>1</v>
      </c>
      <c r="O309" s="2">
        <v>2</v>
      </c>
      <c r="P309" s="2" t="s">
        <v>44</v>
      </c>
      <c r="Q309" s="2" t="s">
        <v>85</v>
      </c>
      <c r="R309" s="2">
        <v>1</v>
      </c>
      <c r="S309" s="2">
        <v>7</v>
      </c>
      <c r="T309" s="2" t="s">
        <v>36</v>
      </c>
      <c r="U309" s="2" t="s">
        <v>79</v>
      </c>
      <c r="V309" s="2" t="s">
        <v>66</v>
      </c>
      <c r="W309" s="3">
        <v>45447</v>
      </c>
      <c r="X309" s="2" t="b">
        <v>0</v>
      </c>
      <c r="Y309" s="2" t="b">
        <v>0</v>
      </c>
      <c r="Z309" s="2" t="s">
        <v>62</v>
      </c>
      <c r="AA309" s="2" t="s">
        <v>41</v>
      </c>
      <c r="AB309" s="2">
        <v>13</v>
      </c>
      <c r="AC309" s="2">
        <f>SUMIF(N:N,Ecommerce_Consumer_Behavior_Analysis_Data3[[#This Row],[Brand_Loyalty]],M:M)</f>
        <v>582</v>
      </c>
      <c r="AD309" s="2" t="e" cm="1" vm="1">
        <f t="array" aca="1" ref="AD309" ca="1">SUMIFS(Y:Y,Ecommerce_Consumer_Behavior_Analysis_Data3[[#This Row],[Payment_Method]],V:V)</f>
        <v>#VALUE!</v>
      </c>
      <c r="AE309" s="2">
        <f t="shared" si="8"/>
        <v>211.7</v>
      </c>
    </row>
    <row r="310" spans="1:31" x14ac:dyDescent="0.25">
      <c r="A310" s="2" t="s">
        <v>703</v>
      </c>
      <c r="B310" s="2">
        <v>43</v>
      </c>
      <c r="C310" s="2" t="s">
        <v>43</v>
      </c>
      <c r="D310" s="2" t="s">
        <v>44</v>
      </c>
      <c r="E310" s="2" t="s">
        <v>69</v>
      </c>
      <c r="F310" s="2" t="s">
        <v>45</v>
      </c>
      <c r="G310" s="2" t="s">
        <v>30</v>
      </c>
      <c r="H310" s="2" t="s">
        <v>704</v>
      </c>
      <c r="I310" s="2" t="s">
        <v>246</v>
      </c>
      <c r="J310" s="2">
        <v>260.22000000000003</v>
      </c>
      <c r="K310" s="2">
        <v>11</v>
      </c>
      <c r="L310" s="2" t="s">
        <v>48</v>
      </c>
      <c r="M310" s="2">
        <v>4</v>
      </c>
      <c r="N310" s="2">
        <v>3</v>
      </c>
      <c r="O310" s="2">
        <v>0</v>
      </c>
      <c r="P310" s="2" t="s">
        <v>36</v>
      </c>
      <c r="Q310" s="2" t="s">
        <v>50</v>
      </c>
      <c r="R310" s="2">
        <v>2</v>
      </c>
      <c r="S310" s="2">
        <v>5</v>
      </c>
      <c r="T310" s="2" t="s">
        <v>44</v>
      </c>
      <c r="U310" s="2" t="s">
        <v>79</v>
      </c>
      <c r="V310" s="2" t="s">
        <v>39</v>
      </c>
      <c r="W310" s="3">
        <v>45616</v>
      </c>
      <c r="X310" s="2" t="b">
        <v>0</v>
      </c>
      <c r="Y310" s="2" t="b">
        <v>1</v>
      </c>
      <c r="Z310" s="2" t="s">
        <v>40</v>
      </c>
      <c r="AA310" s="2" t="s">
        <v>67</v>
      </c>
      <c r="AB310" s="2">
        <v>13</v>
      </c>
      <c r="AC310" s="2">
        <f>SUMIF(N:N,Ecommerce_Consumer_Behavior_Analysis_Data3[[#This Row],[Brand_Loyalty]],M:M)</f>
        <v>603</v>
      </c>
      <c r="AD310" s="2" t="e" cm="1" vm="1">
        <f t="array" aca="1" ref="AD310" ca="1">SUMIFS(Y:Y,Ecommerce_Consumer_Behavior_Analysis_Data3[[#This Row],[Payment_Method]],V:V)</f>
        <v>#VALUE!</v>
      </c>
      <c r="AE310" s="2">
        <f t="shared" si="8"/>
        <v>211.7</v>
      </c>
    </row>
    <row r="311" spans="1:31" x14ac:dyDescent="0.25">
      <c r="A311" s="2" t="s">
        <v>705</v>
      </c>
      <c r="B311" s="2">
        <v>26</v>
      </c>
      <c r="C311" s="2" t="s">
        <v>29</v>
      </c>
      <c r="D311" s="2" t="s">
        <v>44</v>
      </c>
      <c r="E311" s="2" t="s">
        <v>55</v>
      </c>
      <c r="F311" s="2" t="s">
        <v>45</v>
      </c>
      <c r="G311" s="2" t="s">
        <v>30</v>
      </c>
      <c r="H311" s="2" t="s">
        <v>706</v>
      </c>
      <c r="I311" s="2" t="s">
        <v>47</v>
      </c>
      <c r="J311" s="2">
        <v>454.93</v>
      </c>
      <c r="K311" s="2">
        <v>8</v>
      </c>
      <c r="L311" s="2" t="s">
        <v>78</v>
      </c>
      <c r="M311" s="2">
        <v>3</v>
      </c>
      <c r="N311" s="2">
        <v>5</v>
      </c>
      <c r="O311" s="2">
        <v>0</v>
      </c>
      <c r="P311" s="2" t="s">
        <v>59</v>
      </c>
      <c r="Q311" s="2" t="s">
        <v>37</v>
      </c>
      <c r="R311" s="2">
        <v>2</v>
      </c>
      <c r="S311" s="2">
        <v>7</v>
      </c>
      <c r="T311" s="2" t="s">
        <v>49</v>
      </c>
      <c r="U311" s="2" t="s">
        <v>79</v>
      </c>
      <c r="V311" s="2" t="s">
        <v>61</v>
      </c>
      <c r="W311" s="3">
        <v>45403</v>
      </c>
      <c r="X311" s="2" t="b">
        <v>0</v>
      </c>
      <c r="Y311" s="2" t="b">
        <v>0</v>
      </c>
      <c r="Z311" s="2" t="s">
        <v>52</v>
      </c>
      <c r="AA311" s="2" t="s">
        <v>41</v>
      </c>
      <c r="AB311" s="2">
        <v>11</v>
      </c>
      <c r="AC311" s="2">
        <f>SUMIF(N:N,Ecommerce_Consumer_Behavior_Analysis_Data3[[#This Row],[Brand_Loyalty]],M:M)</f>
        <v>597</v>
      </c>
      <c r="AD311" s="2" t="e" cm="1" vm="1">
        <f t="array" aca="1" ref="AD311" ca="1">SUMIFS(Y:Y,Ecommerce_Consumer_Behavior_Analysis_Data3[[#This Row],[Payment_Method]],V:V)</f>
        <v>#VALUE!</v>
      </c>
      <c r="AE311" s="2">
        <f t="shared" si="8"/>
        <v>333.8</v>
      </c>
    </row>
    <row r="312" spans="1:31" x14ac:dyDescent="0.25">
      <c r="A312" s="2" t="s">
        <v>707</v>
      </c>
      <c r="B312" s="2">
        <v>29</v>
      </c>
      <c r="C312" s="2" t="s">
        <v>43</v>
      </c>
      <c r="D312" s="2" t="s">
        <v>30</v>
      </c>
      <c r="E312" s="2" t="s">
        <v>69</v>
      </c>
      <c r="F312" s="2" t="s">
        <v>32</v>
      </c>
      <c r="G312" s="2" t="s">
        <v>44</v>
      </c>
      <c r="H312" s="2" t="s">
        <v>708</v>
      </c>
      <c r="I312" s="2" t="s">
        <v>188</v>
      </c>
      <c r="J312" s="2">
        <v>325.42</v>
      </c>
      <c r="K312" s="2">
        <v>11</v>
      </c>
      <c r="L312" s="2" t="s">
        <v>48</v>
      </c>
      <c r="M312" s="2">
        <v>2</v>
      </c>
      <c r="N312" s="2">
        <v>4</v>
      </c>
      <c r="O312" s="2">
        <v>2</v>
      </c>
      <c r="P312" s="2" t="s">
        <v>59</v>
      </c>
      <c r="Q312" s="2" t="s">
        <v>50</v>
      </c>
      <c r="R312" s="2">
        <v>1</v>
      </c>
      <c r="S312" s="2">
        <v>1</v>
      </c>
      <c r="T312" s="2" t="s">
        <v>44</v>
      </c>
      <c r="U312" s="2" t="s">
        <v>79</v>
      </c>
      <c r="V312" s="2" t="s">
        <v>66</v>
      </c>
      <c r="W312" s="3">
        <v>45585</v>
      </c>
      <c r="X312" s="2" t="b">
        <v>1</v>
      </c>
      <c r="Y312" s="2" t="b">
        <v>0</v>
      </c>
      <c r="Z312" s="2" t="s">
        <v>62</v>
      </c>
      <c r="AA312" s="2" t="s">
        <v>67</v>
      </c>
      <c r="AB312" s="2">
        <v>7</v>
      </c>
      <c r="AC312" s="2">
        <f>SUMIF(N:N,Ecommerce_Consumer_Behavior_Analysis_Data3[[#This Row],[Brand_Loyalty]],M:M)</f>
        <v>582</v>
      </c>
      <c r="AD312" s="2" t="e" cm="1" vm="1">
        <f t="array" aca="1" ref="AD312" ca="1">SUMIFS(Y:Y,Ecommerce_Consumer_Behavior_Analysis_Data3[[#This Row],[Payment_Method]],V:V)</f>
        <v>#VALUE!</v>
      </c>
      <c r="AE312" s="2">
        <f t="shared" si="8"/>
        <v>333.8</v>
      </c>
    </row>
    <row r="313" spans="1:31" x14ac:dyDescent="0.25">
      <c r="A313" s="2" t="s">
        <v>709</v>
      </c>
      <c r="B313" s="2">
        <v>34</v>
      </c>
      <c r="C313" s="2" t="s">
        <v>29</v>
      </c>
      <c r="D313" s="2" t="s">
        <v>30</v>
      </c>
      <c r="E313" s="2" t="s">
        <v>69</v>
      </c>
      <c r="F313" s="2" t="s">
        <v>45</v>
      </c>
      <c r="G313" s="2" t="s">
        <v>44</v>
      </c>
      <c r="H313" s="2" t="s">
        <v>710</v>
      </c>
      <c r="I313" s="2" t="s">
        <v>246</v>
      </c>
      <c r="J313" s="2">
        <v>351.36</v>
      </c>
      <c r="K313" s="2">
        <v>2</v>
      </c>
      <c r="L313" s="2" t="s">
        <v>48</v>
      </c>
      <c r="M313" s="2">
        <v>5</v>
      </c>
      <c r="N313" s="2">
        <v>3</v>
      </c>
      <c r="O313" s="2">
        <v>2</v>
      </c>
      <c r="P313" s="2" t="s">
        <v>44</v>
      </c>
      <c r="Q313" s="2" t="s">
        <v>85</v>
      </c>
      <c r="R313" s="2">
        <v>2</v>
      </c>
      <c r="S313" s="2">
        <v>6</v>
      </c>
      <c r="T313" s="2" t="s">
        <v>36</v>
      </c>
      <c r="U313" s="2" t="s">
        <v>79</v>
      </c>
      <c r="V313" s="2" t="s">
        <v>66</v>
      </c>
      <c r="W313" s="3">
        <v>45331</v>
      </c>
      <c r="X313" s="2" t="b">
        <v>0</v>
      </c>
      <c r="Y313" s="2" t="b">
        <v>1</v>
      </c>
      <c r="Z313" s="2" t="s">
        <v>40</v>
      </c>
      <c r="AA313" s="2" t="s">
        <v>53</v>
      </c>
      <c r="AB313" s="2">
        <v>7</v>
      </c>
      <c r="AC313" s="2">
        <f>SUMIF(N:N,Ecommerce_Consumer_Behavior_Analysis_Data3[[#This Row],[Brand_Loyalty]],M:M)</f>
        <v>641</v>
      </c>
      <c r="AD313" s="2" t="e" cm="1" vm="1">
        <f t="array" aca="1" ref="AD313" ca="1">SUMIFS(Y:Y,Ecommerce_Consumer_Behavior_Analysis_Data3[[#This Row],[Payment_Method]],V:V)</f>
        <v>#VALUE!</v>
      </c>
      <c r="AE313" s="2">
        <f t="shared" si="8"/>
        <v>333.8</v>
      </c>
    </row>
    <row r="314" spans="1:31" x14ac:dyDescent="0.25">
      <c r="A314" s="2" t="s">
        <v>711</v>
      </c>
      <c r="B314" s="2">
        <v>40</v>
      </c>
      <c r="C314" s="2" t="s">
        <v>43</v>
      </c>
      <c r="D314" s="2" t="s">
        <v>44</v>
      </c>
      <c r="E314" s="2" t="s">
        <v>55</v>
      </c>
      <c r="F314" s="2" t="s">
        <v>32</v>
      </c>
      <c r="G314" s="2" t="s">
        <v>30</v>
      </c>
      <c r="H314" s="2" t="s">
        <v>712</v>
      </c>
      <c r="I314" s="2" t="s">
        <v>123</v>
      </c>
      <c r="J314" s="2">
        <v>333.63</v>
      </c>
      <c r="K314" s="2">
        <v>8</v>
      </c>
      <c r="L314" s="2" t="s">
        <v>35</v>
      </c>
      <c r="M314" s="2">
        <v>4</v>
      </c>
      <c r="N314" s="2">
        <v>5</v>
      </c>
      <c r="O314" s="2">
        <v>2</v>
      </c>
      <c r="P314" s="2" t="s">
        <v>36</v>
      </c>
      <c r="Q314" s="2" t="s">
        <v>85</v>
      </c>
      <c r="R314" s="2">
        <v>2</v>
      </c>
      <c r="S314" s="2">
        <v>2</v>
      </c>
      <c r="T314" s="2" t="s">
        <v>44</v>
      </c>
      <c r="U314" s="2" t="s">
        <v>60</v>
      </c>
      <c r="V314" s="2" t="s">
        <v>66</v>
      </c>
      <c r="W314" s="3">
        <v>45631</v>
      </c>
      <c r="X314" s="2" t="b">
        <v>0</v>
      </c>
      <c r="Y314" s="2" t="b">
        <v>0</v>
      </c>
      <c r="Z314" s="2" t="s">
        <v>40</v>
      </c>
      <c r="AA314" s="2" t="s">
        <v>67</v>
      </c>
      <c r="AB314" s="2">
        <v>14</v>
      </c>
      <c r="AC314" s="2">
        <f>SUMIF(N:N,Ecommerce_Consumer_Behavior_Analysis_Data3[[#This Row],[Brand_Loyalty]],M:M)</f>
        <v>603</v>
      </c>
      <c r="AD314" s="2" t="e" cm="1" vm="1">
        <f t="array" aca="1" ref="AD314" ca="1">SUMIFS(Y:Y,Ecommerce_Consumer_Behavior_Analysis_Data3[[#This Row],[Payment_Method]],V:V)</f>
        <v>#VALUE!</v>
      </c>
      <c r="AE314" s="2">
        <f t="shared" si="8"/>
        <v>101.31</v>
      </c>
    </row>
    <row r="315" spans="1:31" x14ac:dyDescent="0.25">
      <c r="A315" s="2" t="s">
        <v>713</v>
      </c>
      <c r="B315" s="2">
        <v>42</v>
      </c>
      <c r="C315" s="2" t="s">
        <v>29</v>
      </c>
      <c r="D315" s="2" t="s">
        <v>44</v>
      </c>
      <c r="E315" s="2" t="s">
        <v>31</v>
      </c>
      <c r="F315" s="2" t="s">
        <v>32</v>
      </c>
      <c r="G315" s="2" t="s">
        <v>30</v>
      </c>
      <c r="H315" s="2" t="s">
        <v>714</v>
      </c>
      <c r="I315" s="2" t="s">
        <v>188</v>
      </c>
      <c r="J315" s="2">
        <v>469.9</v>
      </c>
      <c r="K315" s="2">
        <v>4</v>
      </c>
      <c r="L315" s="2" t="s">
        <v>35</v>
      </c>
      <c r="M315" s="2">
        <v>2</v>
      </c>
      <c r="N315" s="2">
        <v>5</v>
      </c>
      <c r="O315" s="2">
        <v>1</v>
      </c>
      <c r="P315" s="2" t="s">
        <v>59</v>
      </c>
      <c r="Q315" s="2" t="s">
        <v>50</v>
      </c>
      <c r="R315" s="2">
        <v>1</v>
      </c>
      <c r="S315" s="2">
        <v>7</v>
      </c>
      <c r="T315" s="2" t="s">
        <v>36</v>
      </c>
      <c r="U315" s="2" t="s">
        <v>79</v>
      </c>
      <c r="V315" s="2" t="s">
        <v>86</v>
      </c>
      <c r="W315" s="3">
        <v>45471</v>
      </c>
      <c r="X315" s="2" t="b">
        <v>0</v>
      </c>
      <c r="Y315" s="2" t="b">
        <v>0</v>
      </c>
      <c r="Z315" s="2" t="s">
        <v>74</v>
      </c>
      <c r="AA315" s="2" t="s">
        <v>41</v>
      </c>
      <c r="AB315" s="2">
        <v>7</v>
      </c>
      <c r="AC315" s="2">
        <f>SUMIF(N:N,Ecommerce_Consumer_Behavior_Analysis_Data3[[#This Row],[Brand_Loyalty]],M:M)</f>
        <v>582</v>
      </c>
      <c r="AD315" s="2" t="e" cm="1" vm="1">
        <f t="array" aca="1" ref="AD315" ca="1">SUMIFS(Y:Y,Ecommerce_Consumer_Behavior_Analysis_Data3[[#This Row],[Payment_Method]],V:V)</f>
        <v>#VALUE!</v>
      </c>
      <c r="AE315" s="2">
        <f t="shared" si="8"/>
        <v>101.31</v>
      </c>
    </row>
    <row r="316" spans="1:31" x14ac:dyDescent="0.25">
      <c r="A316" s="2" t="s">
        <v>715</v>
      </c>
      <c r="B316" s="2">
        <v>28</v>
      </c>
      <c r="C316" s="2" t="s">
        <v>43</v>
      </c>
      <c r="D316" s="2" t="s">
        <v>44</v>
      </c>
      <c r="E316" s="2" t="s">
        <v>31</v>
      </c>
      <c r="F316" s="2" t="s">
        <v>32</v>
      </c>
      <c r="G316" s="2" t="s">
        <v>44</v>
      </c>
      <c r="H316" s="2" t="s">
        <v>716</v>
      </c>
      <c r="I316" s="2" t="s">
        <v>93</v>
      </c>
      <c r="J316" s="2">
        <v>207.52</v>
      </c>
      <c r="K316" s="2">
        <v>4</v>
      </c>
      <c r="L316" s="2" t="s">
        <v>48</v>
      </c>
      <c r="M316" s="2">
        <v>3</v>
      </c>
      <c r="N316" s="2">
        <v>4</v>
      </c>
      <c r="O316" s="2">
        <v>1</v>
      </c>
      <c r="P316" s="2" t="s">
        <v>59</v>
      </c>
      <c r="Q316" s="2" t="s">
        <v>50</v>
      </c>
      <c r="R316" s="2">
        <v>1</v>
      </c>
      <c r="S316" s="2">
        <v>8</v>
      </c>
      <c r="T316" s="2" t="s">
        <v>44</v>
      </c>
      <c r="U316" s="2" t="s">
        <v>79</v>
      </c>
      <c r="V316" s="2" t="s">
        <v>61</v>
      </c>
      <c r="W316" s="3">
        <v>45510</v>
      </c>
      <c r="X316" s="2" t="b">
        <v>0</v>
      </c>
      <c r="Y316" s="2" t="b">
        <v>0</v>
      </c>
      <c r="Z316" s="2" t="s">
        <v>62</v>
      </c>
      <c r="AA316" s="2" t="s">
        <v>41</v>
      </c>
      <c r="AB316" s="2">
        <v>2</v>
      </c>
      <c r="AC316" s="2">
        <f>SUMIF(N:N,Ecommerce_Consumer_Behavior_Analysis_Data3[[#This Row],[Brand_Loyalty]],M:M)</f>
        <v>597</v>
      </c>
      <c r="AD316" s="2" t="e" cm="1" vm="1">
        <f t="array" aca="1" ref="AD316" ca="1">SUMIFS(Y:Y,Ecommerce_Consumer_Behavior_Analysis_Data3[[#This Row],[Payment_Method]],V:V)</f>
        <v>#VALUE!</v>
      </c>
      <c r="AE316" s="2">
        <f t="shared" si="8"/>
        <v>333.8</v>
      </c>
    </row>
    <row r="317" spans="1:31" x14ac:dyDescent="0.25">
      <c r="A317" s="2" t="s">
        <v>717</v>
      </c>
      <c r="B317" s="2">
        <v>49</v>
      </c>
      <c r="C317" s="2" t="s">
        <v>43</v>
      </c>
      <c r="D317" s="2" t="s">
        <v>44</v>
      </c>
      <c r="E317" s="2" t="s">
        <v>55</v>
      </c>
      <c r="F317" s="2" t="s">
        <v>32</v>
      </c>
      <c r="G317" s="2" t="s">
        <v>44</v>
      </c>
      <c r="H317" s="2" t="s">
        <v>718</v>
      </c>
      <c r="I317" s="2" t="s">
        <v>126</v>
      </c>
      <c r="J317" s="2">
        <v>125.89</v>
      </c>
      <c r="K317" s="2">
        <v>7</v>
      </c>
      <c r="L317" s="2" t="s">
        <v>48</v>
      </c>
      <c r="M317" s="2">
        <v>3</v>
      </c>
      <c r="N317" s="2">
        <v>3</v>
      </c>
      <c r="O317" s="2">
        <v>2</v>
      </c>
      <c r="P317" s="2" t="s">
        <v>59</v>
      </c>
      <c r="Q317" s="2" t="s">
        <v>50</v>
      </c>
      <c r="R317" s="2">
        <v>1</v>
      </c>
      <c r="S317" s="2">
        <v>6</v>
      </c>
      <c r="T317" s="2" t="s">
        <v>49</v>
      </c>
      <c r="U317" s="2" t="s">
        <v>79</v>
      </c>
      <c r="V317" s="2" t="s">
        <v>61</v>
      </c>
      <c r="W317" s="3">
        <v>45618</v>
      </c>
      <c r="X317" s="2" t="b">
        <v>0</v>
      </c>
      <c r="Y317" s="2" t="b">
        <v>0</v>
      </c>
      <c r="Z317" s="2" t="s">
        <v>52</v>
      </c>
      <c r="AA317" s="2" t="s">
        <v>41</v>
      </c>
      <c r="AB317" s="2">
        <v>13</v>
      </c>
      <c r="AC317" s="2">
        <f>SUMIF(N:N,Ecommerce_Consumer_Behavior_Analysis_Data3[[#This Row],[Brand_Loyalty]],M:M)</f>
        <v>597</v>
      </c>
      <c r="AD317" s="2" t="e" cm="1" vm="1">
        <f t="array" aca="1" ref="AD317" ca="1">SUMIFS(Y:Y,Ecommerce_Consumer_Behavior_Analysis_Data3[[#This Row],[Payment_Method]],V:V)</f>
        <v>#VALUE!</v>
      </c>
      <c r="AE317" s="2">
        <f t="shared" si="8"/>
        <v>101.31</v>
      </c>
    </row>
    <row r="318" spans="1:31" x14ac:dyDescent="0.25">
      <c r="A318" s="2" t="s">
        <v>719</v>
      </c>
      <c r="B318" s="2">
        <v>46</v>
      </c>
      <c r="C318" s="2" t="s">
        <v>29</v>
      </c>
      <c r="D318" s="2" t="s">
        <v>44</v>
      </c>
      <c r="E318" s="2" t="s">
        <v>55</v>
      </c>
      <c r="F318" s="2" t="s">
        <v>56</v>
      </c>
      <c r="G318" s="2" t="s">
        <v>30</v>
      </c>
      <c r="H318" s="2" t="s">
        <v>720</v>
      </c>
      <c r="I318" s="2" t="s">
        <v>117</v>
      </c>
      <c r="J318" s="2">
        <v>170.77</v>
      </c>
      <c r="K318" s="2">
        <v>9</v>
      </c>
      <c r="L318" s="2" t="s">
        <v>78</v>
      </c>
      <c r="M318" s="2">
        <v>5</v>
      </c>
      <c r="N318" s="2">
        <v>2</v>
      </c>
      <c r="O318" s="2">
        <v>1</v>
      </c>
      <c r="P318" s="2" t="s">
        <v>49</v>
      </c>
      <c r="Q318" s="2" t="s">
        <v>37</v>
      </c>
      <c r="R318" s="2">
        <v>2</v>
      </c>
      <c r="S318" s="2">
        <v>1</v>
      </c>
      <c r="T318" s="2" t="s">
        <v>59</v>
      </c>
      <c r="U318" s="2" t="s">
        <v>60</v>
      </c>
      <c r="V318" s="2" t="s">
        <v>39</v>
      </c>
      <c r="W318" s="3">
        <v>45508</v>
      </c>
      <c r="X318" s="2" t="b">
        <v>0</v>
      </c>
      <c r="Y318" s="2" t="b">
        <v>0</v>
      </c>
      <c r="Z318" s="2" t="s">
        <v>62</v>
      </c>
      <c r="AA318" s="2" t="s">
        <v>41</v>
      </c>
      <c r="AB318" s="2">
        <v>4</v>
      </c>
      <c r="AC318" s="2">
        <f>SUMIF(N:N,Ecommerce_Consumer_Behavior_Analysis_Data3[[#This Row],[Brand_Loyalty]],M:M)</f>
        <v>641</v>
      </c>
      <c r="AD318" s="2" t="e" cm="1" vm="1">
        <f t="array" aca="1" ref="AD318" ca="1">SUMIFS(Y:Y,Ecommerce_Consumer_Behavior_Analysis_Data3[[#This Row],[Payment_Method]],V:V)</f>
        <v>#VALUE!</v>
      </c>
      <c r="AE318" s="2">
        <f t="shared" si="8"/>
        <v>333.8</v>
      </c>
    </row>
    <row r="319" spans="1:31" x14ac:dyDescent="0.25">
      <c r="A319" s="2" t="s">
        <v>721</v>
      </c>
      <c r="B319" s="2">
        <v>44</v>
      </c>
      <c r="C319" s="2" t="s">
        <v>29</v>
      </c>
      <c r="D319" s="2" t="s">
        <v>44</v>
      </c>
      <c r="E319" s="2" t="s">
        <v>76</v>
      </c>
      <c r="F319" s="2" t="s">
        <v>56</v>
      </c>
      <c r="G319" s="2" t="s">
        <v>44</v>
      </c>
      <c r="H319" s="2" t="s">
        <v>722</v>
      </c>
      <c r="I319" s="2" t="s">
        <v>117</v>
      </c>
      <c r="J319" s="2">
        <v>63.91</v>
      </c>
      <c r="K319" s="2">
        <v>2</v>
      </c>
      <c r="L319" s="2" t="s">
        <v>78</v>
      </c>
      <c r="M319" s="2">
        <v>1</v>
      </c>
      <c r="N319" s="2">
        <v>4</v>
      </c>
      <c r="O319" s="2">
        <v>2</v>
      </c>
      <c r="P319" s="2" t="s">
        <v>36</v>
      </c>
      <c r="Q319" s="2" t="s">
        <v>50</v>
      </c>
      <c r="R319" s="2">
        <v>0</v>
      </c>
      <c r="S319" s="2">
        <v>6</v>
      </c>
      <c r="T319" s="2" t="s">
        <v>49</v>
      </c>
      <c r="U319" s="2" t="s">
        <v>60</v>
      </c>
      <c r="V319" s="2" t="s">
        <v>86</v>
      </c>
      <c r="W319" s="3">
        <v>45303</v>
      </c>
      <c r="X319" s="2" t="b">
        <v>0</v>
      </c>
      <c r="Y319" s="2" t="b">
        <v>1</v>
      </c>
      <c r="Z319" s="2" t="s">
        <v>74</v>
      </c>
      <c r="AA319" s="2" t="s">
        <v>41</v>
      </c>
      <c r="AB319" s="2">
        <v>12</v>
      </c>
      <c r="AC319" s="2">
        <f>SUMIF(N:N,Ecommerce_Consumer_Behavior_Analysis_Data3[[#This Row],[Brand_Loyalty]],M:M)</f>
        <v>603</v>
      </c>
      <c r="AD319" s="2" t="e" cm="1" vm="1">
        <f t="array" aca="1" ref="AD319" ca="1">SUMIFS(Y:Y,Ecommerce_Consumer_Behavior_Analysis_Data3[[#This Row],[Payment_Method]],V:V)</f>
        <v>#VALUE!</v>
      </c>
      <c r="AE319" s="2">
        <f t="shared" si="8"/>
        <v>211.7</v>
      </c>
    </row>
    <row r="320" spans="1:31" x14ac:dyDescent="0.25">
      <c r="A320" s="2" t="s">
        <v>723</v>
      </c>
      <c r="B320" s="2">
        <v>29</v>
      </c>
      <c r="C320" s="2" t="s">
        <v>43</v>
      </c>
      <c r="D320" s="2" t="s">
        <v>44</v>
      </c>
      <c r="E320" s="2" t="s">
        <v>31</v>
      </c>
      <c r="F320" s="2" t="s">
        <v>45</v>
      </c>
      <c r="G320" s="2" t="s">
        <v>30</v>
      </c>
      <c r="H320" s="2" t="s">
        <v>724</v>
      </c>
      <c r="I320" s="2" t="s">
        <v>183</v>
      </c>
      <c r="J320" s="2">
        <v>340.55</v>
      </c>
      <c r="K320" s="2">
        <v>7</v>
      </c>
      <c r="L320" s="2" t="s">
        <v>48</v>
      </c>
      <c r="M320" s="2">
        <v>4</v>
      </c>
      <c r="N320" s="2">
        <v>5</v>
      </c>
      <c r="O320" s="2">
        <v>0</v>
      </c>
      <c r="P320" s="2" t="s">
        <v>59</v>
      </c>
      <c r="Q320" s="2" t="s">
        <v>50</v>
      </c>
      <c r="R320" s="2">
        <v>0</v>
      </c>
      <c r="S320" s="2">
        <v>7</v>
      </c>
      <c r="T320" s="2" t="s">
        <v>36</v>
      </c>
      <c r="U320" s="2" t="s">
        <v>79</v>
      </c>
      <c r="V320" s="2" t="s">
        <v>39</v>
      </c>
      <c r="W320" s="3">
        <v>45615</v>
      </c>
      <c r="X320" s="2" t="b">
        <v>0</v>
      </c>
      <c r="Y320" s="2" t="b">
        <v>1</v>
      </c>
      <c r="Z320" s="2" t="s">
        <v>74</v>
      </c>
      <c r="AA320" s="2" t="s">
        <v>67</v>
      </c>
      <c r="AB320" s="2">
        <v>1</v>
      </c>
      <c r="AC320" s="2">
        <f>SUMIF(N:N,Ecommerce_Consumer_Behavior_Analysis_Data3[[#This Row],[Brand_Loyalty]],M:M)</f>
        <v>603</v>
      </c>
      <c r="AD320" s="2" t="e" cm="1" vm="1">
        <f t="array" aca="1" ref="AD320" ca="1">SUMIFS(Y:Y,Ecommerce_Consumer_Behavior_Analysis_Data3[[#This Row],[Payment_Method]],V:V)</f>
        <v>#VALUE!</v>
      </c>
      <c r="AE320" s="2">
        <f t="shared" si="8"/>
        <v>101.31</v>
      </c>
    </row>
    <row r="321" spans="1:31" x14ac:dyDescent="0.25">
      <c r="A321" s="2" t="s">
        <v>725</v>
      </c>
      <c r="B321" s="2">
        <v>47</v>
      </c>
      <c r="C321" s="2" t="s">
        <v>43</v>
      </c>
      <c r="D321" s="2" t="s">
        <v>30</v>
      </c>
      <c r="E321" s="2" t="s">
        <v>76</v>
      </c>
      <c r="F321" s="2" t="s">
        <v>32</v>
      </c>
      <c r="G321" s="2" t="s">
        <v>44</v>
      </c>
      <c r="H321" s="2" t="s">
        <v>726</v>
      </c>
      <c r="I321" s="2" t="s">
        <v>120</v>
      </c>
      <c r="J321" s="2">
        <v>378.14</v>
      </c>
      <c r="K321" s="2">
        <v>6</v>
      </c>
      <c r="L321" s="2" t="s">
        <v>35</v>
      </c>
      <c r="M321" s="2">
        <v>2</v>
      </c>
      <c r="N321" s="2">
        <v>2</v>
      </c>
      <c r="O321" s="2">
        <v>1</v>
      </c>
      <c r="P321" s="2" t="s">
        <v>49</v>
      </c>
      <c r="Q321" s="2" t="s">
        <v>85</v>
      </c>
      <c r="R321" s="2">
        <v>1</v>
      </c>
      <c r="S321" s="2">
        <v>6</v>
      </c>
      <c r="T321" s="2" t="s">
        <v>44</v>
      </c>
      <c r="U321" s="2" t="s">
        <v>60</v>
      </c>
      <c r="V321" s="2" t="s">
        <v>51</v>
      </c>
      <c r="W321" s="3">
        <v>45539</v>
      </c>
      <c r="X321" s="2" t="b">
        <v>0</v>
      </c>
      <c r="Y321" s="2" t="b">
        <v>0</v>
      </c>
      <c r="Z321" s="2" t="s">
        <v>52</v>
      </c>
      <c r="AA321" s="2" t="s">
        <v>53</v>
      </c>
      <c r="AB321" s="2">
        <v>7</v>
      </c>
      <c r="AC321" s="2">
        <f>SUMIF(N:N,Ecommerce_Consumer_Behavior_Analysis_Data3[[#This Row],[Brand_Loyalty]],M:M)</f>
        <v>582</v>
      </c>
      <c r="AD321" s="2" t="e" cm="1" vm="1">
        <f t="array" aca="1" ref="AD321" ca="1">SUMIFS(Y:Y,Ecommerce_Consumer_Behavior_Analysis_Data3[[#This Row],[Payment_Method]],V:V)</f>
        <v>#VALUE!</v>
      </c>
      <c r="AE321" s="2">
        <f t="shared" si="8"/>
        <v>211.7</v>
      </c>
    </row>
    <row r="322" spans="1:31" x14ac:dyDescent="0.25">
      <c r="A322" s="2" t="s">
        <v>727</v>
      </c>
      <c r="B322" s="2">
        <v>37</v>
      </c>
      <c r="C322" s="2" t="s">
        <v>29</v>
      </c>
      <c r="D322" s="2" t="s">
        <v>30</v>
      </c>
      <c r="E322" s="2" t="s">
        <v>31</v>
      </c>
      <c r="F322" s="2" t="s">
        <v>32</v>
      </c>
      <c r="G322" s="2" t="s">
        <v>30</v>
      </c>
      <c r="H322" s="2" t="s">
        <v>254</v>
      </c>
      <c r="I322" s="2" t="s">
        <v>126</v>
      </c>
      <c r="J322" s="2">
        <v>235.84</v>
      </c>
      <c r="K322" s="2">
        <v>9</v>
      </c>
      <c r="L322" s="2" t="s">
        <v>35</v>
      </c>
      <c r="M322" s="2">
        <v>5</v>
      </c>
      <c r="N322" s="2">
        <v>2</v>
      </c>
      <c r="O322" s="2">
        <v>0</v>
      </c>
      <c r="P322" s="2" t="s">
        <v>36</v>
      </c>
      <c r="Q322" s="2" t="s">
        <v>85</v>
      </c>
      <c r="R322" s="2">
        <v>2</v>
      </c>
      <c r="S322" s="2">
        <v>3</v>
      </c>
      <c r="T322" s="2" t="s">
        <v>36</v>
      </c>
      <c r="U322" s="2" t="s">
        <v>79</v>
      </c>
      <c r="V322" s="2" t="s">
        <v>86</v>
      </c>
      <c r="W322" s="3">
        <v>45507</v>
      </c>
      <c r="X322" s="2" t="b">
        <v>0</v>
      </c>
      <c r="Y322" s="2" t="b">
        <v>0</v>
      </c>
      <c r="Z322" s="2" t="s">
        <v>74</v>
      </c>
      <c r="AA322" s="2" t="s">
        <v>41</v>
      </c>
      <c r="AB322" s="2">
        <v>14</v>
      </c>
      <c r="AC322" s="2">
        <f>SUMIF(N:N,Ecommerce_Consumer_Behavior_Analysis_Data3[[#This Row],[Brand_Loyalty]],M:M)</f>
        <v>641</v>
      </c>
      <c r="AD322" s="2" t="e" cm="1" vm="1">
        <f t="array" aca="1" ref="AD322" ca="1">SUMIFS(Y:Y,Ecommerce_Consumer_Behavior_Analysis_Data3[[#This Row],[Payment_Method]],V:V)</f>
        <v>#VALUE!</v>
      </c>
      <c r="AE322" s="2">
        <f t="shared" ref="AE322:AE385" si="9">INDEX(J:J,MATCH(O323,O:O,0))</f>
        <v>333.8</v>
      </c>
    </row>
    <row r="323" spans="1:31" x14ac:dyDescent="0.25">
      <c r="A323" s="2" t="s">
        <v>728</v>
      </c>
      <c r="B323" s="2">
        <v>47</v>
      </c>
      <c r="C323" s="2" t="s">
        <v>43</v>
      </c>
      <c r="D323" s="2" t="s">
        <v>44</v>
      </c>
      <c r="E323" s="2" t="s">
        <v>69</v>
      </c>
      <c r="F323" s="2" t="s">
        <v>45</v>
      </c>
      <c r="G323" s="2" t="s">
        <v>30</v>
      </c>
      <c r="H323" s="2" t="s">
        <v>729</v>
      </c>
      <c r="I323" s="2" t="s">
        <v>135</v>
      </c>
      <c r="J323" s="2">
        <v>164.44</v>
      </c>
      <c r="K323" s="2">
        <v>5</v>
      </c>
      <c r="L323" s="2" t="s">
        <v>48</v>
      </c>
      <c r="M323" s="2">
        <v>5</v>
      </c>
      <c r="N323" s="2">
        <v>1</v>
      </c>
      <c r="O323" s="2">
        <v>2</v>
      </c>
      <c r="P323" s="2" t="s">
        <v>59</v>
      </c>
      <c r="Q323" s="2" t="s">
        <v>37</v>
      </c>
      <c r="R323" s="2">
        <v>1</v>
      </c>
      <c r="S323" s="2">
        <v>10</v>
      </c>
      <c r="T323" s="2" t="s">
        <v>44</v>
      </c>
      <c r="U323" s="2" t="s">
        <v>60</v>
      </c>
      <c r="V323" s="2" t="s">
        <v>66</v>
      </c>
      <c r="W323" s="3">
        <v>45390</v>
      </c>
      <c r="X323" s="2" t="b">
        <v>0</v>
      </c>
      <c r="Y323" s="2" t="b">
        <v>0</v>
      </c>
      <c r="Z323" s="2" t="s">
        <v>62</v>
      </c>
      <c r="AA323" s="2" t="s">
        <v>41</v>
      </c>
      <c r="AB323" s="2">
        <v>5</v>
      </c>
      <c r="AC323" s="2">
        <f>SUMIF(N:N,Ecommerce_Consumer_Behavior_Analysis_Data3[[#This Row],[Brand_Loyalty]],M:M)</f>
        <v>641</v>
      </c>
      <c r="AD323" s="2" t="e" cm="1" vm="1">
        <f t="array" aca="1" ref="AD323" ca="1">SUMIFS(Y:Y,Ecommerce_Consumer_Behavior_Analysis_Data3[[#This Row],[Payment_Method]],V:V)</f>
        <v>#VALUE!</v>
      </c>
      <c r="AE323" s="2">
        <f t="shared" si="9"/>
        <v>101.31</v>
      </c>
    </row>
    <row r="324" spans="1:31" x14ac:dyDescent="0.25">
      <c r="A324" s="2" t="s">
        <v>730</v>
      </c>
      <c r="B324" s="2">
        <v>24</v>
      </c>
      <c r="C324" s="2" t="s">
        <v>43</v>
      </c>
      <c r="D324" s="2" t="s">
        <v>44</v>
      </c>
      <c r="E324" s="2" t="s">
        <v>31</v>
      </c>
      <c r="F324" s="2" t="s">
        <v>32</v>
      </c>
      <c r="G324" s="2" t="s">
        <v>44</v>
      </c>
      <c r="H324" s="2" t="s">
        <v>731</v>
      </c>
      <c r="I324" s="2" t="s">
        <v>90</v>
      </c>
      <c r="J324" s="2">
        <v>455.81</v>
      </c>
      <c r="K324" s="2">
        <v>3</v>
      </c>
      <c r="L324" s="2" t="s">
        <v>78</v>
      </c>
      <c r="M324" s="2">
        <v>2</v>
      </c>
      <c r="N324" s="2">
        <v>3</v>
      </c>
      <c r="O324" s="2">
        <v>1</v>
      </c>
      <c r="P324" s="2" t="s">
        <v>59</v>
      </c>
      <c r="Q324" s="2" t="s">
        <v>37</v>
      </c>
      <c r="R324" s="2">
        <v>1</v>
      </c>
      <c r="S324" s="2">
        <v>6</v>
      </c>
      <c r="T324" s="2" t="s">
        <v>49</v>
      </c>
      <c r="U324" s="2" t="s">
        <v>60</v>
      </c>
      <c r="V324" s="2" t="s">
        <v>61</v>
      </c>
      <c r="W324" s="3">
        <v>45403</v>
      </c>
      <c r="X324" s="2" t="b">
        <v>0</v>
      </c>
      <c r="Y324" s="2" t="b">
        <v>0</v>
      </c>
      <c r="Z324" s="2" t="s">
        <v>52</v>
      </c>
      <c r="AA324" s="2" t="s">
        <v>67</v>
      </c>
      <c r="AB324" s="2">
        <v>6</v>
      </c>
      <c r="AC324" s="2">
        <f>SUMIF(N:N,Ecommerce_Consumer_Behavior_Analysis_Data3[[#This Row],[Brand_Loyalty]],M:M)</f>
        <v>582</v>
      </c>
      <c r="AD324" s="2" t="e" cm="1" vm="1">
        <f t="array" aca="1" ref="AD324" ca="1">SUMIFS(Y:Y,Ecommerce_Consumer_Behavior_Analysis_Data3[[#This Row],[Payment_Method]],V:V)</f>
        <v>#VALUE!</v>
      </c>
      <c r="AE324" s="2">
        <f t="shared" si="9"/>
        <v>101.31</v>
      </c>
    </row>
    <row r="325" spans="1:31" x14ac:dyDescent="0.25">
      <c r="A325" s="2" t="s">
        <v>732</v>
      </c>
      <c r="B325" s="2">
        <v>36</v>
      </c>
      <c r="C325" s="2" t="s">
        <v>43</v>
      </c>
      <c r="D325" s="2" t="s">
        <v>44</v>
      </c>
      <c r="E325" s="2" t="s">
        <v>69</v>
      </c>
      <c r="F325" s="2" t="s">
        <v>56</v>
      </c>
      <c r="G325" s="2" t="s">
        <v>44</v>
      </c>
      <c r="H325" s="2" t="s">
        <v>733</v>
      </c>
      <c r="I325" s="2" t="s">
        <v>104</v>
      </c>
      <c r="J325" s="2">
        <v>298.32</v>
      </c>
      <c r="K325" s="2">
        <v>7</v>
      </c>
      <c r="L325" s="2" t="s">
        <v>48</v>
      </c>
      <c r="M325" s="2">
        <v>3</v>
      </c>
      <c r="N325" s="2">
        <v>5</v>
      </c>
      <c r="O325" s="2">
        <v>1</v>
      </c>
      <c r="P325" s="2" t="s">
        <v>59</v>
      </c>
      <c r="Q325" s="2" t="s">
        <v>37</v>
      </c>
      <c r="R325" s="2">
        <v>2</v>
      </c>
      <c r="S325" s="2">
        <v>8</v>
      </c>
      <c r="T325" s="2" t="s">
        <v>36</v>
      </c>
      <c r="U325" s="2" t="s">
        <v>38</v>
      </c>
      <c r="V325" s="2" t="s">
        <v>66</v>
      </c>
      <c r="W325" s="3">
        <v>45460</v>
      </c>
      <c r="X325" s="2" t="b">
        <v>1</v>
      </c>
      <c r="Y325" s="2" t="b">
        <v>0</v>
      </c>
      <c r="Z325" s="2" t="s">
        <v>52</v>
      </c>
      <c r="AA325" s="2" t="s">
        <v>53</v>
      </c>
      <c r="AB325" s="2">
        <v>12</v>
      </c>
      <c r="AC325" s="2">
        <f>SUMIF(N:N,Ecommerce_Consumer_Behavior_Analysis_Data3[[#This Row],[Brand_Loyalty]],M:M)</f>
        <v>597</v>
      </c>
      <c r="AD325" s="2" t="e" cm="1" vm="1">
        <f t="array" aca="1" ref="AD325" ca="1">SUMIFS(Y:Y,Ecommerce_Consumer_Behavior_Analysis_Data3[[#This Row],[Payment_Method]],V:V)</f>
        <v>#VALUE!</v>
      </c>
      <c r="AE325" s="2">
        <f t="shared" si="9"/>
        <v>211.7</v>
      </c>
    </row>
    <row r="326" spans="1:31" x14ac:dyDescent="0.25">
      <c r="A326" s="2" t="s">
        <v>734</v>
      </c>
      <c r="B326" s="2">
        <v>36</v>
      </c>
      <c r="C326" s="2" t="s">
        <v>29</v>
      </c>
      <c r="D326" s="2" t="s">
        <v>44</v>
      </c>
      <c r="E326" s="2" t="s">
        <v>55</v>
      </c>
      <c r="F326" s="2" t="s">
        <v>32</v>
      </c>
      <c r="G326" s="2" t="s">
        <v>44</v>
      </c>
      <c r="H326" s="2" t="s">
        <v>735</v>
      </c>
      <c r="I326" s="2" t="s">
        <v>107</v>
      </c>
      <c r="J326" s="2">
        <v>351.71</v>
      </c>
      <c r="K326" s="2">
        <v>7</v>
      </c>
      <c r="L326" s="2" t="s">
        <v>48</v>
      </c>
      <c r="M326" s="2">
        <v>2</v>
      </c>
      <c r="N326" s="2">
        <v>2</v>
      </c>
      <c r="O326" s="2">
        <v>0</v>
      </c>
      <c r="P326" s="2" t="s">
        <v>49</v>
      </c>
      <c r="Q326" s="2" t="s">
        <v>85</v>
      </c>
      <c r="R326" s="2">
        <v>1</v>
      </c>
      <c r="S326" s="2">
        <v>6</v>
      </c>
      <c r="T326" s="2" t="s">
        <v>49</v>
      </c>
      <c r="U326" s="2" t="s">
        <v>38</v>
      </c>
      <c r="V326" s="2" t="s">
        <v>66</v>
      </c>
      <c r="W326" s="3">
        <v>45370</v>
      </c>
      <c r="X326" s="2" t="b">
        <v>1</v>
      </c>
      <c r="Y326" s="2" t="b">
        <v>0</v>
      </c>
      <c r="Z326" s="2" t="s">
        <v>40</v>
      </c>
      <c r="AA326" s="2" t="s">
        <v>53</v>
      </c>
      <c r="AB326" s="2">
        <v>8</v>
      </c>
      <c r="AC326" s="2">
        <f>SUMIF(N:N,Ecommerce_Consumer_Behavior_Analysis_Data3[[#This Row],[Brand_Loyalty]],M:M)</f>
        <v>582</v>
      </c>
      <c r="AD326" s="2" t="e" cm="1" vm="1">
        <f t="array" aca="1" ref="AD326" ca="1">SUMIFS(Y:Y,Ecommerce_Consumer_Behavior_Analysis_Data3[[#This Row],[Payment_Method]],V:V)</f>
        <v>#VALUE!</v>
      </c>
      <c r="AE326" s="2">
        <f t="shared" si="9"/>
        <v>211.7</v>
      </c>
    </row>
    <row r="327" spans="1:31" x14ac:dyDescent="0.25">
      <c r="A327" s="2" t="s">
        <v>736</v>
      </c>
      <c r="B327" s="2">
        <v>49</v>
      </c>
      <c r="C327" s="2" t="s">
        <v>43</v>
      </c>
      <c r="D327" s="2" t="s">
        <v>30</v>
      </c>
      <c r="E327" s="2" t="s">
        <v>76</v>
      </c>
      <c r="F327" s="2" t="s">
        <v>32</v>
      </c>
      <c r="G327" s="2" t="s">
        <v>30</v>
      </c>
      <c r="H327" s="2" t="s">
        <v>737</v>
      </c>
      <c r="I327" s="2" t="s">
        <v>126</v>
      </c>
      <c r="J327" s="2">
        <v>393.48</v>
      </c>
      <c r="K327" s="2">
        <v>11</v>
      </c>
      <c r="L327" s="2" t="s">
        <v>48</v>
      </c>
      <c r="M327" s="2">
        <v>2</v>
      </c>
      <c r="N327" s="2">
        <v>2</v>
      </c>
      <c r="O327" s="2">
        <v>0</v>
      </c>
      <c r="P327" s="2" t="s">
        <v>44</v>
      </c>
      <c r="Q327" s="2" t="s">
        <v>85</v>
      </c>
      <c r="R327" s="2">
        <v>1</v>
      </c>
      <c r="S327" s="2">
        <v>10</v>
      </c>
      <c r="T327" s="2" t="s">
        <v>36</v>
      </c>
      <c r="U327" s="2" t="s">
        <v>38</v>
      </c>
      <c r="V327" s="2" t="s">
        <v>66</v>
      </c>
      <c r="W327" s="3">
        <v>45517</v>
      </c>
      <c r="X327" s="2" t="b">
        <v>1</v>
      </c>
      <c r="Y327" s="2" t="b">
        <v>1</v>
      </c>
      <c r="Z327" s="2" t="s">
        <v>40</v>
      </c>
      <c r="AA327" s="2" t="s">
        <v>53</v>
      </c>
      <c r="AB327" s="2">
        <v>3</v>
      </c>
      <c r="AC327" s="2">
        <f>SUMIF(N:N,Ecommerce_Consumer_Behavior_Analysis_Data3[[#This Row],[Brand_Loyalty]],M:M)</f>
        <v>582</v>
      </c>
      <c r="AD327" s="2" t="e" cm="1" vm="1">
        <f t="array" aca="1" ref="AD327" ca="1">SUMIFS(Y:Y,Ecommerce_Consumer_Behavior_Analysis_Data3[[#This Row],[Payment_Method]],V:V)</f>
        <v>#VALUE!</v>
      </c>
      <c r="AE327" s="2">
        <f t="shared" si="9"/>
        <v>101.31</v>
      </c>
    </row>
    <row r="328" spans="1:31" x14ac:dyDescent="0.25">
      <c r="A328" s="2" t="s">
        <v>738</v>
      </c>
      <c r="B328" s="2">
        <v>19</v>
      </c>
      <c r="C328" s="2" t="s">
        <v>148</v>
      </c>
      <c r="D328" s="2" t="s">
        <v>44</v>
      </c>
      <c r="E328" s="2" t="s">
        <v>55</v>
      </c>
      <c r="F328" s="2" t="s">
        <v>45</v>
      </c>
      <c r="G328" s="2" t="s">
        <v>44</v>
      </c>
      <c r="H328" s="2" t="s">
        <v>739</v>
      </c>
      <c r="I328" s="2" t="s">
        <v>58</v>
      </c>
      <c r="J328" s="2">
        <v>241.72</v>
      </c>
      <c r="K328" s="2">
        <v>6</v>
      </c>
      <c r="L328" s="2" t="s">
        <v>35</v>
      </c>
      <c r="M328" s="2">
        <v>5</v>
      </c>
      <c r="N328" s="2">
        <v>2</v>
      </c>
      <c r="O328" s="2">
        <v>1</v>
      </c>
      <c r="P328" s="2" t="s">
        <v>49</v>
      </c>
      <c r="Q328" s="2" t="s">
        <v>50</v>
      </c>
      <c r="R328" s="2">
        <v>0</v>
      </c>
      <c r="S328" s="2">
        <v>8</v>
      </c>
      <c r="T328" s="2" t="s">
        <v>44</v>
      </c>
      <c r="U328" s="2" t="s">
        <v>79</v>
      </c>
      <c r="V328" s="2" t="s">
        <v>61</v>
      </c>
      <c r="W328" s="3">
        <v>45441</v>
      </c>
      <c r="X328" s="2" t="b">
        <v>0</v>
      </c>
      <c r="Y328" s="2" t="b">
        <v>1</v>
      </c>
      <c r="Z328" s="2" t="s">
        <v>74</v>
      </c>
      <c r="AA328" s="2" t="s">
        <v>67</v>
      </c>
      <c r="AB328" s="2">
        <v>2</v>
      </c>
      <c r="AC328" s="2">
        <f>SUMIF(N:N,Ecommerce_Consumer_Behavior_Analysis_Data3[[#This Row],[Brand_Loyalty]],M:M)</f>
        <v>641</v>
      </c>
      <c r="AD328" s="2" t="e" cm="1" vm="1">
        <f t="array" aca="1" ref="AD328" ca="1">SUMIFS(Y:Y,Ecommerce_Consumer_Behavior_Analysis_Data3[[#This Row],[Payment_Method]],V:V)</f>
        <v>#VALUE!</v>
      </c>
      <c r="AE328" s="2">
        <f t="shared" si="9"/>
        <v>211.7</v>
      </c>
    </row>
    <row r="329" spans="1:31" x14ac:dyDescent="0.25">
      <c r="A329" s="2" t="s">
        <v>740</v>
      </c>
      <c r="B329" s="2">
        <v>27</v>
      </c>
      <c r="C329" s="2" t="s">
        <v>29</v>
      </c>
      <c r="D329" s="2" t="s">
        <v>44</v>
      </c>
      <c r="E329" s="2" t="s">
        <v>55</v>
      </c>
      <c r="F329" s="2" t="s">
        <v>32</v>
      </c>
      <c r="G329" s="2" t="s">
        <v>44</v>
      </c>
      <c r="H329" s="2" t="s">
        <v>645</v>
      </c>
      <c r="I329" s="2" t="s">
        <v>120</v>
      </c>
      <c r="J329" s="2">
        <v>280.2</v>
      </c>
      <c r="K329" s="2">
        <v>3</v>
      </c>
      <c r="L329" s="2" t="s">
        <v>48</v>
      </c>
      <c r="M329" s="2">
        <v>4</v>
      </c>
      <c r="N329" s="2">
        <v>2</v>
      </c>
      <c r="O329" s="2">
        <v>0</v>
      </c>
      <c r="P329" s="2" t="s">
        <v>49</v>
      </c>
      <c r="Q329" s="2" t="s">
        <v>37</v>
      </c>
      <c r="R329" s="2">
        <v>2</v>
      </c>
      <c r="S329" s="2">
        <v>7</v>
      </c>
      <c r="T329" s="2" t="s">
        <v>36</v>
      </c>
      <c r="U329" s="2" t="s">
        <v>79</v>
      </c>
      <c r="V329" s="2" t="s">
        <v>66</v>
      </c>
      <c r="W329" s="3">
        <v>45629</v>
      </c>
      <c r="X329" s="2" t="b">
        <v>0</v>
      </c>
      <c r="Y329" s="2" t="b">
        <v>0</v>
      </c>
      <c r="Z329" s="2" t="s">
        <v>40</v>
      </c>
      <c r="AA329" s="2" t="s">
        <v>41</v>
      </c>
      <c r="AB329" s="2">
        <v>13</v>
      </c>
      <c r="AC329" s="2">
        <f>SUMIF(N:N,Ecommerce_Consumer_Behavior_Analysis_Data3[[#This Row],[Brand_Loyalty]],M:M)</f>
        <v>603</v>
      </c>
      <c r="AD329" s="2" t="e" cm="1" vm="1">
        <f t="array" aca="1" ref="AD329" ca="1">SUMIFS(Y:Y,Ecommerce_Consumer_Behavior_Analysis_Data3[[#This Row],[Payment_Method]],V:V)</f>
        <v>#VALUE!</v>
      </c>
      <c r="AE329" s="2">
        <f t="shared" si="9"/>
        <v>333.8</v>
      </c>
    </row>
    <row r="330" spans="1:31" x14ac:dyDescent="0.25">
      <c r="A330" s="2" t="s">
        <v>741</v>
      </c>
      <c r="B330" s="2">
        <v>36</v>
      </c>
      <c r="C330" s="2" t="s">
        <v>29</v>
      </c>
      <c r="D330" s="2" t="s">
        <v>30</v>
      </c>
      <c r="E330" s="2" t="s">
        <v>55</v>
      </c>
      <c r="F330" s="2" t="s">
        <v>56</v>
      </c>
      <c r="G330" s="2" t="s">
        <v>30</v>
      </c>
      <c r="H330" s="2" t="s">
        <v>742</v>
      </c>
      <c r="I330" s="2" t="s">
        <v>142</v>
      </c>
      <c r="J330" s="2">
        <v>178.04</v>
      </c>
      <c r="K330" s="2">
        <v>5</v>
      </c>
      <c r="L330" s="2" t="s">
        <v>35</v>
      </c>
      <c r="M330" s="2">
        <v>1</v>
      </c>
      <c r="N330" s="2">
        <v>1</v>
      </c>
      <c r="O330" s="2">
        <v>2</v>
      </c>
      <c r="P330" s="2" t="s">
        <v>36</v>
      </c>
      <c r="Q330" s="2" t="s">
        <v>37</v>
      </c>
      <c r="R330" s="2">
        <v>2</v>
      </c>
      <c r="S330" s="2">
        <v>10</v>
      </c>
      <c r="T330" s="2" t="s">
        <v>44</v>
      </c>
      <c r="U330" s="2" t="s">
        <v>60</v>
      </c>
      <c r="V330" s="2" t="s">
        <v>39</v>
      </c>
      <c r="W330" s="3">
        <v>45554</v>
      </c>
      <c r="X330" s="2" t="b">
        <v>1</v>
      </c>
      <c r="Y330" s="2" t="b">
        <v>1</v>
      </c>
      <c r="Z330" s="2" t="s">
        <v>62</v>
      </c>
      <c r="AA330" s="2" t="s">
        <v>67</v>
      </c>
      <c r="AB330" s="2">
        <v>11</v>
      </c>
      <c r="AC330" s="2">
        <f>SUMIF(N:N,Ecommerce_Consumer_Behavior_Analysis_Data3[[#This Row],[Brand_Loyalty]],M:M)</f>
        <v>603</v>
      </c>
      <c r="AD330" s="2" t="e" cm="1" vm="1">
        <f t="array" aca="1" ref="AD330" ca="1">SUMIFS(Y:Y,Ecommerce_Consumer_Behavior_Analysis_Data3[[#This Row],[Payment_Method]],V:V)</f>
        <v>#VALUE!</v>
      </c>
      <c r="AE330" s="2">
        <f t="shared" si="9"/>
        <v>101.31</v>
      </c>
    </row>
    <row r="331" spans="1:31" x14ac:dyDescent="0.25">
      <c r="A331" s="2" t="s">
        <v>743</v>
      </c>
      <c r="B331" s="2">
        <v>37</v>
      </c>
      <c r="C331" s="2" t="s">
        <v>43</v>
      </c>
      <c r="D331" s="2" t="s">
        <v>44</v>
      </c>
      <c r="E331" s="2" t="s">
        <v>31</v>
      </c>
      <c r="F331" s="2" t="s">
        <v>56</v>
      </c>
      <c r="G331" s="2" t="s">
        <v>30</v>
      </c>
      <c r="H331" s="2" t="s">
        <v>744</v>
      </c>
      <c r="I331" s="2" t="s">
        <v>114</v>
      </c>
      <c r="J331" s="2">
        <v>347.99</v>
      </c>
      <c r="K331" s="2">
        <v>5</v>
      </c>
      <c r="L331" s="2" t="s">
        <v>35</v>
      </c>
      <c r="M331" s="2">
        <v>4</v>
      </c>
      <c r="N331" s="2">
        <v>4</v>
      </c>
      <c r="O331" s="2">
        <v>1</v>
      </c>
      <c r="P331" s="2" t="s">
        <v>59</v>
      </c>
      <c r="Q331" s="2" t="s">
        <v>37</v>
      </c>
      <c r="R331" s="2">
        <v>0</v>
      </c>
      <c r="S331" s="2">
        <v>1</v>
      </c>
      <c r="T331" s="2" t="s">
        <v>44</v>
      </c>
      <c r="U331" s="2" t="s">
        <v>79</v>
      </c>
      <c r="V331" s="2" t="s">
        <v>51</v>
      </c>
      <c r="W331" s="3">
        <v>45373</v>
      </c>
      <c r="X331" s="2" t="b">
        <v>1</v>
      </c>
      <c r="Y331" s="2" t="b">
        <v>0</v>
      </c>
      <c r="Z331" s="2" t="s">
        <v>74</v>
      </c>
      <c r="AA331" s="2" t="s">
        <v>53</v>
      </c>
      <c r="AB331" s="2">
        <v>6</v>
      </c>
      <c r="AC331" s="2">
        <f>SUMIF(N:N,Ecommerce_Consumer_Behavior_Analysis_Data3[[#This Row],[Brand_Loyalty]],M:M)</f>
        <v>603</v>
      </c>
      <c r="AD331" s="2" t="e" cm="1" vm="1">
        <f t="array" aca="1" ref="AD331" ca="1">SUMIFS(Y:Y,Ecommerce_Consumer_Behavior_Analysis_Data3[[#This Row],[Payment_Method]],V:V)</f>
        <v>#VALUE!</v>
      </c>
      <c r="AE331" s="2">
        <f t="shared" si="9"/>
        <v>211.7</v>
      </c>
    </row>
    <row r="332" spans="1:31" x14ac:dyDescent="0.25">
      <c r="A332" s="2" t="s">
        <v>745</v>
      </c>
      <c r="B332" s="2">
        <v>45</v>
      </c>
      <c r="C332" s="2" t="s">
        <v>29</v>
      </c>
      <c r="D332" s="2" t="s">
        <v>30</v>
      </c>
      <c r="E332" s="2" t="s">
        <v>55</v>
      </c>
      <c r="F332" s="2" t="s">
        <v>56</v>
      </c>
      <c r="G332" s="2" t="s">
        <v>44</v>
      </c>
      <c r="H332" s="2" t="s">
        <v>746</v>
      </c>
      <c r="I332" s="2" t="s">
        <v>58</v>
      </c>
      <c r="J332" s="2">
        <v>343.81</v>
      </c>
      <c r="K332" s="2">
        <v>3</v>
      </c>
      <c r="L332" s="2" t="s">
        <v>48</v>
      </c>
      <c r="M332" s="2">
        <v>3</v>
      </c>
      <c r="N332" s="2">
        <v>5</v>
      </c>
      <c r="O332" s="2">
        <v>0</v>
      </c>
      <c r="P332" s="2" t="s">
        <v>44</v>
      </c>
      <c r="Q332" s="2" t="s">
        <v>37</v>
      </c>
      <c r="R332" s="2">
        <v>0</v>
      </c>
      <c r="S332" s="2">
        <v>7</v>
      </c>
      <c r="T332" s="2" t="s">
        <v>49</v>
      </c>
      <c r="U332" s="2" t="s">
        <v>79</v>
      </c>
      <c r="V332" s="2" t="s">
        <v>39</v>
      </c>
      <c r="W332" s="3">
        <v>45344</v>
      </c>
      <c r="X332" s="2" t="b">
        <v>0</v>
      </c>
      <c r="Y332" s="2" t="b">
        <v>1</v>
      </c>
      <c r="Z332" s="2" t="s">
        <v>40</v>
      </c>
      <c r="AA332" s="2" t="s">
        <v>53</v>
      </c>
      <c r="AB332" s="2">
        <v>3</v>
      </c>
      <c r="AC332" s="2">
        <f>SUMIF(N:N,Ecommerce_Consumer_Behavior_Analysis_Data3[[#This Row],[Brand_Loyalty]],M:M)</f>
        <v>597</v>
      </c>
      <c r="AD332" s="2" t="e" cm="1" vm="1">
        <f t="array" aca="1" ref="AD332" ca="1">SUMIFS(Y:Y,Ecommerce_Consumer_Behavior_Analysis_Data3[[#This Row],[Payment_Method]],V:V)</f>
        <v>#VALUE!</v>
      </c>
      <c r="AE332" s="2">
        <f t="shared" si="9"/>
        <v>211.7</v>
      </c>
    </row>
    <row r="333" spans="1:31" x14ac:dyDescent="0.25">
      <c r="A333" s="2" t="s">
        <v>747</v>
      </c>
      <c r="B333" s="2">
        <v>47</v>
      </c>
      <c r="C333" s="2" t="s">
        <v>29</v>
      </c>
      <c r="D333" s="2" t="s">
        <v>30</v>
      </c>
      <c r="E333" s="2" t="s">
        <v>31</v>
      </c>
      <c r="F333" s="2" t="s">
        <v>56</v>
      </c>
      <c r="G333" s="2" t="s">
        <v>30</v>
      </c>
      <c r="H333" s="2" t="s">
        <v>748</v>
      </c>
      <c r="I333" s="2" t="s">
        <v>101</v>
      </c>
      <c r="J333" s="2">
        <v>105.29</v>
      </c>
      <c r="K333" s="2">
        <v>7</v>
      </c>
      <c r="L333" s="2" t="s">
        <v>48</v>
      </c>
      <c r="M333" s="2">
        <v>2</v>
      </c>
      <c r="N333" s="2">
        <v>5</v>
      </c>
      <c r="O333" s="2">
        <v>0</v>
      </c>
      <c r="P333" s="2" t="s">
        <v>59</v>
      </c>
      <c r="Q333" s="2" t="s">
        <v>85</v>
      </c>
      <c r="R333" s="2">
        <v>0</v>
      </c>
      <c r="S333" s="2">
        <v>1</v>
      </c>
      <c r="T333" s="2" t="s">
        <v>44</v>
      </c>
      <c r="U333" s="2" t="s">
        <v>79</v>
      </c>
      <c r="V333" s="2" t="s">
        <v>86</v>
      </c>
      <c r="W333" s="3">
        <v>45651</v>
      </c>
      <c r="X333" s="2" t="b">
        <v>0</v>
      </c>
      <c r="Y333" s="2" t="b">
        <v>1</v>
      </c>
      <c r="Z333" s="2" t="s">
        <v>40</v>
      </c>
      <c r="AA333" s="2" t="s">
        <v>67</v>
      </c>
      <c r="AB333" s="2">
        <v>4</v>
      </c>
      <c r="AC333" s="2">
        <f>SUMIF(N:N,Ecommerce_Consumer_Behavior_Analysis_Data3[[#This Row],[Brand_Loyalty]],M:M)</f>
        <v>582</v>
      </c>
      <c r="AD333" s="2" t="e" cm="1" vm="1">
        <f t="array" aca="1" ref="AD333" ca="1">SUMIFS(Y:Y,Ecommerce_Consumer_Behavior_Analysis_Data3[[#This Row],[Payment_Method]],V:V)</f>
        <v>#VALUE!</v>
      </c>
      <c r="AE333" s="2">
        <f t="shared" si="9"/>
        <v>101.31</v>
      </c>
    </row>
    <row r="334" spans="1:31" x14ac:dyDescent="0.25">
      <c r="A334" s="2" t="s">
        <v>749</v>
      </c>
      <c r="B334" s="2">
        <v>32</v>
      </c>
      <c r="C334" s="2" t="s">
        <v>43</v>
      </c>
      <c r="D334" s="2" t="s">
        <v>30</v>
      </c>
      <c r="E334" s="2" t="s">
        <v>55</v>
      </c>
      <c r="F334" s="2" t="s">
        <v>45</v>
      </c>
      <c r="G334" s="2" t="s">
        <v>30</v>
      </c>
      <c r="H334" s="2" t="s">
        <v>750</v>
      </c>
      <c r="I334" s="2" t="s">
        <v>107</v>
      </c>
      <c r="J334" s="2">
        <v>483.66</v>
      </c>
      <c r="K334" s="2">
        <v>3</v>
      </c>
      <c r="L334" s="2" t="s">
        <v>78</v>
      </c>
      <c r="M334" s="2">
        <v>1</v>
      </c>
      <c r="N334" s="2">
        <v>4</v>
      </c>
      <c r="O334" s="2">
        <v>1</v>
      </c>
      <c r="P334" s="2" t="s">
        <v>49</v>
      </c>
      <c r="Q334" s="2" t="s">
        <v>50</v>
      </c>
      <c r="R334" s="2">
        <v>2</v>
      </c>
      <c r="S334" s="2">
        <v>1</v>
      </c>
      <c r="T334" s="2" t="s">
        <v>49</v>
      </c>
      <c r="U334" s="2" t="s">
        <v>79</v>
      </c>
      <c r="V334" s="2" t="s">
        <v>66</v>
      </c>
      <c r="W334" s="3">
        <v>45531</v>
      </c>
      <c r="X334" s="2" t="b">
        <v>0</v>
      </c>
      <c r="Y334" s="2" t="b">
        <v>0</v>
      </c>
      <c r="Z334" s="2" t="s">
        <v>62</v>
      </c>
      <c r="AA334" s="2" t="s">
        <v>53</v>
      </c>
      <c r="AB334" s="2">
        <v>9</v>
      </c>
      <c r="AC334" s="2">
        <f>SUMIF(N:N,Ecommerce_Consumer_Behavior_Analysis_Data3[[#This Row],[Brand_Loyalty]],M:M)</f>
        <v>603</v>
      </c>
      <c r="AD334" s="2" t="e" cm="1" vm="1">
        <f t="array" aca="1" ref="AD334" ca="1">SUMIFS(Y:Y,Ecommerce_Consumer_Behavior_Analysis_Data3[[#This Row],[Payment_Method]],V:V)</f>
        <v>#VALUE!</v>
      </c>
      <c r="AE334" s="2">
        <f t="shared" si="9"/>
        <v>211.7</v>
      </c>
    </row>
    <row r="335" spans="1:31" x14ac:dyDescent="0.25">
      <c r="A335" s="2" t="s">
        <v>751</v>
      </c>
      <c r="B335" s="2">
        <v>48</v>
      </c>
      <c r="C335" s="2" t="s">
        <v>43</v>
      </c>
      <c r="D335" s="2" t="s">
        <v>30</v>
      </c>
      <c r="E335" s="2" t="s">
        <v>31</v>
      </c>
      <c r="F335" s="2" t="s">
        <v>32</v>
      </c>
      <c r="G335" s="2" t="s">
        <v>30</v>
      </c>
      <c r="H335" s="2" t="s">
        <v>752</v>
      </c>
      <c r="I335" s="2" t="s">
        <v>65</v>
      </c>
      <c r="J335" s="2">
        <v>69.41</v>
      </c>
      <c r="K335" s="2">
        <v>8</v>
      </c>
      <c r="L335" s="2" t="s">
        <v>35</v>
      </c>
      <c r="M335" s="2">
        <v>5</v>
      </c>
      <c r="N335" s="2">
        <v>3</v>
      </c>
      <c r="O335" s="2">
        <v>0</v>
      </c>
      <c r="P335" s="2" t="s">
        <v>44</v>
      </c>
      <c r="Q335" s="2" t="s">
        <v>37</v>
      </c>
      <c r="R335" s="2">
        <v>1</v>
      </c>
      <c r="S335" s="2">
        <v>9</v>
      </c>
      <c r="T335" s="2" t="s">
        <v>44</v>
      </c>
      <c r="U335" s="2" t="s">
        <v>38</v>
      </c>
      <c r="V335" s="2" t="s">
        <v>86</v>
      </c>
      <c r="W335" s="3">
        <v>45319</v>
      </c>
      <c r="X335" s="2" t="b">
        <v>0</v>
      </c>
      <c r="Y335" s="2" t="b">
        <v>0</v>
      </c>
      <c r="Z335" s="2" t="s">
        <v>52</v>
      </c>
      <c r="AA335" s="2" t="s">
        <v>53</v>
      </c>
      <c r="AB335" s="2">
        <v>5</v>
      </c>
      <c r="AC335" s="2">
        <f>SUMIF(N:N,Ecommerce_Consumer_Behavior_Analysis_Data3[[#This Row],[Brand_Loyalty]],M:M)</f>
        <v>641</v>
      </c>
      <c r="AD335" s="2" t="e" cm="1" vm="1">
        <f t="array" aca="1" ref="AD335" ca="1">SUMIFS(Y:Y,Ecommerce_Consumer_Behavior_Analysis_Data3[[#This Row],[Payment_Method]],V:V)</f>
        <v>#VALUE!</v>
      </c>
      <c r="AE335" s="2">
        <f t="shared" si="9"/>
        <v>211.7</v>
      </c>
    </row>
    <row r="336" spans="1:31" x14ac:dyDescent="0.25">
      <c r="A336" s="2" t="s">
        <v>753</v>
      </c>
      <c r="B336" s="2">
        <v>20</v>
      </c>
      <c r="C336" s="2" t="s">
        <v>148</v>
      </c>
      <c r="D336" s="2" t="s">
        <v>44</v>
      </c>
      <c r="E336" s="2" t="s">
        <v>55</v>
      </c>
      <c r="F336" s="2" t="s">
        <v>56</v>
      </c>
      <c r="G336" s="2" t="s">
        <v>30</v>
      </c>
      <c r="H336" s="2" t="s">
        <v>754</v>
      </c>
      <c r="I336" s="2" t="s">
        <v>126</v>
      </c>
      <c r="J336" s="2">
        <v>207.18</v>
      </c>
      <c r="K336" s="2">
        <v>11</v>
      </c>
      <c r="L336" s="2" t="s">
        <v>78</v>
      </c>
      <c r="M336" s="2">
        <v>1</v>
      </c>
      <c r="N336" s="2">
        <v>3</v>
      </c>
      <c r="O336" s="2">
        <v>0</v>
      </c>
      <c r="P336" s="2" t="s">
        <v>59</v>
      </c>
      <c r="Q336" s="2" t="s">
        <v>37</v>
      </c>
      <c r="R336" s="2">
        <v>1</v>
      </c>
      <c r="S336" s="2">
        <v>5</v>
      </c>
      <c r="T336" s="2" t="s">
        <v>44</v>
      </c>
      <c r="U336" s="2" t="s">
        <v>38</v>
      </c>
      <c r="V336" s="2" t="s">
        <v>51</v>
      </c>
      <c r="W336" s="3">
        <v>45612</v>
      </c>
      <c r="X336" s="2" t="b">
        <v>0</v>
      </c>
      <c r="Y336" s="2" t="b">
        <v>0</v>
      </c>
      <c r="Z336" s="2" t="s">
        <v>52</v>
      </c>
      <c r="AA336" s="2" t="s">
        <v>53</v>
      </c>
      <c r="AB336" s="2">
        <v>8</v>
      </c>
      <c r="AC336" s="2">
        <f>SUMIF(N:N,Ecommerce_Consumer_Behavior_Analysis_Data3[[#This Row],[Brand_Loyalty]],M:M)</f>
        <v>603</v>
      </c>
      <c r="AD336" s="2" t="e" cm="1" vm="1">
        <f t="array" aca="1" ref="AD336" ca="1">SUMIFS(Y:Y,Ecommerce_Consumer_Behavior_Analysis_Data3[[#This Row],[Payment_Method]],V:V)</f>
        <v>#VALUE!</v>
      </c>
      <c r="AE336" s="2">
        <f t="shared" si="9"/>
        <v>101.31</v>
      </c>
    </row>
    <row r="337" spans="1:31" x14ac:dyDescent="0.25">
      <c r="A337" s="2" t="s">
        <v>755</v>
      </c>
      <c r="B337" s="2">
        <v>32</v>
      </c>
      <c r="C337" s="2" t="s">
        <v>43</v>
      </c>
      <c r="D337" s="2" t="s">
        <v>30</v>
      </c>
      <c r="E337" s="2" t="s">
        <v>76</v>
      </c>
      <c r="F337" s="2" t="s">
        <v>45</v>
      </c>
      <c r="G337" s="2" t="s">
        <v>44</v>
      </c>
      <c r="H337" s="2" t="s">
        <v>756</v>
      </c>
      <c r="I337" s="2" t="s">
        <v>142</v>
      </c>
      <c r="J337" s="2">
        <v>454.15</v>
      </c>
      <c r="K337" s="2">
        <v>11</v>
      </c>
      <c r="L337" s="2" t="s">
        <v>48</v>
      </c>
      <c r="M337" s="2">
        <v>2</v>
      </c>
      <c r="N337" s="2">
        <v>1</v>
      </c>
      <c r="O337" s="2">
        <v>1</v>
      </c>
      <c r="P337" s="2" t="s">
        <v>44</v>
      </c>
      <c r="Q337" s="2" t="s">
        <v>50</v>
      </c>
      <c r="R337" s="2">
        <v>1</v>
      </c>
      <c r="S337" s="2">
        <v>8</v>
      </c>
      <c r="T337" s="2" t="s">
        <v>44</v>
      </c>
      <c r="U337" s="2" t="s">
        <v>60</v>
      </c>
      <c r="V337" s="2" t="s">
        <v>86</v>
      </c>
      <c r="W337" s="3">
        <v>45634</v>
      </c>
      <c r="X337" s="2" t="b">
        <v>1</v>
      </c>
      <c r="Y337" s="2" t="b">
        <v>1</v>
      </c>
      <c r="Z337" s="2" t="s">
        <v>74</v>
      </c>
      <c r="AA337" s="2" t="s">
        <v>67</v>
      </c>
      <c r="AB337" s="2">
        <v>13</v>
      </c>
      <c r="AC337" s="2">
        <f>SUMIF(N:N,Ecommerce_Consumer_Behavior_Analysis_Data3[[#This Row],[Brand_Loyalty]],M:M)</f>
        <v>582</v>
      </c>
      <c r="AD337" s="2" t="e" cm="1" vm="1">
        <f t="array" aca="1" ref="AD337" ca="1">SUMIFS(Y:Y,Ecommerce_Consumer_Behavior_Analysis_Data3[[#This Row],[Payment_Method]],V:V)</f>
        <v>#VALUE!</v>
      </c>
      <c r="AE337" s="2">
        <f t="shared" si="9"/>
        <v>333.8</v>
      </c>
    </row>
    <row r="338" spans="1:31" x14ac:dyDescent="0.25">
      <c r="A338" s="2" t="s">
        <v>757</v>
      </c>
      <c r="B338" s="2">
        <v>25</v>
      </c>
      <c r="C338" s="2" t="s">
        <v>43</v>
      </c>
      <c r="D338" s="2" t="s">
        <v>44</v>
      </c>
      <c r="E338" s="2" t="s">
        <v>69</v>
      </c>
      <c r="F338" s="2" t="s">
        <v>45</v>
      </c>
      <c r="G338" s="2" t="s">
        <v>44</v>
      </c>
      <c r="H338" s="2" t="s">
        <v>758</v>
      </c>
      <c r="I338" s="2" t="s">
        <v>158</v>
      </c>
      <c r="J338" s="2">
        <v>113.01</v>
      </c>
      <c r="K338" s="2">
        <v>11</v>
      </c>
      <c r="L338" s="2" t="s">
        <v>48</v>
      </c>
      <c r="M338" s="2">
        <v>5</v>
      </c>
      <c r="N338" s="2">
        <v>2</v>
      </c>
      <c r="O338" s="2">
        <v>2</v>
      </c>
      <c r="P338" s="2" t="s">
        <v>59</v>
      </c>
      <c r="Q338" s="2" t="s">
        <v>85</v>
      </c>
      <c r="R338" s="2">
        <v>1</v>
      </c>
      <c r="S338" s="2">
        <v>1</v>
      </c>
      <c r="T338" s="2" t="s">
        <v>36</v>
      </c>
      <c r="U338" s="2" t="s">
        <v>38</v>
      </c>
      <c r="V338" s="2" t="s">
        <v>39</v>
      </c>
      <c r="W338" s="3">
        <v>45427</v>
      </c>
      <c r="X338" s="2" t="b">
        <v>0</v>
      </c>
      <c r="Y338" s="2" t="b">
        <v>1</v>
      </c>
      <c r="Z338" s="2" t="s">
        <v>62</v>
      </c>
      <c r="AA338" s="2" t="s">
        <v>67</v>
      </c>
      <c r="AB338" s="2">
        <v>4</v>
      </c>
      <c r="AC338" s="2">
        <f>SUMIF(N:N,Ecommerce_Consumer_Behavior_Analysis_Data3[[#This Row],[Brand_Loyalty]],M:M)</f>
        <v>641</v>
      </c>
      <c r="AD338" s="2" t="e" cm="1" vm="1">
        <f t="array" aca="1" ref="AD338" ca="1">SUMIFS(Y:Y,Ecommerce_Consumer_Behavior_Analysis_Data3[[#This Row],[Payment_Method]],V:V)</f>
        <v>#VALUE!</v>
      </c>
      <c r="AE338" s="2">
        <f t="shared" si="9"/>
        <v>101.31</v>
      </c>
    </row>
    <row r="339" spans="1:31" x14ac:dyDescent="0.25">
      <c r="A339" s="2" t="s">
        <v>759</v>
      </c>
      <c r="B339" s="2">
        <v>42</v>
      </c>
      <c r="C339" s="2" t="s">
        <v>43</v>
      </c>
      <c r="D339" s="2" t="s">
        <v>30</v>
      </c>
      <c r="E339" s="2" t="s">
        <v>76</v>
      </c>
      <c r="F339" s="2" t="s">
        <v>32</v>
      </c>
      <c r="G339" s="2" t="s">
        <v>30</v>
      </c>
      <c r="H339" s="2" t="s">
        <v>760</v>
      </c>
      <c r="I339" s="2" t="s">
        <v>114</v>
      </c>
      <c r="J339" s="2">
        <v>419.13</v>
      </c>
      <c r="K339" s="2">
        <v>4</v>
      </c>
      <c r="L339" s="2" t="s">
        <v>35</v>
      </c>
      <c r="M339" s="2">
        <v>3</v>
      </c>
      <c r="N339" s="2">
        <v>5</v>
      </c>
      <c r="O339" s="2">
        <v>1</v>
      </c>
      <c r="P339" s="2" t="s">
        <v>36</v>
      </c>
      <c r="Q339" s="2" t="s">
        <v>50</v>
      </c>
      <c r="R339" s="2">
        <v>0</v>
      </c>
      <c r="S339" s="2">
        <v>1</v>
      </c>
      <c r="T339" s="2" t="s">
        <v>36</v>
      </c>
      <c r="U339" s="2" t="s">
        <v>60</v>
      </c>
      <c r="V339" s="2" t="s">
        <v>86</v>
      </c>
      <c r="W339" s="3">
        <v>45507</v>
      </c>
      <c r="X339" s="2" t="b">
        <v>0</v>
      </c>
      <c r="Y339" s="2" t="b">
        <v>1</v>
      </c>
      <c r="Z339" s="2" t="s">
        <v>52</v>
      </c>
      <c r="AA339" s="2" t="s">
        <v>67</v>
      </c>
      <c r="AB339" s="2">
        <v>6</v>
      </c>
      <c r="AC339" s="2">
        <f>SUMIF(N:N,Ecommerce_Consumer_Behavior_Analysis_Data3[[#This Row],[Brand_Loyalty]],M:M)</f>
        <v>597</v>
      </c>
      <c r="AD339" s="2" t="e" cm="1" vm="1">
        <f t="array" aca="1" ref="AD339" ca="1">SUMIFS(Y:Y,Ecommerce_Consumer_Behavior_Analysis_Data3[[#This Row],[Payment_Method]],V:V)</f>
        <v>#VALUE!</v>
      </c>
      <c r="AE339" s="2">
        <f t="shared" si="9"/>
        <v>333.8</v>
      </c>
    </row>
    <row r="340" spans="1:31" x14ac:dyDescent="0.25">
      <c r="A340" s="2" t="s">
        <v>761</v>
      </c>
      <c r="B340" s="2">
        <v>37</v>
      </c>
      <c r="C340" s="2" t="s">
        <v>29</v>
      </c>
      <c r="D340" s="2" t="s">
        <v>44</v>
      </c>
      <c r="E340" s="2" t="s">
        <v>55</v>
      </c>
      <c r="F340" s="2" t="s">
        <v>32</v>
      </c>
      <c r="G340" s="2" t="s">
        <v>44</v>
      </c>
      <c r="H340" s="2" t="s">
        <v>762</v>
      </c>
      <c r="I340" s="2" t="s">
        <v>246</v>
      </c>
      <c r="J340" s="2">
        <v>183.86</v>
      </c>
      <c r="K340" s="2">
        <v>5</v>
      </c>
      <c r="L340" s="2" t="s">
        <v>35</v>
      </c>
      <c r="M340" s="2">
        <v>1</v>
      </c>
      <c r="N340" s="2">
        <v>1</v>
      </c>
      <c r="O340" s="2">
        <v>2</v>
      </c>
      <c r="P340" s="2" t="s">
        <v>49</v>
      </c>
      <c r="Q340" s="2" t="s">
        <v>50</v>
      </c>
      <c r="R340" s="2">
        <v>1</v>
      </c>
      <c r="S340" s="2">
        <v>4</v>
      </c>
      <c r="T340" s="2" t="s">
        <v>59</v>
      </c>
      <c r="U340" s="2" t="s">
        <v>60</v>
      </c>
      <c r="V340" s="2" t="s">
        <v>61</v>
      </c>
      <c r="W340" s="3">
        <v>45572</v>
      </c>
      <c r="X340" s="2" t="b">
        <v>0</v>
      </c>
      <c r="Y340" s="2" t="b">
        <v>1</v>
      </c>
      <c r="Z340" s="2" t="s">
        <v>52</v>
      </c>
      <c r="AA340" s="2" t="s">
        <v>53</v>
      </c>
      <c r="AB340" s="2">
        <v>3</v>
      </c>
      <c r="AC340" s="2">
        <f>SUMIF(N:N,Ecommerce_Consumer_Behavior_Analysis_Data3[[#This Row],[Brand_Loyalty]],M:M)</f>
        <v>603</v>
      </c>
      <c r="AD340" s="2" t="e" cm="1" vm="1">
        <f t="array" aca="1" ref="AD340" ca="1">SUMIFS(Y:Y,Ecommerce_Consumer_Behavior_Analysis_Data3[[#This Row],[Payment_Method]],V:V)</f>
        <v>#VALUE!</v>
      </c>
      <c r="AE340" s="2">
        <f t="shared" si="9"/>
        <v>211.7</v>
      </c>
    </row>
    <row r="341" spans="1:31" x14ac:dyDescent="0.25">
      <c r="A341" s="2" t="s">
        <v>763</v>
      </c>
      <c r="B341" s="2">
        <v>21</v>
      </c>
      <c r="C341" s="2" t="s">
        <v>148</v>
      </c>
      <c r="D341" s="2" t="s">
        <v>30</v>
      </c>
      <c r="E341" s="2" t="s">
        <v>69</v>
      </c>
      <c r="F341" s="2" t="s">
        <v>56</v>
      </c>
      <c r="G341" s="2" t="s">
        <v>30</v>
      </c>
      <c r="H341" s="2" t="s">
        <v>764</v>
      </c>
      <c r="I341" s="2" t="s">
        <v>114</v>
      </c>
      <c r="J341" s="2">
        <v>53.87</v>
      </c>
      <c r="K341" s="2">
        <v>10</v>
      </c>
      <c r="L341" s="2" t="s">
        <v>48</v>
      </c>
      <c r="M341" s="2">
        <v>4</v>
      </c>
      <c r="N341" s="2">
        <v>3</v>
      </c>
      <c r="O341" s="2">
        <v>0</v>
      </c>
      <c r="P341" s="2" t="s">
        <v>49</v>
      </c>
      <c r="Q341" s="2" t="s">
        <v>85</v>
      </c>
      <c r="R341" s="2">
        <v>0</v>
      </c>
      <c r="S341" s="2">
        <v>10</v>
      </c>
      <c r="T341" s="2" t="s">
        <v>44</v>
      </c>
      <c r="U341" s="2" t="s">
        <v>38</v>
      </c>
      <c r="V341" s="2" t="s">
        <v>86</v>
      </c>
      <c r="W341" s="3">
        <v>45468</v>
      </c>
      <c r="X341" s="2" t="b">
        <v>1</v>
      </c>
      <c r="Y341" s="2" t="b">
        <v>0</v>
      </c>
      <c r="Z341" s="2" t="s">
        <v>74</v>
      </c>
      <c r="AA341" s="2" t="s">
        <v>41</v>
      </c>
      <c r="AB341" s="2">
        <v>2</v>
      </c>
      <c r="AC341" s="2">
        <f>SUMIF(N:N,Ecommerce_Consumer_Behavior_Analysis_Data3[[#This Row],[Brand_Loyalty]],M:M)</f>
        <v>603</v>
      </c>
      <c r="AD341" s="2" t="e" cm="1" vm="1">
        <f t="array" aca="1" ref="AD341" ca="1">SUMIFS(Y:Y,Ecommerce_Consumer_Behavior_Analysis_Data3[[#This Row],[Payment_Method]],V:V)</f>
        <v>#VALUE!</v>
      </c>
      <c r="AE341" s="2">
        <f t="shared" si="9"/>
        <v>211.7</v>
      </c>
    </row>
    <row r="342" spans="1:31" x14ac:dyDescent="0.25">
      <c r="A342" s="2" t="s">
        <v>765</v>
      </c>
      <c r="B342" s="2">
        <v>43</v>
      </c>
      <c r="C342" s="2" t="s">
        <v>29</v>
      </c>
      <c r="D342" s="2" t="s">
        <v>44</v>
      </c>
      <c r="E342" s="2" t="s">
        <v>69</v>
      </c>
      <c r="F342" s="2" t="s">
        <v>32</v>
      </c>
      <c r="G342" s="2" t="s">
        <v>44</v>
      </c>
      <c r="H342" s="2" t="s">
        <v>766</v>
      </c>
      <c r="I342" s="2" t="s">
        <v>47</v>
      </c>
      <c r="J342" s="2">
        <v>427.82</v>
      </c>
      <c r="K342" s="2">
        <v>9</v>
      </c>
      <c r="L342" s="2" t="s">
        <v>48</v>
      </c>
      <c r="M342" s="2">
        <v>5</v>
      </c>
      <c r="N342" s="2">
        <v>5</v>
      </c>
      <c r="O342" s="2">
        <v>0</v>
      </c>
      <c r="P342" s="2" t="s">
        <v>49</v>
      </c>
      <c r="Q342" s="2" t="s">
        <v>37</v>
      </c>
      <c r="R342" s="2">
        <v>1</v>
      </c>
      <c r="S342" s="2">
        <v>2</v>
      </c>
      <c r="T342" s="2" t="s">
        <v>49</v>
      </c>
      <c r="U342" s="2" t="s">
        <v>79</v>
      </c>
      <c r="V342" s="2" t="s">
        <v>51</v>
      </c>
      <c r="W342" s="3">
        <v>45386</v>
      </c>
      <c r="X342" s="2" t="b">
        <v>1</v>
      </c>
      <c r="Y342" s="2" t="b">
        <v>0</v>
      </c>
      <c r="Z342" s="2" t="s">
        <v>52</v>
      </c>
      <c r="AA342" s="2" t="s">
        <v>41</v>
      </c>
      <c r="AB342" s="2">
        <v>14</v>
      </c>
      <c r="AC342" s="2">
        <f>SUMIF(N:N,Ecommerce_Consumer_Behavior_Analysis_Data3[[#This Row],[Brand_Loyalty]],M:M)</f>
        <v>641</v>
      </c>
      <c r="AD342" s="2" t="e" cm="1" vm="1">
        <f t="array" aca="1" ref="AD342" ca="1">SUMIFS(Y:Y,Ecommerce_Consumer_Behavior_Analysis_Data3[[#This Row],[Payment_Method]],V:V)</f>
        <v>#VALUE!</v>
      </c>
      <c r="AE342" s="2">
        <f t="shared" si="9"/>
        <v>333.8</v>
      </c>
    </row>
    <row r="343" spans="1:31" x14ac:dyDescent="0.25">
      <c r="A343" s="2" t="s">
        <v>767</v>
      </c>
      <c r="B343" s="2">
        <v>29</v>
      </c>
      <c r="C343" s="2" t="s">
        <v>29</v>
      </c>
      <c r="D343" s="2" t="s">
        <v>44</v>
      </c>
      <c r="E343" s="2" t="s">
        <v>76</v>
      </c>
      <c r="F343" s="2" t="s">
        <v>32</v>
      </c>
      <c r="G343" s="2" t="s">
        <v>30</v>
      </c>
      <c r="H343" s="2" t="s">
        <v>768</v>
      </c>
      <c r="I343" s="2" t="s">
        <v>114</v>
      </c>
      <c r="J343" s="2">
        <v>282.82</v>
      </c>
      <c r="K343" s="2">
        <v>6</v>
      </c>
      <c r="L343" s="2" t="s">
        <v>48</v>
      </c>
      <c r="M343" s="2">
        <v>5</v>
      </c>
      <c r="N343" s="2">
        <v>3</v>
      </c>
      <c r="O343" s="2">
        <v>2</v>
      </c>
      <c r="P343" s="2" t="s">
        <v>49</v>
      </c>
      <c r="Q343" s="2" t="s">
        <v>85</v>
      </c>
      <c r="R343" s="2">
        <v>2</v>
      </c>
      <c r="S343" s="2">
        <v>7</v>
      </c>
      <c r="T343" s="2" t="s">
        <v>36</v>
      </c>
      <c r="U343" s="2" t="s">
        <v>79</v>
      </c>
      <c r="V343" s="2" t="s">
        <v>66</v>
      </c>
      <c r="W343" s="3">
        <v>45351</v>
      </c>
      <c r="X343" s="2" t="b">
        <v>0</v>
      </c>
      <c r="Y343" s="2" t="b">
        <v>1</v>
      </c>
      <c r="Z343" s="2" t="s">
        <v>52</v>
      </c>
      <c r="AA343" s="2" t="s">
        <v>53</v>
      </c>
      <c r="AB343" s="2">
        <v>3</v>
      </c>
      <c r="AC343" s="2">
        <f>SUMIF(N:N,Ecommerce_Consumer_Behavior_Analysis_Data3[[#This Row],[Brand_Loyalty]],M:M)</f>
        <v>641</v>
      </c>
      <c r="AD343" s="2" t="e" cm="1" vm="1">
        <f t="array" aca="1" ref="AD343" ca="1">SUMIFS(Y:Y,Ecommerce_Consumer_Behavior_Analysis_Data3[[#This Row],[Payment_Method]],V:V)</f>
        <v>#VALUE!</v>
      </c>
      <c r="AE343" s="2">
        <f t="shared" si="9"/>
        <v>333.8</v>
      </c>
    </row>
    <row r="344" spans="1:31" x14ac:dyDescent="0.25">
      <c r="A344" s="2" t="s">
        <v>769</v>
      </c>
      <c r="B344" s="2">
        <v>28</v>
      </c>
      <c r="C344" s="2" t="s">
        <v>43</v>
      </c>
      <c r="D344" s="2" t="s">
        <v>30</v>
      </c>
      <c r="E344" s="2" t="s">
        <v>76</v>
      </c>
      <c r="F344" s="2" t="s">
        <v>56</v>
      </c>
      <c r="G344" s="2" t="s">
        <v>30</v>
      </c>
      <c r="H344" s="2" t="s">
        <v>770</v>
      </c>
      <c r="I344" s="2" t="s">
        <v>117</v>
      </c>
      <c r="J344" s="2">
        <v>215.31</v>
      </c>
      <c r="K344" s="2">
        <v>7</v>
      </c>
      <c r="L344" s="2" t="s">
        <v>78</v>
      </c>
      <c r="M344" s="2">
        <v>5</v>
      </c>
      <c r="N344" s="2">
        <v>5</v>
      </c>
      <c r="O344" s="2">
        <v>2</v>
      </c>
      <c r="P344" s="2" t="s">
        <v>49</v>
      </c>
      <c r="Q344" s="2" t="s">
        <v>37</v>
      </c>
      <c r="R344" s="2">
        <v>1</v>
      </c>
      <c r="S344" s="2">
        <v>8</v>
      </c>
      <c r="T344" s="2" t="s">
        <v>49</v>
      </c>
      <c r="U344" s="2" t="s">
        <v>60</v>
      </c>
      <c r="V344" s="2" t="s">
        <v>66</v>
      </c>
      <c r="W344" s="3">
        <v>45391</v>
      </c>
      <c r="X344" s="2" t="b">
        <v>0</v>
      </c>
      <c r="Y344" s="2" t="b">
        <v>1</v>
      </c>
      <c r="Z344" s="2" t="s">
        <v>62</v>
      </c>
      <c r="AA344" s="2" t="s">
        <v>41</v>
      </c>
      <c r="AB344" s="2">
        <v>7</v>
      </c>
      <c r="AC344" s="2">
        <f>SUMIF(N:N,Ecommerce_Consumer_Behavior_Analysis_Data3[[#This Row],[Brand_Loyalty]],M:M)</f>
        <v>641</v>
      </c>
      <c r="AD344" s="2" t="e" cm="1" vm="1">
        <f t="array" aca="1" ref="AD344" ca="1">SUMIFS(Y:Y,Ecommerce_Consumer_Behavior_Analysis_Data3[[#This Row],[Payment_Method]],V:V)</f>
        <v>#VALUE!</v>
      </c>
      <c r="AE344" s="2">
        <f t="shared" si="9"/>
        <v>101.31</v>
      </c>
    </row>
    <row r="345" spans="1:31" x14ac:dyDescent="0.25">
      <c r="A345" s="2" t="s">
        <v>771</v>
      </c>
      <c r="B345" s="2">
        <v>43</v>
      </c>
      <c r="C345" s="2" t="s">
        <v>43</v>
      </c>
      <c r="D345" s="2" t="s">
        <v>30</v>
      </c>
      <c r="E345" s="2" t="s">
        <v>69</v>
      </c>
      <c r="F345" s="2" t="s">
        <v>56</v>
      </c>
      <c r="G345" s="2" t="s">
        <v>44</v>
      </c>
      <c r="H345" s="2" t="s">
        <v>772</v>
      </c>
      <c r="I345" s="2" t="s">
        <v>71</v>
      </c>
      <c r="J345" s="2">
        <v>183.66</v>
      </c>
      <c r="K345" s="2">
        <v>11</v>
      </c>
      <c r="L345" s="2" t="s">
        <v>78</v>
      </c>
      <c r="M345" s="2">
        <v>3</v>
      </c>
      <c r="N345" s="2">
        <v>1</v>
      </c>
      <c r="O345" s="2">
        <v>1</v>
      </c>
      <c r="P345" s="2" t="s">
        <v>59</v>
      </c>
      <c r="Q345" s="2" t="s">
        <v>85</v>
      </c>
      <c r="R345" s="2">
        <v>0</v>
      </c>
      <c r="S345" s="2">
        <v>10</v>
      </c>
      <c r="T345" s="2" t="s">
        <v>49</v>
      </c>
      <c r="U345" s="2" t="s">
        <v>38</v>
      </c>
      <c r="V345" s="2" t="s">
        <v>39</v>
      </c>
      <c r="W345" s="3">
        <v>45400</v>
      </c>
      <c r="X345" s="2" t="b">
        <v>1</v>
      </c>
      <c r="Y345" s="2" t="b">
        <v>1</v>
      </c>
      <c r="Z345" s="2" t="s">
        <v>74</v>
      </c>
      <c r="AA345" s="2" t="s">
        <v>41</v>
      </c>
      <c r="AB345" s="2">
        <v>6</v>
      </c>
      <c r="AC345" s="2">
        <f>SUMIF(N:N,Ecommerce_Consumer_Behavior_Analysis_Data3[[#This Row],[Brand_Loyalty]],M:M)</f>
        <v>597</v>
      </c>
      <c r="AD345" s="2" t="e" cm="1" vm="1">
        <f t="array" aca="1" ref="AD345" ca="1">SUMIFS(Y:Y,Ecommerce_Consumer_Behavior_Analysis_Data3[[#This Row],[Payment_Method]],V:V)</f>
        <v>#VALUE!</v>
      </c>
      <c r="AE345" s="2">
        <f t="shared" si="9"/>
        <v>333.8</v>
      </c>
    </row>
    <row r="346" spans="1:31" x14ac:dyDescent="0.25">
      <c r="A346" s="2" t="s">
        <v>773</v>
      </c>
      <c r="B346" s="2">
        <v>48</v>
      </c>
      <c r="C346" s="2" t="s">
        <v>29</v>
      </c>
      <c r="D346" s="2" t="s">
        <v>44</v>
      </c>
      <c r="E346" s="2" t="s">
        <v>76</v>
      </c>
      <c r="F346" s="2" t="s">
        <v>45</v>
      </c>
      <c r="G346" s="2" t="s">
        <v>30</v>
      </c>
      <c r="H346" s="2" t="s">
        <v>774</v>
      </c>
      <c r="I346" s="2" t="s">
        <v>123</v>
      </c>
      <c r="J346" s="2">
        <v>198.73</v>
      </c>
      <c r="K346" s="2">
        <v>10</v>
      </c>
      <c r="L346" s="2" t="s">
        <v>48</v>
      </c>
      <c r="M346" s="2">
        <v>1</v>
      </c>
      <c r="N346" s="2">
        <v>5</v>
      </c>
      <c r="O346" s="2">
        <v>2</v>
      </c>
      <c r="P346" s="2" t="s">
        <v>44</v>
      </c>
      <c r="Q346" s="2" t="s">
        <v>85</v>
      </c>
      <c r="R346" s="2">
        <v>1</v>
      </c>
      <c r="S346" s="2">
        <v>5</v>
      </c>
      <c r="T346" s="2" t="s">
        <v>36</v>
      </c>
      <c r="U346" s="2" t="s">
        <v>79</v>
      </c>
      <c r="V346" s="2" t="s">
        <v>66</v>
      </c>
      <c r="W346" s="3">
        <v>45324</v>
      </c>
      <c r="X346" s="2" t="b">
        <v>1</v>
      </c>
      <c r="Y346" s="2" t="b">
        <v>0</v>
      </c>
      <c r="Z346" s="2" t="s">
        <v>62</v>
      </c>
      <c r="AA346" s="2" t="s">
        <v>53</v>
      </c>
      <c r="AB346" s="2">
        <v>4</v>
      </c>
      <c r="AC346" s="2">
        <f>SUMIF(N:N,Ecommerce_Consumer_Behavior_Analysis_Data3[[#This Row],[Brand_Loyalty]],M:M)</f>
        <v>603</v>
      </c>
      <c r="AD346" s="2" t="e" cm="1" vm="1">
        <f t="array" aca="1" ref="AD346" ca="1">SUMIFS(Y:Y,Ecommerce_Consumer_Behavior_Analysis_Data3[[#This Row],[Payment_Method]],V:V)</f>
        <v>#VALUE!</v>
      </c>
      <c r="AE346" s="2">
        <f t="shared" si="9"/>
        <v>211.7</v>
      </c>
    </row>
    <row r="347" spans="1:31" x14ac:dyDescent="0.25">
      <c r="A347" s="2" t="s">
        <v>775</v>
      </c>
      <c r="B347" s="2">
        <v>26</v>
      </c>
      <c r="C347" s="2" t="s">
        <v>29</v>
      </c>
      <c r="D347" s="2" t="s">
        <v>30</v>
      </c>
      <c r="E347" s="2" t="s">
        <v>31</v>
      </c>
      <c r="F347" s="2" t="s">
        <v>45</v>
      </c>
      <c r="G347" s="2" t="s">
        <v>44</v>
      </c>
      <c r="H347" s="2" t="s">
        <v>776</v>
      </c>
      <c r="I347" s="2" t="s">
        <v>194</v>
      </c>
      <c r="J347" s="2">
        <v>265.72000000000003</v>
      </c>
      <c r="K347" s="2">
        <v>5</v>
      </c>
      <c r="L347" s="2" t="s">
        <v>35</v>
      </c>
      <c r="M347" s="2">
        <v>5</v>
      </c>
      <c r="N347" s="2">
        <v>4</v>
      </c>
      <c r="O347" s="2">
        <v>0</v>
      </c>
      <c r="P347" s="2" t="s">
        <v>36</v>
      </c>
      <c r="Q347" s="2" t="s">
        <v>85</v>
      </c>
      <c r="R347" s="2">
        <v>0</v>
      </c>
      <c r="S347" s="2">
        <v>9</v>
      </c>
      <c r="T347" s="2" t="s">
        <v>36</v>
      </c>
      <c r="U347" s="2" t="s">
        <v>38</v>
      </c>
      <c r="V347" s="2" t="s">
        <v>61</v>
      </c>
      <c r="W347" s="3">
        <v>45404</v>
      </c>
      <c r="X347" s="2" t="b">
        <v>1</v>
      </c>
      <c r="Y347" s="2" t="b">
        <v>1</v>
      </c>
      <c r="Z347" s="2" t="s">
        <v>74</v>
      </c>
      <c r="AA347" s="2" t="s">
        <v>67</v>
      </c>
      <c r="AB347" s="2">
        <v>13</v>
      </c>
      <c r="AC347" s="2">
        <f>SUMIF(N:N,Ecommerce_Consumer_Behavior_Analysis_Data3[[#This Row],[Brand_Loyalty]],M:M)</f>
        <v>641</v>
      </c>
      <c r="AD347" s="2" t="e" cm="1" vm="1">
        <f t="array" aca="1" ref="AD347" ca="1">SUMIFS(Y:Y,Ecommerce_Consumer_Behavior_Analysis_Data3[[#This Row],[Payment_Method]],V:V)</f>
        <v>#VALUE!</v>
      </c>
      <c r="AE347" s="2">
        <f t="shared" si="9"/>
        <v>333.8</v>
      </c>
    </row>
    <row r="348" spans="1:31" x14ac:dyDescent="0.25">
      <c r="A348" s="2" t="s">
        <v>777</v>
      </c>
      <c r="B348" s="2">
        <v>42</v>
      </c>
      <c r="C348" s="2" t="s">
        <v>43</v>
      </c>
      <c r="D348" s="2" t="s">
        <v>30</v>
      </c>
      <c r="E348" s="2" t="s">
        <v>31</v>
      </c>
      <c r="F348" s="2" t="s">
        <v>56</v>
      </c>
      <c r="G348" s="2" t="s">
        <v>44</v>
      </c>
      <c r="H348" s="2" t="s">
        <v>778</v>
      </c>
      <c r="I348" s="2" t="s">
        <v>120</v>
      </c>
      <c r="J348" s="2">
        <v>138.35</v>
      </c>
      <c r="K348" s="2">
        <v>2</v>
      </c>
      <c r="L348" s="2" t="s">
        <v>78</v>
      </c>
      <c r="M348" s="2">
        <v>4</v>
      </c>
      <c r="N348" s="2">
        <v>5</v>
      </c>
      <c r="O348" s="2">
        <v>2</v>
      </c>
      <c r="P348" s="2" t="s">
        <v>59</v>
      </c>
      <c r="Q348" s="2" t="s">
        <v>50</v>
      </c>
      <c r="R348" s="2">
        <v>0</v>
      </c>
      <c r="S348" s="2">
        <v>2</v>
      </c>
      <c r="T348" s="2" t="s">
        <v>59</v>
      </c>
      <c r="U348" s="2" t="s">
        <v>60</v>
      </c>
      <c r="V348" s="2" t="s">
        <v>66</v>
      </c>
      <c r="W348" s="3">
        <v>45487</v>
      </c>
      <c r="X348" s="2" t="b">
        <v>1</v>
      </c>
      <c r="Y348" s="2" t="b">
        <v>1</v>
      </c>
      <c r="Z348" s="2" t="s">
        <v>52</v>
      </c>
      <c r="AA348" s="2" t="s">
        <v>41</v>
      </c>
      <c r="AB348" s="2">
        <v>8</v>
      </c>
      <c r="AC348" s="2">
        <f>SUMIF(N:N,Ecommerce_Consumer_Behavior_Analysis_Data3[[#This Row],[Brand_Loyalty]],M:M)</f>
        <v>603</v>
      </c>
      <c r="AD348" s="2" t="e" cm="1" vm="1">
        <f t="array" aca="1" ref="AD348" ca="1">SUMIFS(Y:Y,Ecommerce_Consumer_Behavior_Analysis_Data3[[#This Row],[Payment_Method]],V:V)</f>
        <v>#VALUE!</v>
      </c>
      <c r="AE348" s="2">
        <f t="shared" si="9"/>
        <v>101.31</v>
      </c>
    </row>
    <row r="349" spans="1:31" x14ac:dyDescent="0.25">
      <c r="A349" s="2" t="s">
        <v>779</v>
      </c>
      <c r="B349" s="2">
        <v>27</v>
      </c>
      <c r="C349" s="2" t="s">
        <v>43</v>
      </c>
      <c r="D349" s="2" t="s">
        <v>30</v>
      </c>
      <c r="E349" s="2" t="s">
        <v>76</v>
      </c>
      <c r="F349" s="2" t="s">
        <v>32</v>
      </c>
      <c r="G349" s="2" t="s">
        <v>30</v>
      </c>
      <c r="H349" s="2" t="s">
        <v>780</v>
      </c>
      <c r="I349" s="2" t="s">
        <v>158</v>
      </c>
      <c r="J349" s="2">
        <v>441.87</v>
      </c>
      <c r="K349" s="2">
        <v>3</v>
      </c>
      <c r="L349" s="2" t="s">
        <v>35</v>
      </c>
      <c r="M349" s="2">
        <v>1</v>
      </c>
      <c r="N349" s="2">
        <v>2</v>
      </c>
      <c r="O349" s="2">
        <v>1</v>
      </c>
      <c r="P349" s="2" t="s">
        <v>44</v>
      </c>
      <c r="Q349" s="2" t="s">
        <v>37</v>
      </c>
      <c r="R349" s="2">
        <v>0</v>
      </c>
      <c r="S349" s="2">
        <v>10</v>
      </c>
      <c r="T349" s="2" t="s">
        <v>49</v>
      </c>
      <c r="U349" s="2" t="s">
        <v>60</v>
      </c>
      <c r="V349" s="2" t="s">
        <v>51</v>
      </c>
      <c r="W349" s="3">
        <v>45545</v>
      </c>
      <c r="X349" s="2" t="b">
        <v>1</v>
      </c>
      <c r="Y349" s="2" t="b">
        <v>0</v>
      </c>
      <c r="Z349" s="2" t="s">
        <v>52</v>
      </c>
      <c r="AA349" s="2" t="s">
        <v>41</v>
      </c>
      <c r="AB349" s="2">
        <v>13</v>
      </c>
      <c r="AC349" s="2">
        <f>SUMIF(N:N,Ecommerce_Consumer_Behavior_Analysis_Data3[[#This Row],[Brand_Loyalty]],M:M)</f>
        <v>603</v>
      </c>
      <c r="AD349" s="2" t="e" cm="1" vm="1">
        <f t="array" aca="1" ref="AD349" ca="1">SUMIFS(Y:Y,Ecommerce_Consumer_Behavior_Analysis_Data3[[#This Row],[Payment_Method]],V:V)</f>
        <v>#VALUE!</v>
      </c>
      <c r="AE349" s="2">
        <f t="shared" si="9"/>
        <v>333.8</v>
      </c>
    </row>
    <row r="350" spans="1:31" x14ac:dyDescent="0.25">
      <c r="A350" s="2" t="s">
        <v>781</v>
      </c>
      <c r="B350" s="2">
        <v>40</v>
      </c>
      <c r="C350" s="2" t="s">
        <v>29</v>
      </c>
      <c r="D350" s="2" t="s">
        <v>30</v>
      </c>
      <c r="E350" s="2" t="s">
        <v>31</v>
      </c>
      <c r="F350" s="2" t="s">
        <v>56</v>
      </c>
      <c r="G350" s="2" t="s">
        <v>30</v>
      </c>
      <c r="H350" s="2" t="s">
        <v>782</v>
      </c>
      <c r="I350" s="2" t="s">
        <v>183</v>
      </c>
      <c r="J350" s="2">
        <v>178.29</v>
      </c>
      <c r="K350" s="2">
        <v>4</v>
      </c>
      <c r="L350" s="2" t="s">
        <v>35</v>
      </c>
      <c r="M350" s="2">
        <v>4</v>
      </c>
      <c r="N350" s="2">
        <v>3</v>
      </c>
      <c r="O350" s="2">
        <v>2</v>
      </c>
      <c r="P350" s="2" t="s">
        <v>59</v>
      </c>
      <c r="Q350" s="2" t="s">
        <v>85</v>
      </c>
      <c r="R350" s="2">
        <v>2</v>
      </c>
      <c r="S350" s="2">
        <v>10</v>
      </c>
      <c r="T350" s="2" t="s">
        <v>44</v>
      </c>
      <c r="U350" s="2" t="s">
        <v>79</v>
      </c>
      <c r="V350" s="2" t="s">
        <v>86</v>
      </c>
      <c r="W350" s="3">
        <v>45502</v>
      </c>
      <c r="X350" s="2" t="b">
        <v>0</v>
      </c>
      <c r="Y350" s="2" t="b">
        <v>1</v>
      </c>
      <c r="Z350" s="2" t="s">
        <v>74</v>
      </c>
      <c r="AA350" s="2" t="s">
        <v>41</v>
      </c>
      <c r="AB350" s="2">
        <v>8</v>
      </c>
      <c r="AC350" s="2">
        <f>SUMIF(N:N,Ecommerce_Consumer_Behavior_Analysis_Data3[[#This Row],[Brand_Loyalty]],M:M)</f>
        <v>603</v>
      </c>
      <c r="AD350" s="2" t="e" cm="1" vm="1">
        <f t="array" aca="1" ref="AD350" ca="1">SUMIFS(Y:Y,Ecommerce_Consumer_Behavior_Analysis_Data3[[#This Row],[Payment_Method]],V:V)</f>
        <v>#VALUE!</v>
      </c>
      <c r="AE350" s="2">
        <f t="shared" si="9"/>
        <v>211.7</v>
      </c>
    </row>
    <row r="351" spans="1:31" x14ac:dyDescent="0.25">
      <c r="A351" s="2" t="s">
        <v>783</v>
      </c>
      <c r="B351" s="2">
        <v>23</v>
      </c>
      <c r="C351" s="2" t="s">
        <v>43</v>
      </c>
      <c r="D351" s="2" t="s">
        <v>30</v>
      </c>
      <c r="E351" s="2" t="s">
        <v>69</v>
      </c>
      <c r="F351" s="2" t="s">
        <v>45</v>
      </c>
      <c r="G351" s="2" t="s">
        <v>44</v>
      </c>
      <c r="H351" s="2" t="s">
        <v>784</v>
      </c>
      <c r="I351" s="2" t="s">
        <v>90</v>
      </c>
      <c r="J351" s="2">
        <v>77.08</v>
      </c>
      <c r="K351" s="2">
        <v>10</v>
      </c>
      <c r="L351" s="2" t="s">
        <v>35</v>
      </c>
      <c r="M351" s="2">
        <v>2</v>
      </c>
      <c r="N351" s="2">
        <v>1</v>
      </c>
      <c r="O351" s="2">
        <v>0</v>
      </c>
      <c r="P351" s="2" t="s">
        <v>44</v>
      </c>
      <c r="Q351" s="2" t="s">
        <v>50</v>
      </c>
      <c r="R351" s="2">
        <v>0</v>
      </c>
      <c r="S351" s="2">
        <v>8</v>
      </c>
      <c r="T351" s="2" t="s">
        <v>36</v>
      </c>
      <c r="U351" s="2" t="s">
        <v>38</v>
      </c>
      <c r="V351" s="2" t="s">
        <v>51</v>
      </c>
      <c r="W351" s="3">
        <v>45580</v>
      </c>
      <c r="X351" s="2" t="b">
        <v>1</v>
      </c>
      <c r="Y351" s="2" t="b">
        <v>1</v>
      </c>
      <c r="Z351" s="2" t="s">
        <v>62</v>
      </c>
      <c r="AA351" s="2" t="s">
        <v>53</v>
      </c>
      <c r="AB351" s="2">
        <v>1</v>
      </c>
      <c r="AC351" s="2">
        <f>SUMIF(N:N,Ecommerce_Consumer_Behavior_Analysis_Data3[[#This Row],[Brand_Loyalty]],M:M)</f>
        <v>582</v>
      </c>
      <c r="AD351" s="2" t="e" cm="1" vm="1">
        <f t="array" aca="1" ref="AD351" ca="1">SUMIFS(Y:Y,Ecommerce_Consumer_Behavior_Analysis_Data3[[#This Row],[Payment_Method]],V:V)</f>
        <v>#VALUE!</v>
      </c>
      <c r="AE351" s="2">
        <f t="shared" si="9"/>
        <v>333.8</v>
      </c>
    </row>
    <row r="352" spans="1:31" x14ac:dyDescent="0.25">
      <c r="A352" s="2" t="s">
        <v>785</v>
      </c>
      <c r="B352" s="2">
        <v>46</v>
      </c>
      <c r="C352" s="2" t="s">
        <v>43</v>
      </c>
      <c r="D352" s="2" t="s">
        <v>44</v>
      </c>
      <c r="E352" s="2" t="s">
        <v>31</v>
      </c>
      <c r="F352" s="2" t="s">
        <v>45</v>
      </c>
      <c r="G352" s="2" t="s">
        <v>44</v>
      </c>
      <c r="H352" s="2" t="s">
        <v>786</v>
      </c>
      <c r="I352" s="2" t="s">
        <v>58</v>
      </c>
      <c r="J352" s="2">
        <v>266.89999999999998</v>
      </c>
      <c r="K352" s="2">
        <v>11</v>
      </c>
      <c r="L352" s="2" t="s">
        <v>35</v>
      </c>
      <c r="M352" s="2">
        <v>4</v>
      </c>
      <c r="N352" s="2">
        <v>2</v>
      </c>
      <c r="O352" s="2">
        <v>2</v>
      </c>
      <c r="P352" s="2" t="s">
        <v>59</v>
      </c>
      <c r="Q352" s="2" t="s">
        <v>50</v>
      </c>
      <c r="R352" s="2">
        <v>1</v>
      </c>
      <c r="S352" s="2">
        <v>8</v>
      </c>
      <c r="T352" s="2" t="s">
        <v>49</v>
      </c>
      <c r="U352" s="2" t="s">
        <v>79</v>
      </c>
      <c r="V352" s="2" t="s">
        <v>51</v>
      </c>
      <c r="W352" s="3">
        <v>45474</v>
      </c>
      <c r="X352" s="2" t="b">
        <v>0</v>
      </c>
      <c r="Y352" s="2" t="b">
        <v>1</v>
      </c>
      <c r="Z352" s="2" t="s">
        <v>52</v>
      </c>
      <c r="AA352" s="2" t="s">
        <v>67</v>
      </c>
      <c r="AB352" s="2">
        <v>13</v>
      </c>
      <c r="AC352" s="2">
        <f>SUMIF(N:N,Ecommerce_Consumer_Behavior_Analysis_Data3[[#This Row],[Brand_Loyalty]],M:M)</f>
        <v>603</v>
      </c>
      <c r="AD352" s="2" t="e" cm="1" vm="1">
        <f t="array" aca="1" ref="AD352" ca="1">SUMIFS(Y:Y,Ecommerce_Consumer_Behavior_Analysis_Data3[[#This Row],[Payment_Method]],V:V)</f>
        <v>#VALUE!</v>
      </c>
      <c r="AE352" s="2">
        <f t="shared" si="9"/>
        <v>211.7</v>
      </c>
    </row>
    <row r="353" spans="1:31" x14ac:dyDescent="0.25">
      <c r="A353" s="2" t="s">
        <v>787</v>
      </c>
      <c r="B353" s="2">
        <v>38</v>
      </c>
      <c r="C353" s="2" t="s">
        <v>29</v>
      </c>
      <c r="D353" s="2" t="s">
        <v>30</v>
      </c>
      <c r="E353" s="2" t="s">
        <v>76</v>
      </c>
      <c r="F353" s="2" t="s">
        <v>32</v>
      </c>
      <c r="G353" s="2" t="s">
        <v>44</v>
      </c>
      <c r="H353" s="2" t="s">
        <v>788</v>
      </c>
      <c r="I353" s="2" t="s">
        <v>117</v>
      </c>
      <c r="J353" s="2">
        <v>269.83999999999997</v>
      </c>
      <c r="K353" s="2">
        <v>4</v>
      </c>
      <c r="L353" s="2" t="s">
        <v>48</v>
      </c>
      <c r="M353" s="2">
        <v>5</v>
      </c>
      <c r="N353" s="2">
        <v>4</v>
      </c>
      <c r="O353" s="2">
        <v>0</v>
      </c>
      <c r="P353" s="2" t="s">
        <v>59</v>
      </c>
      <c r="Q353" s="2" t="s">
        <v>50</v>
      </c>
      <c r="R353" s="2">
        <v>2</v>
      </c>
      <c r="S353" s="2">
        <v>9</v>
      </c>
      <c r="T353" s="2" t="s">
        <v>59</v>
      </c>
      <c r="U353" s="2" t="s">
        <v>38</v>
      </c>
      <c r="V353" s="2" t="s">
        <v>39</v>
      </c>
      <c r="W353" s="3">
        <v>45416</v>
      </c>
      <c r="X353" s="2" t="b">
        <v>1</v>
      </c>
      <c r="Y353" s="2" t="b">
        <v>1</v>
      </c>
      <c r="Z353" s="2" t="s">
        <v>52</v>
      </c>
      <c r="AA353" s="2" t="s">
        <v>41</v>
      </c>
      <c r="AB353" s="2">
        <v>2</v>
      </c>
      <c r="AC353" s="2">
        <f>SUMIF(N:N,Ecommerce_Consumer_Behavior_Analysis_Data3[[#This Row],[Brand_Loyalty]],M:M)</f>
        <v>641</v>
      </c>
      <c r="AD353" s="2" t="e" cm="1" vm="1">
        <f t="array" aca="1" ref="AD353" ca="1">SUMIFS(Y:Y,Ecommerce_Consumer_Behavior_Analysis_Data3[[#This Row],[Payment_Method]],V:V)</f>
        <v>#VALUE!</v>
      </c>
      <c r="AE353" s="2">
        <f t="shared" si="9"/>
        <v>333.8</v>
      </c>
    </row>
    <row r="354" spans="1:31" x14ac:dyDescent="0.25">
      <c r="A354" s="2" t="s">
        <v>789</v>
      </c>
      <c r="B354" s="2">
        <v>23</v>
      </c>
      <c r="C354" s="2" t="s">
        <v>43</v>
      </c>
      <c r="D354" s="2" t="s">
        <v>30</v>
      </c>
      <c r="E354" s="2" t="s">
        <v>31</v>
      </c>
      <c r="F354" s="2" t="s">
        <v>56</v>
      </c>
      <c r="G354" s="2" t="s">
        <v>44</v>
      </c>
      <c r="H354" s="2" t="s">
        <v>790</v>
      </c>
      <c r="I354" s="2" t="s">
        <v>65</v>
      </c>
      <c r="J354" s="2">
        <v>334.22</v>
      </c>
      <c r="K354" s="2">
        <v>8</v>
      </c>
      <c r="L354" s="2" t="s">
        <v>78</v>
      </c>
      <c r="M354" s="2">
        <v>2</v>
      </c>
      <c r="N354" s="2">
        <v>2</v>
      </c>
      <c r="O354" s="2">
        <v>2</v>
      </c>
      <c r="P354" s="2" t="s">
        <v>36</v>
      </c>
      <c r="Q354" s="2" t="s">
        <v>85</v>
      </c>
      <c r="R354" s="2">
        <v>2</v>
      </c>
      <c r="S354" s="2">
        <v>8</v>
      </c>
      <c r="T354" s="2" t="s">
        <v>36</v>
      </c>
      <c r="U354" s="2" t="s">
        <v>38</v>
      </c>
      <c r="V354" s="2" t="s">
        <v>86</v>
      </c>
      <c r="W354" s="3">
        <v>45353</v>
      </c>
      <c r="X354" s="2" t="b">
        <v>0</v>
      </c>
      <c r="Y354" s="2" t="b">
        <v>0</v>
      </c>
      <c r="Z354" s="2" t="s">
        <v>40</v>
      </c>
      <c r="AA354" s="2" t="s">
        <v>53</v>
      </c>
      <c r="AB354" s="2">
        <v>1</v>
      </c>
      <c r="AC354" s="2">
        <f>SUMIF(N:N,Ecommerce_Consumer_Behavior_Analysis_Data3[[#This Row],[Brand_Loyalty]],M:M)</f>
        <v>582</v>
      </c>
      <c r="AD354" s="2" t="e" cm="1" vm="1">
        <f t="array" aca="1" ref="AD354" ca="1">SUMIFS(Y:Y,Ecommerce_Consumer_Behavior_Analysis_Data3[[#This Row],[Payment_Method]],V:V)</f>
        <v>#VALUE!</v>
      </c>
      <c r="AE354" s="2">
        <f t="shared" si="9"/>
        <v>333.8</v>
      </c>
    </row>
    <row r="355" spans="1:31" x14ac:dyDescent="0.25">
      <c r="A355" s="2" t="s">
        <v>791</v>
      </c>
      <c r="B355" s="2">
        <v>40</v>
      </c>
      <c r="C355" s="2" t="s">
        <v>29</v>
      </c>
      <c r="D355" s="2" t="s">
        <v>30</v>
      </c>
      <c r="E355" s="2" t="s">
        <v>31</v>
      </c>
      <c r="F355" s="2" t="s">
        <v>45</v>
      </c>
      <c r="G355" s="2" t="s">
        <v>44</v>
      </c>
      <c r="H355" s="2" t="s">
        <v>792</v>
      </c>
      <c r="I355" s="2" t="s">
        <v>194</v>
      </c>
      <c r="J355" s="2">
        <v>474.56</v>
      </c>
      <c r="K355" s="2">
        <v>8</v>
      </c>
      <c r="L355" s="2" t="s">
        <v>48</v>
      </c>
      <c r="M355" s="2">
        <v>1</v>
      </c>
      <c r="N355" s="2">
        <v>5</v>
      </c>
      <c r="O355" s="2">
        <v>2</v>
      </c>
      <c r="P355" s="2" t="s">
        <v>59</v>
      </c>
      <c r="Q355" s="2" t="s">
        <v>50</v>
      </c>
      <c r="R355" s="2">
        <v>1</v>
      </c>
      <c r="S355" s="2">
        <v>6</v>
      </c>
      <c r="T355" s="2" t="s">
        <v>44</v>
      </c>
      <c r="U355" s="2" t="s">
        <v>60</v>
      </c>
      <c r="V355" s="2" t="s">
        <v>51</v>
      </c>
      <c r="W355" s="3">
        <v>45399</v>
      </c>
      <c r="X355" s="2" t="b">
        <v>1</v>
      </c>
      <c r="Y355" s="2" t="b">
        <v>0</v>
      </c>
      <c r="Z355" s="2" t="s">
        <v>74</v>
      </c>
      <c r="AA355" s="2" t="s">
        <v>53</v>
      </c>
      <c r="AB355" s="2">
        <v>12</v>
      </c>
      <c r="AC355" s="2">
        <f>SUMIF(N:N,Ecommerce_Consumer_Behavior_Analysis_Data3[[#This Row],[Brand_Loyalty]],M:M)</f>
        <v>603</v>
      </c>
      <c r="AD355" s="2" t="e" cm="1" vm="1">
        <f t="array" aca="1" ref="AD355" ca="1">SUMIFS(Y:Y,Ecommerce_Consumer_Behavior_Analysis_Data3[[#This Row],[Payment_Method]],V:V)</f>
        <v>#VALUE!</v>
      </c>
      <c r="AE355" s="2">
        <f t="shared" si="9"/>
        <v>101.31</v>
      </c>
    </row>
    <row r="356" spans="1:31" x14ac:dyDescent="0.25">
      <c r="A356" s="2" t="s">
        <v>793</v>
      </c>
      <c r="B356" s="2">
        <v>34</v>
      </c>
      <c r="C356" s="2" t="s">
        <v>43</v>
      </c>
      <c r="D356" s="2" t="s">
        <v>44</v>
      </c>
      <c r="E356" s="2" t="s">
        <v>31</v>
      </c>
      <c r="F356" s="2" t="s">
        <v>56</v>
      </c>
      <c r="G356" s="2" t="s">
        <v>44</v>
      </c>
      <c r="H356" s="2" t="s">
        <v>794</v>
      </c>
      <c r="I356" s="2" t="s">
        <v>117</v>
      </c>
      <c r="J356" s="2">
        <v>360.91</v>
      </c>
      <c r="K356" s="2">
        <v>4</v>
      </c>
      <c r="L356" s="2" t="s">
        <v>35</v>
      </c>
      <c r="M356" s="2">
        <v>3</v>
      </c>
      <c r="N356" s="2">
        <v>5</v>
      </c>
      <c r="O356" s="2">
        <v>1</v>
      </c>
      <c r="P356" s="2" t="s">
        <v>44</v>
      </c>
      <c r="Q356" s="2" t="s">
        <v>37</v>
      </c>
      <c r="R356" s="2">
        <v>0</v>
      </c>
      <c r="S356" s="2">
        <v>8</v>
      </c>
      <c r="T356" s="2" t="s">
        <v>44</v>
      </c>
      <c r="U356" s="2" t="s">
        <v>79</v>
      </c>
      <c r="V356" s="2" t="s">
        <v>39</v>
      </c>
      <c r="W356" s="3">
        <v>45534</v>
      </c>
      <c r="X356" s="2" t="b">
        <v>1</v>
      </c>
      <c r="Y356" s="2" t="b">
        <v>1</v>
      </c>
      <c r="Z356" s="2" t="s">
        <v>74</v>
      </c>
      <c r="AA356" s="2" t="s">
        <v>41</v>
      </c>
      <c r="AB356" s="2">
        <v>4</v>
      </c>
      <c r="AC356" s="2">
        <f>SUMIF(N:N,Ecommerce_Consumer_Behavior_Analysis_Data3[[#This Row],[Brand_Loyalty]],M:M)</f>
        <v>597</v>
      </c>
      <c r="AD356" s="2" t="e" cm="1" vm="1">
        <f t="array" aca="1" ref="AD356" ca="1">SUMIFS(Y:Y,Ecommerce_Consumer_Behavior_Analysis_Data3[[#This Row],[Payment_Method]],V:V)</f>
        <v>#VALUE!</v>
      </c>
      <c r="AE356" s="2">
        <f t="shared" si="9"/>
        <v>211.7</v>
      </c>
    </row>
    <row r="357" spans="1:31" x14ac:dyDescent="0.25">
      <c r="A357" s="2" t="s">
        <v>795</v>
      </c>
      <c r="B357" s="2">
        <v>44</v>
      </c>
      <c r="C357" s="2" t="s">
        <v>29</v>
      </c>
      <c r="D357" s="2" t="s">
        <v>30</v>
      </c>
      <c r="E357" s="2" t="s">
        <v>69</v>
      </c>
      <c r="F357" s="2" t="s">
        <v>32</v>
      </c>
      <c r="G357" s="2" t="s">
        <v>44</v>
      </c>
      <c r="H357" s="2" t="s">
        <v>796</v>
      </c>
      <c r="I357" s="2" t="s">
        <v>158</v>
      </c>
      <c r="J357" s="2">
        <v>373.49</v>
      </c>
      <c r="K357" s="2">
        <v>6</v>
      </c>
      <c r="L357" s="2" t="s">
        <v>78</v>
      </c>
      <c r="M357" s="2">
        <v>4</v>
      </c>
      <c r="N357" s="2">
        <v>1</v>
      </c>
      <c r="O357" s="2">
        <v>0</v>
      </c>
      <c r="P357" s="2" t="s">
        <v>49</v>
      </c>
      <c r="Q357" s="2" t="s">
        <v>85</v>
      </c>
      <c r="R357" s="2">
        <v>0</v>
      </c>
      <c r="S357" s="2">
        <v>10</v>
      </c>
      <c r="T357" s="2" t="s">
        <v>59</v>
      </c>
      <c r="U357" s="2" t="s">
        <v>38</v>
      </c>
      <c r="V357" s="2" t="s">
        <v>86</v>
      </c>
      <c r="W357" s="3">
        <v>45405</v>
      </c>
      <c r="X357" s="2" t="b">
        <v>1</v>
      </c>
      <c r="Y357" s="2" t="b">
        <v>1</v>
      </c>
      <c r="Z357" s="2" t="s">
        <v>62</v>
      </c>
      <c r="AA357" s="2" t="s">
        <v>53</v>
      </c>
      <c r="AB357" s="2">
        <v>1</v>
      </c>
      <c r="AC357" s="2">
        <f>SUMIF(N:N,Ecommerce_Consumer_Behavior_Analysis_Data3[[#This Row],[Brand_Loyalty]],M:M)</f>
        <v>603</v>
      </c>
      <c r="AD357" s="2" t="e" cm="1" vm="1">
        <f t="array" aca="1" ref="AD357" ca="1">SUMIFS(Y:Y,Ecommerce_Consumer_Behavior_Analysis_Data3[[#This Row],[Payment_Method]],V:V)</f>
        <v>#VALUE!</v>
      </c>
      <c r="AE357" s="2">
        <f t="shared" si="9"/>
        <v>333.8</v>
      </c>
    </row>
    <row r="358" spans="1:31" x14ac:dyDescent="0.25">
      <c r="A358" s="2" t="s">
        <v>797</v>
      </c>
      <c r="B358" s="2">
        <v>32</v>
      </c>
      <c r="C358" s="2" t="s">
        <v>29</v>
      </c>
      <c r="D358" s="2" t="s">
        <v>44</v>
      </c>
      <c r="E358" s="2" t="s">
        <v>31</v>
      </c>
      <c r="F358" s="2" t="s">
        <v>56</v>
      </c>
      <c r="G358" s="2" t="s">
        <v>30</v>
      </c>
      <c r="H358" s="2" t="s">
        <v>798</v>
      </c>
      <c r="I358" s="2" t="s">
        <v>90</v>
      </c>
      <c r="J358" s="2">
        <v>462.3</v>
      </c>
      <c r="K358" s="2">
        <v>5</v>
      </c>
      <c r="L358" s="2" t="s">
        <v>35</v>
      </c>
      <c r="M358" s="2">
        <v>3</v>
      </c>
      <c r="N358" s="2">
        <v>3</v>
      </c>
      <c r="O358" s="2">
        <v>2</v>
      </c>
      <c r="P358" s="2" t="s">
        <v>36</v>
      </c>
      <c r="Q358" s="2" t="s">
        <v>50</v>
      </c>
      <c r="R358" s="2">
        <v>2</v>
      </c>
      <c r="S358" s="2">
        <v>4</v>
      </c>
      <c r="T358" s="2" t="s">
        <v>49</v>
      </c>
      <c r="U358" s="2" t="s">
        <v>38</v>
      </c>
      <c r="V358" s="2" t="s">
        <v>86</v>
      </c>
      <c r="W358" s="3">
        <v>45621</v>
      </c>
      <c r="X358" s="2" t="b">
        <v>1</v>
      </c>
      <c r="Y358" s="2" t="b">
        <v>1</v>
      </c>
      <c r="Z358" s="2" t="s">
        <v>62</v>
      </c>
      <c r="AA358" s="2" t="s">
        <v>53</v>
      </c>
      <c r="AB358" s="2">
        <v>4</v>
      </c>
      <c r="AC358" s="2">
        <f>SUMIF(N:N,Ecommerce_Consumer_Behavior_Analysis_Data3[[#This Row],[Brand_Loyalty]],M:M)</f>
        <v>597</v>
      </c>
      <c r="AD358" s="2" t="e" cm="1" vm="1">
        <f t="array" aca="1" ref="AD358" ca="1">SUMIFS(Y:Y,Ecommerce_Consumer_Behavior_Analysis_Data3[[#This Row],[Payment_Method]],V:V)</f>
        <v>#VALUE!</v>
      </c>
      <c r="AE358" s="2">
        <f t="shared" si="9"/>
        <v>333.8</v>
      </c>
    </row>
    <row r="359" spans="1:31" x14ac:dyDescent="0.25">
      <c r="A359" s="2" t="s">
        <v>799</v>
      </c>
      <c r="B359" s="2">
        <v>42</v>
      </c>
      <c r="C359" s="2" t="s">
        <v>29</v>
      </c>
      <c r="D359" s="2" t="s">
        <v>30</v>
      </c>
      <c r="E359" s="2" t="s">
        <v>55</v>
      </c>
      <c r="F359" s="2" t="s">
        <v>56</v>
      </c>
      <c r="G359" s="2" t="s">
        <v>30</v>
      </c>
      <c r="H359" s="2" t="s">
        <v>800</v>
      </c>
      <c r="I359" s="2" t="s">
        <v>126</v>
      </c>
      <c r="J359" s="2">
        <v>332.67</v>
      </c>
      <c r="K359" s="2">
        <v>8</v>
      </c>
      <c r="L359" s="2" t="s">
        <v>48</v>
      </c>
      <c r="M359" s="2">
        <v>1</v>
      </c>
      <c r="N359" s="2">
        <v>4</v>
      </c>
      <c r="O359" s="2">
        <v>2</v>
      </c>
      <c r="P359" s="2" t="s">
        <v>49</v>
      </c>
      <c r="Q359" s="2" t="s">
        <v>37</v>
      </c>
      <c r="R359" s="2">
        <v>1</v>
      </c>
      <c r="S359" s="2">
        <v>2</v>
      </c>
      <c r="T359" s="2" t="s">
        <v>44</v>
      </c>
      <c r="U359" s="2" t="s">
        <v>60</v>
      </c>
      <c r="V359" s="2" t="s">
        <v>66</v>
      </c>
      <c r="W359" s="3">
        <v>45637</v>
      </c>
      <c r="X359" s="2" t="b">
        <v>0</v>
      </c>
      <c r="Y359" s="2" t="b">
        <v>1</v>
      </c>
      <c r="Z359" s="2" t="s">
        <v>62</v>
      </c>
      <c r="AA359" s="2" t="s">
        <v>67</v>
      </c>
      <c r="AB359" s="2">
        <v>4</v>
      </c>
      <c r="AC359" s="2">
        <f>SUMIF(N:N,Ecommerce_Consumer_Behavior_Analysis_Data3[[#This Row],[Brand_Loyalty]],M:M)</f>
        <v>603</v>
      </c>
      <c r="AD359" s="2" t="e" cm="1" vm="1">
        <f t="array" aca="1" ref="AD359" ca="1">SUMIFS(Y:Y,Ecommerce_Consumer_Behavior_Analysis_Data3[[#This Row],[Payment_Method]],V:V)</f>
        <v>#VALUE!</v>
      </c>
      <c r="AE359" s="2">
        <f t="shared" si="9"/>
        <v>101.31</v>
      </c>
    </row>
    <row r="360" spans="1:31" x14ac:dyDescent="0.25">
      <c r="A360" s="2" t="s">
        <v>801</v>
      </c>
      <c r="B360" s="2">
        <v>22</v>
      </c>
      <c r="C360" s="2" t="s">
        <v>29</v>
      </c>
      <c r="D360" s="2" t="s">
        <v>44</v>
      </c>
      <c r="E360" s="2" t="s">
        <v>76</v>
      </c>
      <c r="F360" s="2" t="s">
        <v>56</v>
      </c>
      <c r="G360" s="2" t="s">
        <v>30</v>
      </c>
      <c r="H360" s="2" t="s">
        <v>802</v>
      </c>
      <c r="I360" s="2" t="s">
        <v>65</v>
      </c>
      <c r="J360" s="2">
        <v>235.39</v>
      </c>
      <c r="K360" s="2">
        <v>9</v>
      </c>
      <c r="L360" s="2" t="s">
        <v>78</v>
      </c>
      <c r="M360" s="2">
        <v>5</v>
      </c>
      <c r="N360" s="2">
        <v>4</v>
      </c>
      <c r="O360" s="2">
        <v>1</v>
      </c>
      <c r="P360" s="2" t="s">
        <v>36</v>
      </c>
      <c r="Q360" s="2" t="s">
        <v>50</v>
      </c>
      <c r="R360" s="2">
        <v>0</v>
      </c>
      <c r="S360" s="2">
        <v>6</v>
      </c>
      <c r="T360" s="2" t="s">
        <v>36</v>
      </c>
      <c r="U360" s="2" t="s">
        <v>60</v>
      </c>
      <c r="V360" s="2" t="s">
        <v>39</v>
      </c>
      <c r="W360" s="3">
        <v>45437</v>
      </c>
      <c r="X360" s="2" t="b">
        <v>0</v>
      </c>
      <c r="Y360" s="2" t="b">
        <v>1</v>
      </c>
      <c r="Z360" s="2" t="s">
        <v>74</v>
      </c>
      <c r="AA360" s="2" t="s">
        <v>41</v>
      </c>
      <c r="AB360" s="2">
        <v>6</v>
      </c>
      <c r="AC360" s="2">
        <f>SUMIF(N:N,Ecommerce_Consumer_Behavior_Analysis_Data3[[#This Row],[Brand_Loyalty]],M:M)</f>
        <v>641</v>
      </c>
      <c r="AD360" s="2" t="e" cm="1" vm="1">
        <f t="array" aca="1" ref="AD360" ca="1">SUMIFS(Y:Y,Ecommerce_Consumer_Behavior_Analysis_Data3[[#This Row],[Payment_Method]],V:V)</f>
        <v>#VALUE!</v>
      </c>
      <c r="AE360" s="2">
        <f t="shared" si="9"/>
        <v>101.31</v>
      </c>
    </row>
    <row r="361" spans="1:31" x14ac:dyDescent="0.25">
      <c r="A361" s="2" t="s">
        <v>803</v>
      </c>
      <c r="B361" s="2">
        <v>44</v>
      </c>
      <c r="C361" s="2" t="s">
        <v>29</v>
      </c>
      <c r="D361" s="2" t="s">
        <v>30</v>
      </c>
      <c r="E361" s="2" t="s">
        <v>31</v>
      </c>
      <c r="F361" s="2" t="s">
        <v>45</v>
      </c>
      <c r="G361" s="2" t="s">
        <v>30</v>
      </c>
      <c r="H361" s="2" t="s">
        <v>804</v>
      </c>
      <c r="I361" s="2" t="s">
        <v>114</v>
      </c>
      <c r="J361" s="2">
        <v>269.77999999999997</v>
      </c>
      <c r="K361" s="2">
        <v>7</v>
      </c>
      <c r="L361" s="2" t="s">
        <v>48</v>
      </c>
      <c r="M361" s="2">
        <v>2</v>
      </c>
      <c r="N361" s="2">
        <v>3</v>
      </c>
      <c r="O361" s="2">
        <v>1</v>
      </c>
      <c r="P361" s="2" t="s">
        <v>49</v>
      </c>
      <c r="Q361" s="2" t="s">
        <v>37</v>
      </c>
      <c r="R361" s="2">
        <v>2</v>
      </c>
      <c r="S361" s="2">
        <v>7</v>
      </c>
      <c r="T361" s="2" t="s">
        <v>49</v>
      </c>
      <c r="U361" s="2" t="s">
        <v>79</v>
      </c>
      <c r="V361" s="2" t="s">
        <v>66</v>
      </c>
      <c r="W361" s="3">
        <v>45498</v>
      </c>
      <c r="X361" s="2" t="b">
        <v>1</v>
      </c>
      <c r="Y361" s="2" t="b">
        <v>1</v>
      </c>
      <c r="Z361" s="2" t="s">
        <v>40</v>
      </c>
      <c r="AA361" s="2" t="s">
        <v>41</v>
      </c>
      <c r="AB361" s="2">
        <v>5</v>
      </c>
      <c r="AC361" s="2">
        <f>SUMIF(N:N,Ecommerce_Consumer_Behavior_Analysis_Data3[[#This Row],[Brand_Loyalty]],M:M)</f>
        <v>582</v>
      </c>
      <c r="AD361" s="2" t="e" cm="1" vm="1">
        <f t="array" aca="1" ref="AD361" ca="1">SUMIFS(Y:Y,Ecommerce_Consumer_Behavior_Analysis_Data3[[#This Row],[Payment_Method]],V:V)</f>
        <v>#VALUE!</v>
      </c>
      <c r="AE361" s="2">
        <f t="shared" si="9"/>
        <v>333.8</v>
      </c>
    </row>
    <row r="362" spans="1:31" x14ac:dyDescent="0.25">
      <c r="A362" s="2" t="s">
        <v>805</v>
      </c>
      <c r="B362" s="2">
        <v>29</v>
      </c>
      <c r="C362" s="2" t="s">
        <v>43</v>
      </c>
      <c r="D362" s="2" t="s">
        <v>30</v>
      </c>
      <c r="E362" s="2" t="s">
        <v>31</v>
      </c>
      <c r="F362" s="2" t="s">
        <v>32</v>
      </c>
      <c r="G362" s="2" t="s">
        <v>30</v>
      </c>
      <c r="H362" s="2" t="s">
        <v>806</v>
      </c>
      <c r="I362" s="2" t="s">
        <v>34</v>
      </c>
      <c r="J362" s="2">
        <v>498.33</v>
      </c>
      <c r="K362" s="2">
        <v>2</v>
      </c>
      <c r="L362" s="2" t="s">
        <v>78</v>
      </c>
      <c r="M362" s="2">
        <v>3</v>
      </c>
      <c r="N362" s="2">
        <v>5</v>
      </c>
      <c r="O362" s="2">
        <v>2</v>
      </c>
      <c r="P362" s="2" t="s">
        <v>49</v>
      </c>
      <c r="Q362" s="2" t="s">
        <v>85</v>
      </c>
      <c r="R362" s="2">
        <v>1</v>
      </c>
      <c r="S362" s="2">
        <v>9</v>
      </c>
      <c r="T362" s="2" t="s">
        <v>49</v>
      </c>
      <c r="U362" s="2" t="s">
        <v>60</v>
      </c>
      <c r="V362" s="2" t="s">
        <v>51</v>
      </c>
      <c r="W362" s="3">
        <v>45420</v>
      </c>
      <c r="X362" s="2" t="b">
        <v>1</v>
      </c>
      <c r="Y362" s="2" t="b">
        <v>1</v>
      </c>
      <c r="Z362" s="2" t="s">
        <v>52</v>
      </c>
      <c r="AA362" s="2" t="s">
        <v>67</v>
      </c>
      <c r="AB362" s="2">
        <v>1</v>
      </c>
      <c r="AC362" s="2">
        <f>SUMIF(N:N,Ecommerce_Consumer_Behavior_Analysis_Data3[[#This Row],[Brand_Loyalty]],M:M)</f>
        <v>597</v>
      </c>
      <c r="AD362" s="2" t="e" cm="1" vm="1">
        <f t="array" aca="1" ref="AD362" ca="1">SUMIFS(Y:Y,Ecommerce_Consumer_Behavior_Analysis_Data3[[#This Row],[Payment_Method]],V:V)</f>
        <v>#VALUE!</v>
      </c>
      <c r="AE362" s="2">
        <f t="shared" si="9"/>
        <v>333.8</v>
      </c>
    </row>
    <row r="363" spans="1:31" x14ac:dyDescent="0.25">
      <c r="A363" s="2" t="s">
        <v>807</v>
      </c>
      <c r="B363" s="2">
        <v>30</v>
      </c>
      <c r="C363" s="2" t="s">
        <v>29</v>
      </c>
      <c r="D363" s="2" t="s">
        <v>44</v>
      </c>
      <c r="E363" s="2" t="s">
        <v>55</v>
      </c>
      <c r="F363" s="2" t="s">
        <v>45</v>
      </c>
      <c r="G363" s="2" t="s">
        <v>44</v>
      </c>
      <c r="H363" s="2" t="s">
        <v>808</v>
      </c>
      <c r="I363" s="2" t="s">
        <v>142</v>
      </c>
      <c r="J363" s="2">
        <v>182.94</v>
      </c>
      <c r="K363" s="2">
        <v>7</v>
      </c>
      <c r="L363" s="2" t="s">
        <v>35</v>
      </c>
      <c r="M363" s="2">
        <v>1</v>
      </c>
      <c r="N363" s="2">
        <v>5</v>
      </c>
      <c r="O363" s="2">
        <v>2</v>
      </c>
      <c r="P363" s="2" t="s">
        <v>36</v>
      </c>
      <c r="Q363" s="2" t="s">
        <v>50</v>
      </c>
      <c r="R363" s="2">
        <v>2</v>
      </c>
      <c r="S363" s="2">
        <v>7</v>
      </c>
      <c r="T363" s="2" t="s">
        <v>59</v>
      </c>
      <c r="U363" s="2" t="s">
        <v>79</v>
      </c>
      <c r="V363" s="2" t="s">
        <v>66</v>
      </c>
      <c r="W363" s="3">
        <v>45440</v>
      </c>
      <c r="X363" s="2" t="b">
        <v>1</v>
      </c>
      <c r="Y363" s="2" t="b">
        <v>1</v>
      </c>
      <c r="Z363" s="2" t="s">
        <v>40</v>
      </c>
      <c r="AA363" s="2" t="s">
        <v>67</v>
      </c>
      <c r="AB363" s="2">
        <v>12</v>
      </c>
      <c r="AC363" s="2">
        <f>SUMIF(N:N,Ecommerce_Consumer_Behavior_Analysis_Data3[[#This Row],[Brand_Loyalty]],M:M)</f>
        <v>603</v>
      </c>
      <c r="AD363" s="2" t="e" cm="1" vm="1">
        <f t="array" aca="1" ref="AD363" ca="1">SUMIFS(Y:Y,Ecommerce_Consumer_Behavior_Analysis_Data3[[#This Row],[Payment_Method]],V:V)</f>
        <v>#VALUE!</v>
      </c>
      <c r="AE363" s="2">
        <f t="shared" si="9"/>
        <v>211.7</v>
      </c>
    </row>
    <row r="364" spans="1:31" x14ac:dyDescent="0.25">
      <c r="A364" s="2" t="s">
        <v>809</v>
      </c>
      <c r="B364" s="2">
        <v>19</v>
      </c>
      <c r="C364" s="2" t="s">
        <v>29</v>
      </c>
      <c r="D364" s="2" t="s">
        <v>30</v>
      </c>
      <c r="E364" s="2" t="s">
        <v>76</v>
      </c>
      <c r="F364" s="2" t="s">
        <v>56</v>
      </c>
      <c r="G364" s="2" t="s">
        <v>44</v>
      </c>
      <c r="H364" s="2" t="s">
        <v>810</v>
      </c>
      <c r="I364" s="2" t="s">
        <v>142</v>
      </c>
      <c r="J364" s="2">
        <v>121.7</v>
      </c>
      <c r="K364" s="2">
        <v>7</v>
      </c>
      <c r="L364" s="2" t="s">
        <v>35</v>
      </c>
      <c r="M364" s="2">
        <v>4</v>
      </c>
      <c r="N364" s="2">
        <v>3</v>
      </c>
      <c r="O364" s="2">
        <v>0</v>
      </c>
      <c r="P364" s="2" t="s">
        <v>44</v>
      </c>
      <c r="Q364" s="2" t="s">
        <v>85</v>
      </c>
      <c r="R364" s="2">
        <v>2</v>
      </c>
      <c r="S364" s="2">
        <v>5</v>
      </c>
      <c r="T364" s="2" t="s">
        <v>36</v>
      </c>
      <c r="U364" s="2" t="s">
        <v>60</v>
      </c>
      <c r="V364" s="2" t="s">
        <v>39</v>
      </c>
      <c r="W364" s="3">
        <v>45467</v>
      </c>
      <c r="X364" s="2" t="b">
        <v>1</v>
      </c>
      <c r="Y364" s="2" t="b">
        <v>1</v>
      </c>
      <c r="Z364" s="2" t="s">
        <v>74</v>
      </c>
      <c r="AA364" s="2" t="s">
        <v>53</v>
      </c>
      <c r="AB364" s="2">
        <v>8</v>
      </c>
      <c r="AC364" s="2">
        <f>SUMIF(N:N,Ecommerce_Consumer_Behavior_Analysis_Data3[[#This Row],[Brand_Loyalty]],M:M)</f>
        <v>603</v>
      </c>
      <c r="AD364" s="2" t="e" cm="1" vm="1">
        <f t="array" aca="1" ref="AD364" ca="1">SUMIFS(Y:Y,Ecommerce_Consumer_Behavior_Analysis_Data3[[#This Row],[Payment_Method]],V:V)</f>
        <v>#VALUE!</v>
      </c>
      <c r="AE364" s="2">
        <f t="shared" si="9"/>
        <v>101.31</v>
      </c>
    </row>
    <row r="365" spans="1:31" x14ac:dyDescent="0.25">
      <c r="A365" s="2" t="s">
        <v>811</v>
      </c>
      <c r="B365" s="2">
        <v>45</v>
      </c>
      <c r="C365" s="2" t="s">
        <v>29</v>
      </c>
      <c r="D365" s="2" t="s">
        <v>44</v>
      </c>
      <c r="E365" s="2" t="s">
        <v>69</v>
      </c>
      <c r="F365" s="2" t="s">
        <v>56</v>
      </c>
      <c r="G365" s="2" t="s">
        <v>30</v>
      </c>
      <c r="H365" s="2" t="s">
        <v>812</v>
      </c>
      <c r="I365" s="2" t="s">
        <v>120</v>
      </c>
      <c r="J365" s="2">
        <v>489.27</v>
      </c>
      <c r="K365" s="2">
        <v>4</v>
      </c>
      <c r="L365" s="2" t="s">
        <v>35</v>
      </c>
      <c r="M365" s="2">
        <v>1</v>
      </c>
      <c r="N365" s="2">
        <v>4</v>
      </c>
      <c r="O365" s="2">
        <v>1</v>
      </c>
      <c r="P365" s="2" t="s">
        <v>44</v>
      </c>
      <c r="Q365" s="2" t="s">
        <v>37</v>
      </c>
      <c r="R365" s="2">
        <v>1</v>
      </c>
      <c r="S365" s="2">
        <v>3</v>
      </c>
      <c r="T365" s="2" t="s">
        <v>36</v>
      </c>
      <c r="U365" s="2" t="s">
        <v>38</v>
      </c>
      <c r="V365" s="2" t="s">
        <v>61</v>
      </c>
      <c r="W365" s="3">
        <v>45304</v>
      </c>
      <c r="X365" s="2" t="b">
        <v>0</v>
      </c>
      <c r="Y365" s="2" t="b">
        <v>0</v>
      </c>
      <c r="Z365" s="2" t="s">
        <v>52</v>
      </c>
      <c r="AA365" s="2" t="s">
        <v>53</v>
      </c>
      <c r="AB365" s="2">
        <v>3</v>
      </c>
      <c r="AC365" s="2">
        <f>SUMIF(N:N,Ecommerce_Consumer_Behavior_Analysis_Data3[[#This Row],[Brand_Loyalty]],M:M)</f>
        <v>603</v>
      </c>
      <c r="AD365" s="2" t="e" cm="1" vm="1">
        <f t="array" aca="1" ref="AD365" ca="1">SUMIFS(Y:Y,Ecommerce_Consumer_Behavior_Analysis_Data3[[#This Row],[Payment_Method]],V:V)</f>
        <v>#VALUE!</v>
      </c>
      <c r="AE365" s="2">
        <f t="shared" si="9"/>
        <v>211.7</v>
      </c>
    </row>
    <row r="366" spans="1:31" x14ac:dyDescent="0.25">
      <c r="A366" s="2" t="s">
        <v>813</v>
      </c>
      <c r="B366" s="2">
        <v>38</v>
      </c>
      <c r="C366" s="2" t="s">
        <v>43</v>
      </c>
      <c r="D366" s="2" t="s">
        <v>30</v>
      </c>
      <c r="E366" s="2" t="s">
        <v>31</v>
      </c>
      <c r="F366" s="2" t="s">
        <v>32</v>
      </c>
      <c r="G366" s="2" t="s">
        <v>30</v>
      </c>
      <c r="H366" s="2" t="s">
        <v>814</v>
      </c>
      <c r="I366" s="2" t="s">
        <v>120</v>
      </c>
      <c r="J366" s="2">
        <v>303.93</v>
      </c>
      <c r="K366" s="2">
        <v>6</v>
      </c>
      <c r="L366" s="2" t="s">
        <v>35</v>
      </c>
      <c r="M366" s="2">
        <v>3</v>
      </c>
      <c r="N366" s="2">
        <v>2</v>
      </c>
      <c r="O366" s="2">
        <v>0</v>
      </c>
      <c r="P366" s="2" t="s">
        <v>44</v>
      </c>
      <c r="Q366" s="2" t="s">
        <v>50</v>
      </c>
      <c r="R366" s="2">
        <v>1</v>
      </c>
      <c r="S366" s="2">
        <v>10</v>
      </c>
      <c r="T366" s="2" t="s">
        <v>59</v>
      </c>
      <c r="U366" s="2" t="s">
        <v>60</v>
      </c>
      <c r="V366" s="2" t="s">
        <v>61</v>
      </c>
      <c r="W366" s="3">
        <v>45364</v>
      </c>
      <c r="X366" s="2" t="b">
        <v>1</v>
      </c>
      <c r="Y366" s="2" t="b">
        <v>0</v>
      </c>
      <c r="Z366" s="2" t="s">
        <v>40</v>
      </c>
      <c r="AA366" s="2" t="s">
        <v>41</v>
      </c>
      <c r="AB366" s="2">
        <v>2</v>
      </c>
      <c r="AC366" s="2">
        <f>SUMIF(N:N,Ecommerce_Consumer_Behavior_Analysis_Data3[[#This Row],[Brand_Loyalty]],M:M)</f>
        <v>597</v>
      </c>
      <c r="AD366" s="2" t="e" cm="1" vm="1">
        <f t="array" aca="1" ref="AD366" ca="1">SUMIFS(Y:Y,Ecommerce_Consumer_Behavior_Analysis_Data3[[#This Row],[Payment_Method]],V:V)</f>
        <v>#VALUE!</v>
      </c>
      <c r="AE366" s="2">
        <f t="shared" si="9"/>
        <v>211.7</v>
      </c>
    </row>
    <row r="367" spans="1:31" x14ac:dyDescent="0.25">
      <c r="A367" s="2" t="s">
        <v>815</v>
      </c>
      <c r="B367" s="2">
        <v>24</v>
      </c>
      <c r="C367" s="2" t="s">
        <v>29</v>
      </c>
      <c r="D367" s="2" t="s">
        <v>30</v>
      </c>
      <c r="E367" s="2" t="s">
        <v>31</v>
      </c>
      <c r="F367" s="2" t="s">
        <v>32</v>
      </c>
      <c r="G367" s="2" t="s">
        <v>30</v>
      </c>
      <c r="H367" s="2" t="s">
        <v>816</v>
      </c>
      <c r="I367" s="2" t="s">
        <v>47</v>
      </c>
      <c r="J367" s="2">
        <v>302.74</v>
      </c>
      <c r="K367" s="2">
        <v>11</v>
      </c>
      <c r="L367" s="2" t="s">
        <v>35</v>
      </c>
      <c r="M367" s="2">
        <v>1</v>
      </c>
      <c r="N367" s="2">
        <v>5</v>
      </c>
      <c r="O367" s="2">
        <v>0</v>
      </c>
      <c r="P367" s="2" t="s">
        <v>44</v>
      </c>
      <c r="Q367" s="2" t="s">
        <v>85</v>
      </c>
      <c r="R367" s="2">
        <v>0</v>
      </c>
      <c r="S367" s="2">
        <v>6</v>
      </c>
      <c r="T367" s="2" t="s">
        <v>44</v>
      </c>
      <c r="U367" s="2" t="s">
        <v>60</v>
      </c>
      <c r="V367" s="2" t="s">
        <v>51</v>
      </c>
      <c r="W367" s="3">
        <v>45471</v>
      </c>
      <c r="X367" s="2" t="b">
        <v>1</v>
      </c>
      <c r="Y367" s="2" t="b">
        <v>1</v>
      </c>
      <c r="Z367" s="2" t="s">
        <v>52</v>
      </c>
      <c r="AA367" s="2" t="s">
        <v>67</v>
      </c>
      <c r="AB367" s="2">
        <v>5</v>
      </c>
      <c r="AC367" s="2">
        <f>SUMIF(N:N,Ecommerce_Consumer_Behavior_Analysis_Data3[[#This Row],[Brand_Loyalty]],M:M)</f>
        <v>603</v>
      </c>
      <c r="AD367" s="2" t="e" cm="1" vm="1">
        <f t="array" aca="1" ref="AD367" ca="1">SUMIFS(Y:Y,Ecommerce_Consumer_Behavior_Analysis_Data3[[#This Row],[Payment_Method]],V:V)</f>
        <v>#VALUE!</v>
      </c>
      <c r="AE367" s="2">
        <f t="shared" si="9"/>
        <v>211.7</v>
      </c>
    </row>
    <row r="368" spans="1:31" x14ac:dyDescent="0.25">
      <c r="A368" s="2" t="s">
        <v>817</v>
      </c>
      <c r="B368" s="2">
        <v>42</v>
      </c>
      <c r="C368" s="2" t="s">
        <v>352</v>
      </c>
      <c r="D368" s="2" t="s">
        <v>44</v>
      </c>
      <c r="E368" s="2" t="s">
        <v>55</v>
      </c>
      <c r="F368" s="2" t="s">
        <v>32</v>
      </c>
      <c r="G368" s="2" t="s">
        <v>44</v>
      </c>
      <c r="H368" s="2" t="s">
        <v>818</v>
      </c>
      <c r="I368" s="2" t="s">
        <v>188</v>
      </c>
      <c r="J368" s="2">
        <v>157.21</v>
      </c>
      <c r="K368" s="2">
        <v>11</v>
      </c>
      <c r="L368" s="2" t="s">
        <v>78</v>
      </c>
      <c r="M368" s="2">
        <v>3</v>
      </c>
      <c r="N368" s="2">
        <v>3</v>
      </c>
      <c r="O368" s="2">
        <v>0</v>
      </c>
      <c r="P368" s="2" t="s">
        <v>49</v>
      </c>
      <c r="Q368" s="2" t="s">
        <v>50</v>
      </c>
      <c r="R368" s="2">
        <v>0</v>
      </c>
      <c r="S368" s="2">
        <v>3</v>
      </c>
      <c r="T368" s="2" t="s">
        <v>44</v>
      </c>
      <c r="U368" s="2" t="s">
        <v>38</v>
      </c>
      <c r="V368" s="2" t="s">
        <v>61</v>
      </c>
      <c r="W368" s="3">
        <v>45412</v>
      </c>
      <c r="X368" s="2" t="b">
        <v>1</v>
      </c>
      <c r="Y368" s="2" t="b">
        <v>0</v>
      </c>
      <c r="Z368" s="2" t="s">
        <v>52</v>
      </c>
      <c r="AA368" s="2" t="s">
        <v>67</v>
      </c>
      <c r="AB368" s="2">
        <v>5</v>
      </c>
      <c r="AC368" s="2">
        <f>SUMIF(N:N,Ecommerce_Consumer_Behavior_Analysis_Data3[[#This Row],[Brand_Loyalty]],M:M)</f>
        <v>597</v>
      </c>
      <c r="AD368" s="2" t="e" cm="1" vm="1">
        <f t="array" aca="1" ref="AD368" ca="1">SUMIFS(Y:Y,Ecommerce_Consumer_Behavior_Analysis_Data3[[#This Row],[Payment_Method]],V:V)</f>
        <v>#VALUE!</v>
      </c>
      <c r="AE368" s="2">
        <f t="shared" si="9"/>
        <v>333.8</v>
      </c>
    </row>
    <row r="369" spans="1:31" x14ac:dyDescent="0.25">
      <c r="A369" s="2" t="s">
        <v>819</v>
      </c>
      <c r="B369" s="2">
        <v>46</v>
      </c>
      <c r="C369" s="2" t="s">
        <v>29</v>
      </c>
      <c r="D369" s="2" t="s">
        <v>44</v>
      </c>
      <c r="E369" s="2" t="s">
        <v>69</v>
      </c>
      <c r="F369" s="2" t="s">
        <v>45</v>
      </c>
      <c r="G369" s="2" t="s">
        <v>44</v>
      </c>
      <c r="H369" s="2" t="s">
        <v>820</v>
      </c>
      <c r="I369" s="2" t="s">
        <v>90</v>
      </c>
      <c r="J369" s="2">
        <v>159.44999999999999</v>
      </c>
      <c r="K369" s="2">
        <v>2</v>
      </c>
      <c r="L369" s="2" t="s">
        <v>78</v>
      </c>
      <c r="M369" s="2">
        <v>3</v>
      </c>
      <c r="N369" s="2">
        <v>2</v>
      </c>
      <c r="O369" s="2">
        <v>2</v>
      </c>
      <c r="P369" s="2" t="s">
        <v>49</v>
      </c>
      <c r="Q369" s="2" t="s">
        <v>85</v>
      </c>
      <c r="R369" s="2">
        <v>0</v>
      </c>
      <c r="S369" s="2">
        <v>5</v>
      </c>
      <c r="T369" s="2" t="s">
        <v>36</v>
      </c>
      <c r="U369" s="2" t="s">
        <v>60</v>
      </c>
      <c r="V369" s="2" t="s">
        <v>61</v>
      </c>
      <c r="W369" s="3">
        <v>45457</v>
      </c>
      <c r="X369" s="2" t="b">
        <v>1</v>
      </c>
      <c r="Y369" s="2" t="b">
        <v>0</v>
      </c>
      <c r="Z369" s="2" t="s">
        <v>62</v>
      </c>
      <c r="AA369" s="2" t="s">
        <v>53</v>
      </c>
      <c r="AB369" s="2">
        <v>14</v>
      </c>
      <c r="AC369" s="2">
        <f>SUMIF(N:N,Ecommerce_Consumer_Behavior_Analysis_Data3[[#This Row],[Brand_Loyalty]],M:M)</f>
        <v>597</v>
      </c>
      <c r="AD369" s="2" t="e" cm="1" vm="1">
        <f t="array" aca="1" ref="AD369" ca="1">SUMIFS(Y:Y,Ecommerce_Consumer_Behavior_Analysis_Data3[[#This Row],[Payment_Method]],V:V)</f>
        <v>#VALUE!</v>
      </c>
      <c r="AE369" s="2">
        <f t="shared" si="9"/>
        <v>101.31</v>
      </c>
    </row>
    <row r="370" spans="1:31" x14ac:dyDescent="0.25">
      <c r="A370" s="2" t="s">
        <v>821</v>
      </c>
      <c r="B370" s="2">
        <v>44</v>
      </c>
      <c r="C370" s="2" t="s">
        <v>29</v>
      </c>
      <c r="D370" s="2" t="s">
        <v>44</v>
      </c>
      <c r="E370" s="2" t="s">
        <v>69</v>
      </c>
      <c r="F370" s="2" t="s">
        <v>45</v>
      </c>
      <c r="G370" s="2" t="s">
        <v>30</v>
      </c>
      <c r="H370" s="2" t="s">
        <v>822</v>
      </c>
      <c r="I370" s="2" t="s">
        <v>98</v>
      </c>
      <c r="J370" s="2">
        <v>312.93</v>
      </c>
      <c r="K370" s="2">
        <v>2</v>
      </c>
      <c r="L370" s="2" t="s">
        <v>48</v>
      </c>
      <c r="M370" s="2">
        <v>2</v>
      </c>
      <c r="N370" s="2">
        <v>2</v>
      </c>
      <c r="O370" s="2">
        <v>1</v>
      </c>
      <c r="P370" s="2" t="s">
        <v>44</v>
      </c>
      <c r="Q370" s="2" t="s">
        <v>85</v>
      </c>
      <c r="R370" s="2">
        <v>0</v>
      </c>
      <c r="S370" s="2">
        <v>7</v>
      </c>
      <c r="T370" s="2" t="s">
        <v>36</v>
      </c>
      <c r="U370" s="2" t="s">
        <v>60</v>
      </c>
      <c r="V370" s="2" t="s">
        <v>51</v>
      </c>
      <c r="W370" s="3">
        <v>45508</v>
      </c>
      <c r="X370" s="2" t="b">
        <v>1</v>
      </c>
      <c r="Y370" s="2" t="b">
        <v>1</v>
      </c>
      <c r="Z370" s="2" t="s">
        <v>52</v>
      </c>
      <c r="AA370" s="2" t="s">
        <v>41</v>
      </c>
      <c r="AB370" s="2">
        <v>3</v>
      </c>
      <c r="AC370" s="2">
        <f>SUMIF(N:N,Ecommerce_Consumer_Behavior_Analysis_Data3[[#This Row],[Brand_Loyalty]],M:M)</f>
        <v>582</v>
      </c>
      <c r="AD370" s="2" t="e" cm="1" vm="1">
        <f t="array" aca="1" ref="AD370" ca="1">SUMIFS(Y:Y,Ecommerce_Consumer_Behavior_Analysis_Data3[[#This Row],[Payment_Method]],V:V)</f>
        <v>#VALUE!</v>
      </c>
      <c r="AE370" s="2">
        <f t="shared" si="9"/>
        <v>211.7</v>
      </c>
    </row>
    <row r="371" spans="1:31" x14ac:dyDescent="0.25">
      <c r="A371" s="2" t="s">
        <v>823</v>
      </c>
      <c r="B371" s="2">
        <v>38</v>
      </c>
      <c r="C371" s="2" t="s">
        <v>43</v>
      </c>
      <c r="D371" s="2" t="s">
        <v>44</v>
      </c>
      <c r="E371" s="2" t="s">
        <v>31</v>
      </c>
      <c r="F371" s="2" t="s">
        <v>56</v>
      </c>
      <c r="G371" s="2" t="s">
        <v>30</v>
      </c>
      <c r="H371" s="2" t="s">
        <v>824</v>
      </c>
      <c r="I371" s="2" t="s">
        <v>107</v>
      </c>
      <c r="J371" s="2">
        <v>65.680000000000007</v>
      </c>
      <c r="K371" s="2">
        <v>4</v>
      </c>
      <c r="L371" s="2" t="s">
        <v>48</v>
      </c>
      <c r="M371" s="2">
        <v>4</v>
      </c>
      <c r="N371" s="2">
        <v>4</v>
      </c>
      <c r="O371" s="2">
        <v>0</v>
      </c>
      <c r="P371" s="2" t="s">
        <v>49</v>
      </c>
      <c r="Q371" s="2" t="s">
        <v>50</v>
      </c>
      <c r="R371" s="2">
        <v>0</v>
      </c>
      <c r="S371" s="2">
        <v>8</v>
      </c>
      <c r="T371" s="2" t="s">
        <v>49</v>
      </c>
      <c r="U371" s="2" t="s">
        <v>60</v>
      </c>
      <c r="V371" s="2" t="s">
        <v>66</v>
      </c>
      <c r="W371" s="3">
        <v>45419</v>
      </c>
      <c r="X371" s="2" t="b">
        <v>0</v>
      </c>
      <c r="Y371" s="2" t="b">
        <v>0</v>
      </c>
      <c r="Z371" s="2" t="s">
        <v>62</v>
      </c>
      <c r="AA371" s="2" t="s">
        <v>53</v>
      </c>
      <c r="AB371" s="2">
        <v>12</v>
      </c>
      <c r="AC371" s="2">
        <f>SUMIF(N:N,Ecommerce_Consumer_Behavior_Analysis_Data3[[#This Row],[Brand_Loyalty]],M:M)</f>
        <v>603</v>
      </c>
      <c r="AD371" s="2" t="e" cm="1" vm="1">
        <f t="array" aca="1" ref="AD371" ca="1">SUMIFS(Y:Y,Ecommerce_Consumer_Behavior_Analysis_Data3[[#This Row],[Payment_Method]],V:V)</f>
        <v>#VALUE!</v>
      </c>
      <c r="AE371" s="2">
        <f t="shared" si="9"/>
        <v>333.8</v>
      </c>
    </row>
    <row r="372" spans="1:31" x14ac:dyDescent="0.25">
      <c r="A372" s="2" t="s">
        <v>825</v>
      </c>
      <c r="B372" s="2">
        <v>44</v>
      </c>
      <c r="C372" s="2" t="s">
        <v>43</v>
      </c>
      <c r="D372" s="2" t="s">
        <v>30</v>
      </c>
      <c r="E372" s="2" t="s">
        <v>55</v>
      </c>
      <c r="F372" s="2" t="s">
        <v>56</v>
      </c>
      <c r="G372" s="2" t="s">
        <v>30</v>
      </c>
      <c r="H372" s="2" t="s">
        <v>826</v>
      </c>
      <c r="I372" s="2" t="s">
        <v>120</v>
      </c>
      <c r="J372" s="2">
        <v>61.86</v>
      </c>
      <c r="K372" s="2">
        <v>5</v>
      </c>
      <c r="L372" s="2" t="s">
        <v>48</v>
      </c>
      <c r="M372" s="2">
        <v>4</v>
      </c>
      <c r="N372" s="2">
        <v>5</v>
      </c>
      <c r="O372" s="2">
        <v>2</v>
      </c>
      <c r="P372" s="2" t="s">
        <v>36</v>
      </c>
      <c r="Q372" s="2" t="s">
        <v>50</v>
      </c>
      <c r="R372" s="2">
        <v>2</v>
      </c>
      <c r="S372" s="2">
        <v>8</v>
      </c>
      <c r="T372" s="2" t="s">
        <v>36</v>
      </c>
      <c r="U372" s="2" t="s">
        <v>60</v>
      </c>
      <c r="V372" s="2" t="s">
        <v>86</v>
      </c>
      <c r="W372" s="3">
        <v>45611</v>
      </c>
      <c r="X372" s="2" t="b">
        <v>0</v>
      </c>
      <c r="Y372" s="2" t="b">
        <v>1</v>
      </c>
      <c r="Z372" s="2" t="s">
        <v>40</v>
      </c>
      <c r="AA372" s="2" t="s">
        <v>53</v>
      </c>
      <c r="AB372" s="2">
        <v>9</v>
      </c>
      <c r="AC372" s="2">
        <f>SUMIF(N:N,Ecommerce_Consumer_Behavior_Analysis_Data3[[#This Row],[Brand_Loyalty]],M:M)</f>
        <v>603</v>
      </c>
      <c r="AD372" s="2" t="e" cm="1" vm="1">
        <f t="array" aca="1" ref="AD372" ca="1">SUMIFS(Y:Y,Ecommerce_Consumer_Behavior_Analysis_Data3[[#This Row],[Payment_Method]],V:V)</f>
        <v>#VALUE!</v>
      </c>
      <c r="AE372" s="2">
        <f t="shared" si="9"/>
        <v>333.8</v>
      </c>
    </row>
    <row r="373" spans="1:31" x14ac:dyDescent="0.25">
      <c r="A373" s="2" t="s">
        <v>827</v>
      </c>
      <c r="B373" s="2">
        <v>18</v>
      </c>
      <c r="C373" s="2" t="s">
        <v>29</v>
      </c>
      <c r="D373" s="2" t="s">
        <v>44</v>
      </c>
      <c r="E373" s="2" t="s">
        <v>55</v>
      </c>
      <c r="F373" s="2" t="s">
        <v>56</v>
      </c>
      <c r="G373" s="2" t="s">
        <v>30</v>
      </c>
      <c r="H373" s="2" t="s">
        <v>828</v>
      </c>
      <c r="I373" s="2" t="s">
        <v>117</v>
      </c>
      <c r="J373" s="2">
        <v>343.77</v>
      </c>
      <c r="K373" s="2">
        <v>6</v>
      </c>
      <c r="L373" s="2" t="s">
        <v>35</v>
      </c>
      <c r="M373" s="2">
        <v>5</v>
      </c>
      <c r="N373" s="2">
        <v>4</v>
      </c>
      <c r="O373" s="2">
        <v>2</v>
      </c>
      <c r="P373" s="2" t="s">
        <v>36</v>
      </c>
      <c r="Q373" s="2" t="s">
        <v>50</v>
      </c>
      <c r="R373" s="2">
        <v>2</v>
      </c>
      <c r="S373" s="2">
        <v>4</v>
      </c>
      <c r="T373" s="2" t="s">
        <v>49</v>
      </c>
      <c r="U373" s="2" t="s">
        <v>79</v>
      </c>
      <c r="V373" s="2" t="s">
        <v>39</v>
      </c>
      <c r="W373" s="3">
        <v>45338</v>
      </c>
      <c r="X373" s="2" t="b">
        <v>1</v>
      </c>
      <c r="Y373" s="2" t="b">
        <v>0</v>
      </c>
      <c r="Z373" s="2" t="s">
        <v>62</v>
      </c>
      <c r="AA373" s="2" t="s">
        <v>41</v>
      </c>
      <c r="AB373" s="2">
        <v>3</v>
      </c>
      <c r="AC373" s="2">
        <f>SUMIF(N:N,Ecommerce_Consumer_Behavior_Analysis_Data3[[#This Row],[Brand_Loyalty]],M:M)</f>
        <v>641</v>
      </c>
      <c r="AD373" s="2" t="e" cm="1" vm="1">
        <f t="array" aca="1" ref="AD373" ca="1">SUMIFS(Y:Y,Ecommerce_Consumer_Behavior_Analysis_Data3[[#This Row],[Payment_Method]],V:V)</f>
        <v>#VALUE!</v>
      </c>
      <c r="AE373" s="2">
        <f t="shared" si="9"/>
        <v>101.31</v>
      </c>
    </row>
    <row r="374" spans="1:31" x14ac:dyDescent="0.25">
      <c r="A374" s="2" t="s">
        <v>829</v>
      </c>
      <c r="B374" s="2">
        <v>37</v>
      </c>
      <c r="C374" s="2" t="s">
        <v>43</v>
      </c>
      <c r="D374" s="2" t="s">
        <v>30</v>
      </c>
      <c r="E374" s="2" t="s">
        <v>76</v>
      </c>
      <c r="F374" s="2" t="s">
        <v>56</v>
      </c>
      <c r="G374" s="2" t="s">
        <v>44</v>
      </c>
      <c r="H374" s="2" t="s">
        <v>830</v>
      </c>
      <c r="I374" s="2" t="s">
        <v>65</v>
      </c>
      <c r="J374" s="2">
        <v>107.21</v>
      </c>
      <c r="K374" s="2">
        <v>2</v>
      </c>
      <c r="L374" s="2" t="s">
        <v>78</v>
      </c>
      <c r="M374" s="2">
        <v>4</v>
      </c>
      <c r="N374" s="2">
        <v>2</v>
      </c>
      <c r="O374" s="2">
        <v>1</v>
      </c>
      <c r="P374" s="2" t="s">
        <v>36</v>
      </c>
      <c r="Q374" s="2" t="s">
        <v>50</v>
      </c>
      <c r="R374" s="2">
        <v>2</v>
      </c>
      <c r="S374" s="2">
        <v>9</v>
      </c>
      <c r="T374" s="2" t="s">
        <v>49</v>
      </c>
      <c r="U374" s="2" t="s">
        <v>79</v>
      </c>
      <c r="V374" s="2" t="s">
        <v>66</v>
      </c>
      <c r="W374" s="3">
        <v>45509</v>
      </c>
      <c r="X374" s="2" t="b">
        <v>1</v>
      </c>
      <c r="Y374" s="2" t="b">
        <v>1</v>
      </c>
      <c r="Z374" s="2" t="s">
        <v>74</v>
      </c>
      <c r="AA374" s="2" t="s">
        <v>53</v>
      </c>
      <c r="AB374" s="2">
        <v>6</v>
      </c>
      <c r="AC374" s="2">
        <f>SUMIF(N:N,Ecommerce_Consumer_Behavior_Analysis_Data3[[#This Row],[Brand_Loyalty]],M:M)</f>
        <v>603</v>
      </c>
      <c r="AD374" s="2" t="e" cm="1" vm="1">
        <f t="array" aca="1" ref="AD374" ca="1">SUMIFS(Y:Y,Ecommerce_Consumer_Behavior_Analysis_Data3[[#This Row],[Payment_Method]],V:V)</f>
        <v>#VALUE!</v>
      </c>
      <c r="AE374" s="2">
        <f t="shared" si="9"/>
        <v>333.8</v>
      </c>
    </row>
    <row r="375" spans="1:31" x14ac:dyDescent="0.25">
      <c r="A375" s="2" t="s">
        <v>831</v>
      </c>
      <c r="B375" s="2">
        <v>31</v>
      </c>
      <c r="C375" s="2" t="s">
        <v>148</v>
      </c>
      <c r="D375" s="2" t="s">
        <v>44</v>
      </c>
      <c r="E375" s="2" t="s">
        <v>55</v>
      </c>
      <c r="F375" s="2" t="s">
        <v>56</v>
      </c>
      <c r="G375" s="2" t="s">
        <v>30</v>
      </c>
      <c r="H375" s="2" t="s">
        <v>832</v>
      </c>
      <c r="I375" s="2" t="s">
        <v>65</v>
      </c>
      <c r="J375" s="2">
        <v>148.97999999999999</v>
      </c>
      <c r="K375" s="2">
        <v>12</v>
      </c>
      <c r="L375" s="2" t="s">
        <v>78</v>
      </c>
      <c r="M375" s="2">
        <v>5</v>
      </c>
      <c r="N375" s="2">
        <v>1</v>
      </c>
      <c r="O375" s="2">
        <v>2</v>
      </c>
      <c r="P375" s="2" t="s">
        <v>36</v>
      </c>
      <c r="Q375" s="2" t="s">
        <v>85</v>
      </c>
      <c r="R375" s="2">
        <v>0</v>
      </c>
      <c r="S375" s="2">
        <v>8</v>
      </c>
      <c r="T375" s="2" t="s">
        <v>59</v>
      </c>
      <c r="U375" s="2" t="s">
        <v>38</v>
      </c>
      <c r="V375" s="2" t="s">
        <v>61</v>
      </c>
      <c r="W375" s="3">
        <v>45515</v>
      </c>
      <c r="X375" s="2" t="b">
        <v>1</v>
      </c>
      <c r="Y375" s="2" t="b">
        <v>1</v>
      </c>
      <c r="Z375" s="2" t="s">
        <v>52</v>
      </c>
      <c r="AA375" s="2" t="s">
        <v>53</v>
      </c>
      <c r="AB375" s="2">
        <v>13</v>
      </c>
      <c r="AC375" s="2">
        <f>SUMIF(N:N,Ecommerce_Consumer_Behavior_Analysis_Data3[[#This Row],[Brand_Loyalty]],M:M)</f>
        <v>641</v>
      </c>
      <c r="AD375" s="2" t="e" cm="1" vm="1">
        <f t="array" aca="1" ref="AD375" ca="1">SUMIFS(Y:Y,Ecommerce_Consumer_Behavior_Analysis_Data3[[#This Row],[Payment_Method]],V:V)</f>
        <v>#VALUE!</v>
      </c>
      <c r="AE375" s="2">
        <f t="shared" si="9"/>
        <v>211.7</v>
      </c>
    </row>
    <row r="376" spans="1:31" x14ac:dyDescent="0.25">
      <c r="A376" s="2" t="s">
        <v>833</v>
      </c>
      <c r="B376" s="2">
        <v>22</v>
      </c>
      <c r="C376" s="2" t="s">
        <v>29</v>
      </c>
      <c r="D376" s="2" t="s">
        <v>44</v>
      </c>
      <c r="E376" s="2" t="s">
        <v>69</v>
      </c>
      <c r="F376" s="2" t="s">
        <v>56</v>
      </c>
      <c r="G376" s="2" t="s">
        <v>30</v>
      </c>
      <c r="H376" s="2" t="s">
        <v>834</v>
      </c>
      <c r="I376" s="2" t="s">
        <v>104</v>
      </c>
      <c r="J376" s="2">
        <v>490.41</v>
      </c>
      <c r="K376" s="2">
        <v>4</v>
      </c>
      <c r="L376" s="2" t="s">
        <v>35</v>
      </c>
      <c r="M376" s="2">
        <v>3</v>
      </c>
      <c r="N376" s="2">
        <v>4</v>
      </c>
      <c r="O376" s="2">
        <v>0</v>
      </c>
      <c r="P376" s="2" t="s">
        <v>59</v>
      </c>
      <c r="Q376" s="2" t="s">
        <v>37</v>
      </c>
      <c r="R376" s="2">
        <v>0</v>
      </c>
      <c r="S376" s="2">
        <v>2</v>
      </c>
      <c r="T376" s="2" t="s">
        <v>44</v>
      </c>
      <c r="U376" s="2" t="s">
        <v>38</v>
      </c>
      <c r="V376" s="2" t="s">
        <v>66</v>
      </c>
      <c r="W376" s="3">
        <v>45641</v>
      </c>
      <c r="X376" s="2" t="b">
        <v>0</v>
      </c>
      <c r="Y376" s="2" t="b">
        <v>1</v>
      </c>
      <c r="Z376" s="2" t="s">
        <v>74</v>
      </c>
      <c r="AA376" s="2" t="s">
        <v>67</v>
      </c>
      <c r="AB376" s="2">
        <v>3</v>
      </c>
      <c r="AC376" s="2">
        <f>SUMIF(N:N,Ecommerce_Consumer_Behavior_Analysis_Data3[[#This Row],[Brand_Loyalty]],M:M)</f>
        <v>597</v>
      </c>
      <c r="AD376" s="2" t="e" cm="1" vm="1">
        <f t="array" aca="1" ref="AD376" ca="1">SUMIFS(Y:Y,Ecommerce_Consumer_Behavior_Analysis_Data3[[#This Row],[Payment_Method]],V:V)</f>
        <v>#VALUE!</v>
      </c>
      <c r="AE376" s="2">
        <f t="shared" si="9"/>
        <v>211.7</v>
      </c>
    </row>
    <row r="377" spans="1:31" x14ac:dyDescent="0.25">
      <c r="A377" s="2" t="s">
        <v>835</v>
      </c>
      <c r="B377" s="2">
        <v>33</v>
      </c>
      <c r="C377" s="2" t="s">
        <v>43</v>
      </c>
      <c r="D377" s="2" t="s">
        <v>44</v>
      </c>
      <c r="E377" s="2" t="s">
        <v>31</v>
      </c>
      <c r="F377" s="2" t="s">
        <v>45</v>
      </c>
      <c r="G377" s="2" t="s">
        <v>30</v>
      </c>
      <c r="H377" s="2" t="s">
        <v>836</v>
      </c>
      <c r="I377" s="2" t="s">
        <v>158</v>
      </c>
      <c r="J377" s="2">
        <v>461.34</v>
      </c>
      <c r="K377" s="2">
        <v>4</v>
      </c>
      <c r="L377" s="2" t="s">
        <v>48</v>
      </c>
      <c r="M377" s="2">
        <v>3</v>
      </c>
      <c r="N377" s="2">
        <v>1</v>
      </c>
      <c r="O377" s="2">
        <v>0</v>
      </c>
      <c r="P377" s="2" t="s">
        <v>44</v>
      </c>
      <c r="Q377" s="2" t="s">
        <v>37</v>
      </c>
      <c r="R377" s="2">
        <v>1</v>
      </c>
      <c r="S377" s="2">
        <v>9</v>
      </c>
      <c r="T377" s="2" t="s">
        <v>59</v>
      </c>
      <c r="U377" s="2" t="s">
        <v>79</v>
      </c>
      <c r="V377" s="2" t="s">
        <v>86</v>
      </c>
      <c r="W377" s="3">
        <v>45357</v>
      </c>
      <c r="X377" s="2" t="b">
        <v>0</v>
      </c>
      <c r="Y377" s="2" t="b">
        <v>1</v>
      </c>
      <c r="Z377" s="2" t="s">
        <v>52</v>
      </c>
      <c r="AA377" s="2" t="s">
        <v>67</v>
      </c>
      <c r="AB377" s="2">
        <v>7</v>
      </c>
      <c r="AC377" s="2">
        <f>SUMIF(N:N,Ecommerce_Consumer_Behavior_Analysis_Data3[[#This Row],[Brand_Loyalty]],M:M)</f>
        <v>597</v>
      </c>
      <c r="AD377" s="2" t="e" cm="1" vm="1">
        <f t="array" aca="1" ref="AD377" ca="1">SUMIFS(Y:Y,Ecommerce_Consumer_Behavior_Analysis_Data3[[#This Row],[Payment_Method]],V:V)</f>
        <v>#VALUE!</v>
      </c>
      <c r="AE377" s="2">
        <f t="shared" si="9"/>
        <v>101.31</v>
      </c>
    </row>
    <row r="378" spans="1:31" x14ac:dyDescent="0.25">
      <c r="A378" s="2" t="s">
        <v>837</v>
      </c>
      <c r="B378" s="2">
        <v>20</v>
      </c>
      <c r="C378" s="2" t="s">
        <v>29</v>
      </c>
      <c r="D378" s="2" t="s">
        <v>44</v>
      </c>
      <c r="E378" s="2" t="s">
        <v>55</v>
      </c>
      <c r="F378" s="2" t="s">
        <v>56</v>
      </c>
      <c r="G378" s="2" t="s">
        <v>44</v>
      </c>
      <c r="H378" s="2" t="s">
        <v>838</v>
      </c>
      <c r="I378" s="2" t="s">
        <v>58</v>
      </c>
      <c r="J378" s="2">
        <v>338.89</v>
      </c>
      <c r="K378" s="2">
        <v>7</v>
      </c>
      <c r="L378" s="2" t="s">
        <v>48</v>
      </c>
      <c r="M378" s="2">
        <v>4</v>
      </c>
      <c r="N378" s="2">
        <v>2</v>
      </c>
      <c r="O378" s="2">
        <v>1</v>
      </c>
      <c r="P378" s="2" t="s">
        <v>59</v>
      </c>
      <c r="Q378" s="2" t="s">
        <v>37</v>
      </c>
      <c r="R378" s="2">
        <v>2</v>
      </c>
      <c r="S378" s="2">
        <v>6</v>
      </c>
      <c r="T378" s="2" t="s">
        <v>36</v>
      </c>
      <c r="U378" s="2" t="s">
        <v>79</v>
      </c>
      <c r="V378" s="2" t="s">
        <v>39</v>
      </c>
      <c r="W378" s="3">
        <v>45433</v>
      </c>
      <c r="X378" s="2" t="b">
        <v>1</v>
      </c>
      <c r="Y378" s="2" t="b">
        <v>1</v>
      </c>
      <c r="Z378" s="2" t="s">
        <v>52</v>
      </c>
      <c r="AA378" s="2" t="s">
        <v>67</v>
      </c>
      <c r="AB378" s="2">
        <v>3</v>
      </c>
      <c r="AC378" s="2">
        <f>SUMIF(N:N,Ecommerce_Consumer_Behavior_Analysis_Data3[[#This Row],[Brand_Loyalty]],M:M)</f>
        <v>603</v>
      </c>
      <c r="AD378" s="2" t="e" cm="1" vm="1">
        <f t="array" aca="1" ref="AD378" ca="1">SUMIFS(Y:Y,Ecommerce_Consumer_Behavior_Analysis_Data3[[#This Row],[Payment_Method]],V:V)</f>
        <v>#VALUE!</v>
      </c>
      <c r="AE378" s="2">
        <f t="shared" si="9"/>
        <v>211.7</v>
      </c>
    </row>
    <row r="379" spans="1:31" x14ac:dyDescent="0.25">
      <c r="A379" s="2" t="s">
        <v>839</v>
      </c>
      <c r="B379" s="2">
        <v>26</v>
      </c>
      <c r="C379" s="2" t="s">
        <v>43</v>
      </c>
      <c r="D379" s="2" t="s">
        <v>44</v>
      </c>
      <c r="E379" s="2" t="s">
        <v>31</v>
      </c>
      <c r="F379" s="2" t="s">
        <v>45</v>
      </c>
      <c r="G379" s="2" t="s">
        <v>44</v>
      </c>
      <c r="H379" s="2" t="s">
        <v>840</v>
      </c>
      <c r="I379" s="2" t="s">
        <v>34</v>
      </c>
      <c r="J379" s="2">
        <v>222.63</v>
      </c>
      <c r="K379" s="2">
        <v>3</v>
      </c>
      <c r="L379" s="2" t="s">
        <v>35</v>
      </c>
      <c r="M379" s="2">
        <v>1</v>
      </c>
      <c r="N379" s="2">
        <v>1</v>
      </c>
      <c r="O379" s="2">
        <v>0</v>
      </c>
      <c r="P379" s="2" t="s">
        <v>49</v>
      </c>
      <c r="Q379" s="2" t="s">
        <v>37</v>
      </c>
      <c r="R379" s="2">
        <v>2</v>
      </c>
      <c r="S379" s="2">
        <v>2</v>
      </c>
      <c r="T379" s="2" t="s">
        <v>36</v>
      </c>
      <c r="U379" s="2" t="s">
        <v>38</v>
      </c>
      <c r="V379" s="2" t="s">
        <v>86</v>
      </c>
      <c r="W379" s="3">
        <v>45374</v>
      </c>
      <c r="X379" s="2" t="b">
        <v>0</v>
      </c>
      <c r="Y379" s="2" t="b">
        <v>1</v>
      </c>
      <c r="Z379" s="2" t="s">
        <v>62</v>
      </c>
      <c r="AA379" s="2" t="s">
        <v>67</v>
      </c>
      <c r="AB379" s="2">
        <v>6</v>
      </c>
      <c r="AC379" s="2">
        <f>SUMIF(N:N,Ecommerce_Consumer_Behavior_Analysis_Data3[[#This Row],[Brand_Loyalty]],M:M)</f>
        <v>603</v>
      </c>
      <c r="AD379" s="2" t="e" cm="1" vm="1">
        <f t="array" aca="1" ref="AD379" ca="1">SUMIFS(Y:Y,Ecommerce_Consumer_Behavior_Analysis_Data3[[#This Row],[Payment_Method]],V:V)</f>
        <v>#VALUE!</v>
      </c>
      <c r="AE379" s="2">
        <f t="shared" si="9"/>
        <v>333.8</v>
      </c>
    </row>
    <row r="380" spans="1:31" x14ac:dyDescent="0.25">
      <c r="A380" s="2" t="s">
        <v>841</v>
      </c>
      <c r="B380" s="2">
        <v>26</v>
      </c>
      <c r="C380" s="2" t="s">
        <v>43</v>
      </c>
      <c r="D380" s="2" t="s">
        <v>44</v>
      </c>
      <c r="E380" s="2" t="s">
        <v>31</v>
      </c>
      <c r="F380" s="2" t="s">
        <v>45</v>
      </c>
      <c r="G380" s="2" t="s">
        <v>44</v>
      </c>
      <c r="H380" s="2" t="s">
        <v>842</v>
      </c>
      <c r="I380" s="2" t="s">
        <v>126</v>
      </c>
      <c r="J380" s="2">
        <v>71.95</v>
      </c>
      <c r="K380" s="2">
        <v>2</v>
      </c>
      <c r="L380" s="2" t="s">
        <v>35</v>
      </c>
      <c r="M380" s="2">
        <v>3</v>
      </c>
      <c r="N380" s="2">
        <v>5</v>
      </c>
      <c r="O380" s="2">
        <v>2</v>
      </c>
      <c r="P380" s="2" t="s">
        <v>36</v>
      </c>
      <c r="Q380" s="2" t="s">
        <v>85</v>
      </c>
      <c r="R380" s="2">
        <v>2</v>
      </c>
      <c r="S380" s="2">
        <v>10</v>
      </c>
      <c r="T380" s="2" t="s">
        <v>36</v>
      </c>
      <c r="U380" s="2" t="s">
        <v>79</v>
      </c>
      <c r="V380" s="2" t="s">
        <v>61</v>
      </c>
      <c r="W380" s="3">
        <v>45557</v>
      </c>
      <c r="X380" s="2" t="b">
        <v>0</v>
      </c>
      <c r="Y380" s="2" t="b">
        <v>1</v>
      </c>
      <c r="Z380" s="2" t="s">
        <v>74</v>
      </c>
      <c r="AA380" s="2" t="s">
        <v>41</v>
      </c>
      <c r="AB380" s="2">
        <v>13</v>
      </c>
      <c r="AC380" s="2">
        <f>SUMIF(N:N,Ecommerce_Consumer_Behavior_Analysis_Data3[[#This Row],[Brand_Loyalty]],M:M)</f>
        <v>597</v>
      </c>
      <c r="AD380" s="2" t="e" cm="1" vm="1">
        <f t="array" aca="1" ref="AD380" ca="1">SUMIFS(Y:Y,Ecommerce_Consumer_Behavior_Analysis_Data3[[#This Row],[Payment_Method]],V:V)</f>
        <v>#VALUE!</v>
      </c>
      <c r="AE380" s="2">
        <f t="shared" si="9"/>
        <v>101.31</v>
      </c>
    </row>
    <row r="381" spans="1:31" x14ac:dyDescent="0.25">
      <c r="A381" s="2" t="s">
        <v>843</v>
      </c>
      <c r="B381" s="2">
        <v>21</v>
      </c>
      <c r="C381" s="2" t="s">
        <v>43</v>
      </c>
      <c r="D381" s="2" t="s">
        <v>44</v>
      </c>
      <c r="E381" s="2" t="s">
        <v>76</v>
      </c>
      <c r="F381" s="2" t="s">
        <v>45</v>
      </c>
      <c r="G381" s="2" t="s">
        <v>30</v>
      </c>
      <c r="H381" s="2" t="s">
        <v>844</v>
      </c>
      <c r="I381" s="2" t="s">
        <v>120</v>
      </c>
      <c r="J381" s="2">
        <v>264.52</v>
      </c>
      <c r="K381" s="2">
        <v>9</v>
      </c>
      <c r="L381" s="2" t="s">
        <v>78</v>
      </c>
      <c r="M381" s="2">
        <v>3</v>
      </c>
      <c r="N381" s="2">
        <v>3</v>
      </c>
      <c r="O381" s="2">
        <v>1</v>
      </c>
      <c r="P381" s="2" t="s">
        <v>36</v>
      </c>
      <c r="Q381" s="2" t="s">
        <v>50</v>
      </c>
      <c r="R381" s="2">
        <v>0</v>
      </c>
      <c r="S381" s="2">
        <v>10</v>
      </c>
      <c r="T381" s="2" t="s">
        <v>36</v>
      </c>
      <c r="U381" s="2" t="s">
        <v>60</v>
      </c>
      <c r="V381" s="2" t="s">
        <v>61</v>
      </c>
      <c r="W381" s="3">
        <v>45384</v>
      </c>
      <c r="X381" s="2" t="b">
        <v>1</v>
      </c>
      <c r="Y381" s="2" t="b">
        <v>1</v>
      </c>
      <c r="Z381" s="2" t="s">
        <v>74</v>
      </c>
      <c r="AA381" s="2" t="s">
        <v>41</v>
      </c>
      <c r="AB381" s="2">
        <v>6</v>
      </c>
      <c r="AC381" s="2">
        <f>SUMIF(N:N,Ecommerce_Consumer_Behavior_Analysis_Data3[[#This Row],[Brand_Loyalty]],M:M)</f>
        <v>597</v>
      </c>
      <c r="AD381" s="2" t="e" cm="1" vm="1">
        <f t="array" aca="1" ref="AD381" ca="1">SUMIFS(Y:Y,Ecommerce_Consumer_Behavior_Analysis_Data3[[#This Row],[Payment_Method]],V:V)</f>
        <v>#VALUE!</v>
      </c>
      <c r="AE381" s="2">
        <f t="shared" si="9"/>
        <v>333.8</v>
      </c>
    </row>
    <row r="382" spans="1:31" x14ac:dyDescent="0.25">
      <c r="A382" s="2" t="s">
        <v>845</v>
      </c>
      <c r="B382" s="2">
        <v>43</v>
      </c>
      <c r="C382" s="2" t="s">
        <v>43</v>
      </c>
      <c r="D382" s="2" t="s">
        <v>44</v>
      </c>
      <c r="E382" s="2" t="s">
        <v>76</v>
      </c>
      <c r="F382" s="2" t="s">
        <v>45</v>
      </c>
      <c r="G382" s="2" t="s">
        <v>44</v>
      </c>
      <c r="H382" s="2" t="s">
        <v>846</v>
      </c>
      <c r="I382" s="2" t="s">
        <v>47</v>
      </c>
      <c r="J382" s="2">
        <v>414.8</v>
      </c>
      <c r="K382" s="2">
        <v>9</v>
      </c>
      <c r="L382" s="2" t="s">
        <v>35</v>
      </c>
      <c r="M382" s="2">
        <v>2</v>
      </c>
      <c r="N382" s="2">
        <v>3</v>
      </c>
      <c r="O382" s="2">
        <v>2</v>
      </c>
      <c r="P382" s="2" t="s">
        <v>59</v>
      </c>
      <c r="Q382" s="2" t="s">
        <v>85</v>
      </c>
      <c r="R382" s="2">
        <v>2</v>
      </c>
      <c r="S382" s="2">
        <v>9</v>
      </c>
      <c r="T382" s="2" t="s">
        <v>36</v>
      </c>
      <c r="U382" s="2" t="s">
        <v>79</v>
      </c>
      <c r="V382" s="2" t="s">
        <v>51</v>
      </c>
      <c r="W382" s="3">
        <v>45321</v>
      </c>
      <c r="X382" s="2" t="b">
        <v>0</v>
      </c>
      <c r="Y382" s="2" t="b">
        <v>1</v>
      </c>
      <c r="Z382" s="2" t="s">
        <v>74</v>
      </c>
      <c r="AA382" s="2" t="s">
        <v>41</v>
      </c>
      <c r="AB382" s="2">
        <v>7</v>
      </c>
      <c r="AC382" s="2">
        <f>SUMIF(N:N,Ecommerce_Consumer_Behavior_Analysis_Data3[[#This Row],[Brand_Loyalty]],M:M)</f>
        <v>582</v>
      </c>
      <c r="AD382" s="2" t="e" cm="1" vm="1">
        <f t="array" aca="1" ref="AD382" ca="1">SUMIFS(Y:Y,Ecommerce_Consumer_Behavior_Analysis_Data3[[#This Row],[Payment_Method]],V:V)</f>
        <v>#VALUE!</v>
      </c>
      <c r="AE382" s="2">
        <f t="shared" si="9"/>
        <v>211.7</v>
      </c>
    </row>
    <row r="383" spans="1:31" x14ac:dyDescent="0.25">
      <c r="A383" s="2" t="s">
        <v>847</v>
      </c>
      <c r="B383" s="2">
        <v>50</v>
      </c>
      <c r="C383" s="2" t="s">
        <v>43</v>
      </c>
      <c r="D383" s="2" t="s">
        <v>30</v>
      </c>
      <c r="E383" s="2" t="s">
        <v>55</v>
      </c>
      <c r="F383" s="2" t="s">
        <v>32</v>
      </c>
      <c r="G383" s="2" t="s">
        <v>44</v>
      </c>
      <c r="H383" s="2" t="s">
        <v>848</v>
      </c>
      <c r="I383" s="2" t="s">
        <v>158</v>
      </c>
      <c r="J383" s="2">
        <v>50.79</v>
      </c>
      <c r="K383" s="2">
        <v>12</v>
      </c>
      <c r="L383" s="2" t="s">
        <v>35</v>
      </c>
      <c r="M383" s="2">
        <v>5</v>
      </c>
      <c r="N383" s="2">
        <v>1</v>
      </c>
      <c r="O383" s="2">
        <v>0</v>
      </c>
      <c r="P383" s="2" t="s">
        <v>49</v>
      </c>
      <c r="Q383" s="2" t="s">
        <v>37</v>
      </c>
      <c r="R383" s="2">
        <v>0</v>
      </c>
      <c r="S383" s="2">
        <v>2</v>
      </c>
      <c r="T383" s="2" t="s">
        <v>49</v>
      </c>
      <c r="U383" s="2" t="s">
        <v>79</v>
      </c>
      <c r="V383" s="2" t="s">
        <v>66</v>
      </c>
      <c r="W383" s="3">
        <v>45440</v>
      </c>
      <c r="X383" s="2" t="b">
        <v>1</v>
      </c>
      <c r="Y383" s="2" t="b">
        <v>0</v>
      </c>
      <c r="Z383" s="2" t="s">
        <v>74</v>
      </c>
      <c r="AA383" s="2" t="s">
        <v>53</v>
      </c>
      <c r="AB383" s="2">
        <v>3</v>
      </c>
      <c r="AC383" s="2">
        <f>SUMIF(N:N,Ecommerce_Consumer_Behavior_Analysis_Data3[[#This Row],[Brand_Loyalty]],M:M)</f>
        <v>641</v>
      </c>
      <c r="AD383" s="2" t="e" cm="1" vm="1">
        <f t="array" aca="1" ref="AD383" ca="1">SUMIFS(Y:Y,Ecommerce_Consumer_Behavior_Analysis_Data3[[#This Row],[Payment_Method]],V:V)</f>
        <v>#VALUE!</v>
      </c>
      <c r="AE383" s="2">
        <f t="shared" si="9"/>
        <v>101.31</v>
      </c>
    </row>
    <row r="384" spans="1:31" x14ac:dyDescent="0.25">
      <c r="A384" s="2" t="s">
        <v>849</v>
      </c>
      <c r="B384" s="2">
        <v>42</v>
      </c>
      <c r="C384" s="2" t="s">
        <v>29</v>
      </c>
      <c r="D384" s="2" t="s">
        <v>30</v>
      </c>
      <c r="E384" s="2" t="s">
        <v>31</v>
      </c>
      <c r="F384" s="2" t="s">
        <v>45</v>
      </c>
      <c r="G384" s="2" t="s">
        <v>30</v>
      </c>
      <c r="H384" s="2" t="s">
        <v>850</v>
      </c>
      <c r="I384" s="2" t="s">
        <v>107</v>
      </c>
      <c r="J384" s="2">
        <v>264.3</v>
      </c>
      <c r="K384" s="2">
        <v>10</v>
      </c>
      <c r="L384" s="2" t="s">
        <v>48</v>
      </c>
      <c r="M384" s="2">
        <v>5</v>
      </c>
      <c r="N384" s="2">
        <v>4</v>
      </c>
      <c r="O384" s="2">
        <v>1</v>
      </c>
      <c r="P384" s="2" t="s">
        <v>59</v>
      </c>
      <c r="Q384" s="2" t="s">
        <v>50</v>
      </c>
      <c r="R384" s="2">
        <v>2</v>
      </c>
      <c r="S384" s="2">
        <v>2</v>
      </c>
      <c r="T384" s="2" t="s">
        <v>44</v>
      </c>
      <c r="U384" s="2" t="s">
        <v>60</v>
      </c>
      <c r="V384" s="2" t="s">
        <v>51</v>
      </c>
      <c r="W384" s="3">
        <v>45524</v>
      </c>
      <c r="X384" s="2" t="b">
        <v>1</v>
      </c>
      <c r="Y384" s="2" t="b">
        <v>1</v>
      </c>
      <c r="Z384" s="2" t="s">
        <v>74</v>
      </c>
      <c r="AA384" s="2" t="s">
        <v>41</v>
      </c>
      <c r="AB384" s="2">
        <v>5</v>
      </c>
      <c r="AC384" s="2">
        <f>SUMIF(N:N,Ecommerce_Consumer_Behavior_Analysis_Data3[[#This Row],[Brand_Loyalty]],M:M)</f>
        <v>641</v>
      </c>
      <c r="AD384" s="2" t="e" cm="1" vm="1">
        <f t="array" aca="1" ref="AD384" ca="1">SUMIFS(Y:Y,Ecommerce_Consumer_Behavior_Analysis_Data3[[#This Row],[Payment_Method]],V:V)</f>
        <v>#VALUE!</v>
      </c>
      <c r="AE384" s="2">
        <f t="shared" si="9"/>
        <v>211.7</v>
      </c>
    </row>
    <row r="385" spans="1:31" x14ac:dyDescent="0.25">
      <c r="A385" s="2" t="s">
        <v>851</v>
      </c>
      <c r="B385" s="2">
        <v>29</v>
      </c>
      <c r="C385" s="2" t="s">
        <v>43</v>
      </c>
      <c r="D385" s="2" t="s">
        <v>44</v>
      </c>
      <c r="E385" s="2" t="s">
        <v>31</v>
      </c>
      <c r="F385" s="2" t="s">
        <v>32</v>
      </c>
      <c r="G385" s="2" t="s">
        <v>30</v>
      </c>
      <c r="H385" s="2" t="s">
        <v>852</v>
      </c>
      <c r="I385" s="2" t="s">
        <v>101</v>
      </c>
      <c r="J385" s="2">
        <v>122.46</v>
      </c>
      <c r="K385" s="2">
        <v>12</v>
      </c>
      <c r="L385" s="2" t="s">
        <v>35</v>
      </c>
      <c r="M385" s="2">
        <v>2</v>
      </c>
      <c r="N385" s="2">
        <v>3</v>
      </c>
      <c r="O385" s="2">
        <v>0</v>
      </c>
      <c r="P385" s="2" t="s">
        <v>44</v>
      </c>
      <c r="Q385" s="2" t="s">
        <v>50</v>
      </c>
      <c r="R385" s="2">
        <v>0</v>
      </c>
      <c r="S385" s="2">
        <v>3</v>
      </c>
      <c r="T385" s="2" t="s">
        <v>59</v>
      </c>
      <c r="U385" s="2" t="s">
        <v>38</v>
      </c>
      <c r="V385" s="2" t="s">
        <v>39</v>
      </c>
      <c r="W385" s="3">
        <v>45337</v>
      </c>
      <c r="X385" s="2" t="b">
        <v>0</v>
      </c>
      <c r="Y385" s="2" t="b">
        <v>1</v>
      </c>
      <c r="Z385" s="2" t="s">
        <v>52</v>
      </c>
      <c r="AA385" s="2" t="s">
        <v>53</v>
      </c>
      <c r="AB385" s="2">
        <v>6</v>
      </c>
      <c r="AC385" s="2">
        <f>SUMIF(N:N,Ecommerce_Consumer_Behavior_Analysis_Data3[[#This Row],[Brand_Loyalty]],M:M)</f>
        <v>582</v>
      </c>
      <c r="AD385" s="2" t="e" cm="1" vm="1">
        <f t="array" aca="1" ref="AD385" ca="1">SUMIFS(Y:Y,Ecommerce_Consumer_Behavior_Analysis_Data3[[#This Row],[Payment_Method]],V:V)</f>
        <v>#VALUE!</v>
      </c>
      <c r="AE385" s="2">
        <f t="shared" si="9"/>
        <v>211.7</v>
      </c>
    </row>
    <row r="386" spans="1:31" x14ac:dyDescent="0.25">
      <c r="A386" s="2" t="s">
        <v>853</v>
      </c>
      <c r="B386" s="2">
        <v>20</v>
      </c>
      <c r="C386" s="2" t="s">
        <v>43</v>
      </c>
      <c r="D386" s="2" t="s">
        <v>30</v>
      </c>
      <c r="E386" s="2" t="s">
        <v>69</v>
      </c>
      <c r="F386" s="2" t="s">
        <v>45</v>
      </c>
      <c r="G386" s="2" t="s">
        <v>30</v>
      </c>
      <c r="H386" s="2" t="s">
        <v>854</v>
      </c>
      <c r="I386" s="2" t="s">
        <v>120</v>
      </c>
      <c r="J386" s="2">
        <v>238.01</v>
      </c>
      <c r="K386" s="2">
        <v>8</v>
      </c>
      <c r="L386" s="2" t="s">
        <v>48</v>
      </c>
      <c r="M386" s="2">
        <v>2</v>
      </c>
      <c r="N386" s="2">
        <v>2</v>
      </c>
      <c r="O386" s="2">
        <v>0</v>
      </c>
      <c r="P386" s="2" t="s">
        <v>44</v>
      </c>
      <c r="Q386" s="2" t="s">
        <v>37</v>
      </c>
      <c r="R386" s="2">
        <v>0</v>
      </c>
      <c r="S386" s="2">
        <v>9</v>
      </c>
      <c r="T386" s="2" t="s">
        <v>59</v>
      </c>
      <c r="U386" s="2" t="s">
        <v>79</v>
      </c>
      <c r="V386" s="2" t="s">
        <v>86</v>
      </c>
      <c r="W386" s="3">
        <v>45486</v>
      </c>
      <c r="X386" s="2" t="b">
        <v>0</v>
      </c>
      <c r="Y386" s="2" t="b">
        <v>1</v>
      </c>
      <c r="Z386" s="2" t="s">
        <v>40</v>
      </c>
      <c r="AA386" s="2" t="s">
        <v>53</v>
      </c>
      <c r="AB386" s="2">
        <v>5</v>
      </c>
      <c r="AC386" s="2">
        <f>SUMIF(N:N,Ecommerce_Consumer_Behavior_Analysis_Data3[[#This Row],[Brand_Loyalty]],M:M)</f>
        <v>582</v>
      </c>
      <c r="AD386" s="2" t="e" cm="1" vm="1">
        <f t="array" aca="1" ref="AD386" ca="1">SUMIFS(Y:Y,Ecommerce_Consumer_Behavior_Analysis_Data3[[#This Row],[Payment_Method]],V:V)</f>
        <v>#VALUE!</v>
      </c>
      <c r="AE386" s="2">
        <f t="shared" ref="AE386:AE449" si="10">INDEX(J:J,MATCH(O387,O:O,0))</f>
        <v>333.8</v>
      </c>
    </row>
    <row r="387" spans="1:31" x14ac:dyDescent="0.25">
      <c r="A387" s="2" t="s">
        <v>855</v>
      </c>
      <c r="B387" s="2">
        <v>40</v>
      </c>
      <c r="C387" s="2" t="s">
        <v>190</v>
      </c>
      <c r="D387" s="2" t="s">
        <v>44</v>
      </c>
      <c r="E387" s="2" t="s">
        <v>31</v>
      </c>
      <c r="F387" s="2" t="s">
        <v>56</v>
      </c>
      <c r="G387" s="2" t="s">
        <v>30</v>
      </c>
      <c r="H387" s="2" t="s">
        <v>856</v>
      </c>
      <c r="I387" s="2" t="s">
        <v>65</v>
      </c>
      <c r="J387" s="2">
        <v>490.34</v>
      </c>
      <c r="K387" s="2">
        <v>4</v>
      </c>
      <c r="L387" s="2" t="s">
        <v>48</v>
      </c>
      <c r="M387" s="2">
        <v>5</v>
      </c>
      <c r="N387" s="2">
        <v>2</v>
      </c>
      <c r="O387" s="2">
        <v>2</v>
      </c>
      <c r="P387" s="2" t="s">
        <v>36</v>
      </c>
      <c r="Q387" s="2" t="s">
        <v>50</v>
      </c>
      <c r="R387" s="2">
        <v>2</v>
      </c>
      <c r="S387" s="2">
        <v>7</v>
      </c>
      <c r="T387" s="2" t="s">
        <v>44</v>
      </c>
      <c r="U387" s="2" t="s">
        <v>38</v>
      </c>
      <c r="V387" s="2" t="s">
        <v>66</v>
      </c>
      <c r="W387" s="3">
        <v>45399</v>
      </c>
      <c r="X387" s="2" t="b">
        <v>0</v>
      </c>
      <c r="Y387" s="2" t="b">
        <v>1</v>
      </c>
      <c r="Z387" s="2" t="s">
        <v>40</v>
      </c>
      <c r="AA387" s="2" t="s">
        <v>41</v>
      </c>
      <c r="AB387" s="2">
        <v>2</v>
      </c>
      <c r="AC387" s="2">
        <f>SUMIF(N:N,Ecommerce_Consumer_Behavior_Analysis_Data3[[#This Row],[Brand_Loyalty]],M:M)</f>
        <v>641</v>
      </c>
      <c r="AD387" s="2" t="e" cm="1" vm="1">
        <f t="array" aca="1" ref="AD387" ca="1">SUMIFS(Y:Y,Ecommerce_Consumer_Behavior_Analysis_Data3[[#This Row],[Payment_Method]],V:V)</f>
        <v>#VALUE!</v>
      </c>
      <c r="AE387" s="2">
        <f t="shared" si="10"/>
        <v>101.31</v>
      </c>
    </row>
    <row r="388" spans="1:31" x14ac:dyDescent="0.25">
      <c r="A388" s="2" t="s">
        <v>857</v>
      </c>
      <c r="B388" s="2">
        <v>38</v>
      </c>
      <c r="C388" s="2" t="s">
        <v>43</v>
      </c>
      <c r="D388" s="2" t="s">
        <v>44</v>
      </c>
      <c r="E388" s="2" t="s">
        <v>76</v>
      </c>
      <c r="F388" s="2" t="s">
        <v>32</v>
      </c>
      <c r="G388" s="2" t="s">
        <v>30</v>
      </c>
      <c r="H388" s="2" t="s">
        <v>858</v>
      </c>
      <c r="I388" s="2" t="s">
        <v>246</v>
      </c>
      <c r="J388" s="2">
        <v>245.98</v>
      </c>
      <c r="K388" s="2">
        <v>4</v>
      </c>
      <c r="L388" s="2" t="s">
        <v>35</v>
      </c>
      <c r="M388" s="2">
        <v>5</v>
      </c>
      <c r="N388" s="2">
        <v>1</v>
      </c>
      <c r="O388" s="2">
        <v>1</v>
      </c>
      <c r="P388" s="2" t="s">
        <v>44</v>
      </c>
      <c r="Q388" s="2" t="s">
        <v>50</v>
      </c>
      <c r="R388" s="2">
        <v>0</v>
      </c>
      <c r="S388" s="2">
        <v>1</v>
      </c>
      <c r="T388" s="2" t="s">
        <v>49</v>
      </c>
      <c r="U388" s="2" t="s">
        <v>79</v>
      </c>
      <c r="V388" s="2" t="s">
        <v>51</v>
      </c>
      <c r="W388" s="3">
        <v>45625</v>
      </c>
      <c r="X388" s="2" t="b">
        <v>0</v>
      </c>
      <c r="Y388" s="2" t="b">
        <v>0</v>
      </c>
      <c r="Z388" s="2" t="s">
        <v>74</v>
      </c>
      <c r="AA388" s="2" t="s">
        <v>53</v>
      </c>
      <c r="AB388" s="2">
        <v>10</v>
      </c>
      <c r="AC388" s="2">
        <f>SUMIF(N:N,Ecommerce_Consumer_Behavior_Analysis_Data3[[#This Row],[Brand_Loyalty]],M:M)</f>
        <v>641</v>
      </c>
      <c r="AD388" s="2" t="e" cm="1" vm="1">
        <f t="array" aca="1" ref="AD388" ca="1">SUMIFS(Y:Y,Ecommerce_Consumer_Behavior_Analysis_Data3[[#This Row],[Payment_Method]],V:V)</f>
        <v>#VALUE!</v>
      </c>
      <c r="AE388" s="2">
        <f t="shared" si="10"/>
        <v>211.7</v>
      </c>
    </row>
    <row r="389" spans="1:31" x14ac:dyDescent="0.25">
      <c r="A389" s="2" t="s">
        <v>859</v>
      </c>
      <c r="B389" s="2">
        <v>45</v>
      </c>
      <c r="C389" s="2" t="s">
        <v>212</v>
      </c>
      <c r="D389" s="2" t="s">
        <v>30</v>
      </c>
      <c r="E389" s="2" t="s">
        <v>69</v>
      </c>
      <c r="F389" s="2" t="s">
        <v>45</v>
      </c>
      <c r="G389" s="2" t="s">
        <v>44</v>
      </c>
      <c r="H389" s="2" t="s">
        <v>860</v>
      </c>
      <c r="I389" s="2" t="s">
        <v>107</v>
      </c>
      <c r="J389" s="2">
        <v>390.83</v>
      </c>
      <c r="K389" s="2">
        <v>9</v>
      </c>
      <c r="L389" s="2" t="s">
        <v>78</v>
      </c>
      <c r="M389" s="2">
        <v>5</v>
      </c>
      <c r="N389" s="2">
        <v>5</v>
      </c>
      <c r="O389" s="2">
        <v>0</v>
      </c>
      <c r="P389" s="2" t="s">
        <v>49</v>
      </c>
      <c r="Q389" s="2" t="s">
        <v>37</v>
      </c>
      <c r="R389" s="2">
        <v>0</v>
      </c>
      <c r="S389" s="2">
        <v>5</v>
      </c>
      <c r="T389" s="2" t="s">
        <v>44</v>
      </c>
      <c r="U389" s="2" t="s">
        <v>79</v>
      </c>
      <c r="V389" s="2" t="s">
        <v>86</v>
      </c>
      <c r="W389" s="3">
        <v>45593</v>
      </c>
      <c r="X389" s="2" t="b">
        <v>0</v>
      </c>
      <c r="Y389" s="2" t="b">
        <v>1</v>
      </c>
      <c r="Z389" s="2" t="s">
        <v>62</v>
      </c>
      <c r="AA389" s="2" t="s">
        <v>41</v>
      </c>
      <c r="AB389" s="2">
        <v>8</v>
      </c>
      <c r="AC389" s="2">
        <f>SUMIF(N:N,Ecommerce_Consumer_Behavior_Analysis_Data3[[#This Row],[Brand_Loyalty]],M:M)</f>
        <v>641</v>
      </c>
      <c r="AD389" s="2" t="e" cm="1" vm="1">
        <f t="array" aca="1" ref="AD389" ca="1">SUMIFS(Y:Y,Ecommerce_Consumer_Behavior_Analysis_Data3[[#This Row],[Payment_Method]],V:V)</f>
        <v>#VALUE!</v>
      </c>
      <c r="AE389" s="2">
        <f t="shared" si="10"/>
        <v>101.31</v>
      </c>
    </row>
    <row r="390" spans="1:31" x14ac:dyDescent="0.25">
      <c r="A390" s="2" t="s">
        <v>861</v>
      </c>
      <c r="B390" s="2">
        <v>49</v>
      </c>
      <c r="C390" s="2" t="s">
        <v>43</v>
      </c>
      <c r="D390" s="2" t="s">
        <v>44</v>
      </c>
      <c r="E390" s="2" t="s">
        <v>69</v>
      </c>
      <c r="F390" s="2" t="s">
        <v>45</v>
      </c>
      <c r="G390" s="2" t="s">
        <v>30</v>
      </c>
      <c r="H390" s="2" t="s">
        <v>862</v>
      </c>
      <c r="I390" s="2" t="s">
        <v>246</v>
      </c>
      <c r="J390" s="2">
        <v>158.84</v>
      </c>
      <c r="K390" s="2">
        <v>6</v>
      </c>
      <c r="L390" s="2" t="s">
        <v>78</v>
      </c>
      <c r="M390" s="2">
        <v>2</v>
      </c>
      <c r="N390" s="2">
        <v>1</v>
      </c>
      <c r="O390" s="2">
        <v>1</v>
      </c>
      <c r="P390" s="2" t="s">
        <v>36</v>
      </c>
      <c r="Q390" s="2" t="s">
        <v>50</v>
      </c>
      <c r="R390" s="2">
        <v>1</v>
      </c>
      <c r="S390" s="2">
        <v>8</v>
      </c>
      <c r="T390" s="2" t="s">
        <v>59</v>
      </c>
      <c r="U390" s="2" t="s">
        <v>79</v>
      </c>
      <c r="V390" s="2" t="s">
        <v>86</v>
      </c>
      <c r="W390" s="3">
        <v>45485</v>
      </c>
      <c r="X390" s="2" t="b">
        <v>1</v>
      </c>
      <c r="Y390" s="2" t="b">
        <v>1</v>
      </c>
      <c r="Z390" s="2" t="s">
        <v>40</v>
      </c>
      <c r="AA390" s="2" t="s">
        <v>67</v>
      </c>
      <c r="AB390" s="2">
        <v>5</v>
      </c>
      <c r="AC390" s="2">
        <f>SUMIF(N:N,Ecommerce_Consumer_Behavior_Analysis_Data3[[#This Row],[Brand_Loyalty]],M:M)</f>
        <v>582</v>
      </c>
      <c r="AD390" s="2" t="e" cm="1" vm="1">
        <f t="array" aca="1" ref="AD390" ca="1">SUMIFS(Y:Y,Ecommerce_Consumer_Behavior_Analysis_Data3[[#This Row],[Payment_Method]],V:V)</f>
        <v>#VALUE!</v>
      </c>
      <c r="AE390" s="2">
        <f t="shared" si="10"/>
        <v>101.31</v>
      </c>
    </row>
    <row r="391" spans="1:31" x14ac:dyDescent="0.25">
      <c r="A391" s="2" t="s">
        <v>863</v>
      </c>
      <c r="B391" s="2">
        <v>37</v>
      </c>
      <c r="C391" s="2" t="s">
        <v>43</v>
      </c>
      <c r="D391" s="2" t="s">
        <v>30</v>
      </c>
      <c r="E391" s="2" t="s">
        <v>55</v>
      </c>
      <c r="F391" s="2" t="s">
        <v>45</v>
      </c>
      <c r="G391" s="2" t="s">
        <v>30</v>
      </c>
      <c r="H391" s="2" t="s">
        <v>864</v>
      </c>
      <c r="I391" s="2" t="s">
        <v>123</v>
      </c>
      <c r="J391" s="2">
        <v>439.24</v>
      </c>
      <c r="K391" s="2">
        <v>8</v>
      </c>
      <c r="L391" s="2" t="s">
        <v>35</v>
      </c>
      <c r="M391" s="2">
        <v>3</v>
      </c>
      <c r="N391" s="2">
        <v>3</v>
      </c>
      <c r="O391" s="2">
        <v>1</v>
      </c>
      <c r="P391" s="2" t="s">
        <v>44</v>
      </c>
      <c r="Q391" s="2" t="s">
        <v>37</v>
      </c>
      <c r="R391" s="2">
        <v>2</v>
      </c>
      <c r="S391" s="2">
        <v>9</v>
      </c>
      <c r="T391" s="2" t="s">
        <v>49</v>
      </c>
      <c r="U391" s="2" t="s">
        <v>38</v>
      </c>
      <c r="V391" s="2" t="s">
        <v>66</v>
      </c>
      <c r="W391" s="3">
        <v>45499</v>
      </c>
      <c r="X391" s="2" t="b">
        <v>0</v>
      </c>
      <c r="Y391" s="2" t="b">
        <v>0</v>
      </c>
      <c r="Z391" s="2" t="s">
        <v>52</v>
      </c>
      <c r="AA391" s="2" t="s">
        <v>53</v>
      </c>
      <c r="AB391" s="2">
        <v>10</v>
      </c>
      <c r="AC391" s="2">
        <f>SUMIF(N:N,Ecommerce_Consumer_Behavior_Analysis_Data3[[#This Row],[Brand_Loyalty]],M:M)</f>
        <v>597</v>
      </c>
      <c r="AD391" s="2" t="e" cm="1" vm="1">
        <f t="array" aca="1" ref="AD391" ca="1">SUMIFS(Y:Y,Ecommerce_Consumer_Behavior_Analysis_Data3[[#This Row],[Payment_Method]],V:V)</f>
        <v>#VALUE!</v>
      </c>
      <c r="AE391" s="2">
        <f t="shared" si="10"/>
        <v>211.7</v>
      </c>
    </row>
    <row r="392" spans="1:31" x14ac:dyDescent="0.25">
      <c r="A392" s="2" t="s">
        <v>865</v>
      </c>
      <c r="B392" s="2">
        <v>23</v>
      </c>
      <c r="C392" s="2" t="s">
        <v>212</v>
      </c>
      <c r="D392" s="2" t="s">
        <v>30</v>
      </c>
      <c r="E392" s="2" t="s">
        <v>69</v>
      </c>
      <c r="F392" s="2" t="s">
        <v>56</v>
      </c>
      <c r="G392" s="2" t="s">
        <v>44</v>
      </c>
      <c r="H392" s="2" t="s">
        <v>866</v>
      </c>
      <c r="I392" s="2" t="s">
        <v>126</v>
      </c>
      <c r="J392" s="2">
        <v>92.43</v>
      </c>
      <c r="K392" s="2">
        <v>12</v>
      </c>
      <c r="L392" s="2" t="s">
        <v>35</v>
      </c>
      <c r="M392" s="2">
        <v>4</v>
      </c>
      <c r="N392" s="2">
        <v>1</v>
      </c>
      <c r="O392" s="2">
        <v>0</v>
      </c>
      <c r="P392" s="2" t="s">
        <v>49</v>
      </c>
      <c r="Q392" s="2" t="s">
        <v>37</v>
      </c>
      <c r="R392" s="2">
        <v>2</v>
      </c>
      <c r="S392" s="2">
        <v>9</v>
      </c>
      <c r="T392" s="2" t="s">
        <v>36</v>
      </c>
      <c r="U392" s="2" t="s">
        <v>60</v>
      </c>
      <c r="V392" s="2" t="s">
        <v>66</v>
      </c>
      <c r="W392" s="3">
        <v>45631</v>
      </c>
      <c r="X392" s="2" t="b">
        <v>0</v>
      </c>
      <c r="Y392" s="2" t="b">
        <v>1</v>
      </c>
      <c r="Z392" s="2" t="s">
        <v>40</v>
      </c>
      <c r="AA392" s="2" t="s">
        <v>53</v>
      </c>
      <c r="AB392" s="2">
        <v>6</v>
      </c>
      <c r="AC392" s="2">
        <f>SUMIF(N:N,Ecommerce_Consumer_Behavior_Analysis_Data3[[#This Row],[Brand_Loyalty]],M:M)</f>
        <v>603</v>
      </c>
      <c r="AD392" s="2" t="e" cm="1" vm="1">
        <f t="array" aca="1" ref="AD392" ca="1">SUMIFS(Y:Y,Ecommerce_Consumer_Behavior_Analysis_Data3[[#This Row],[Payment_Method]],V:V)</f>
        <v>#VALUE!</v>
      </c>
      <c r="AE392" s="2">
        <f t="shared" si="10"/>
        <v>101.31</v>
      </c>
    </row>
    <row r="393" spans="1:31" x14ac:dyDescent="0.25">
      <c r="A393" s="2" t="s">
        <v>867</v>
      </c>
      <c r="B393" s="2">
        <v>48</v>
      </c>
      <c r="C393" s="2" t="s">
        <v>29</v>
      </c>
      <c r="D393" s="2" t="s">
        <v>44</v>
      </c>
      <c r="E393" s="2" t="s">
        <v>31</v>
      </c>
      <c r="F393" s="2" t="s">
        <v>56</v>
      </c>
      <c r="G393" s="2" t="s">
        <v>30</v>
      </c>
      <c r="H393" s="2" t="s">
        <v>868</v>
      </c>
      <c r="I393" s="2" t="s">
        <v>183</v>
      </c>
      <c r="J393" s="2">
        <v>333.15</v>
      </c>
      <c r="K393" s="2">
        <v>9</v>
      </c>
      <c r="L393" s="2" t="s">
        <v>35</v>
      </c>
      <c r="M393" s="2">
        <v>1</v>
      </c>
      <c r="N393" s="2">
        <v>5</v>
      </c>
      <c r="O393" s="2">
        <v>1</v>
      </c>
      <c r="P393" s="2" t="s">
        <v>44</v>
      </c>
      <c r="Q393" s="2" t="s">
        <v>85</v>
      </c>
      <c r="R393" s="2">
        <v>1</v>
      </c>
      <c r="S393" s="2">
        <v>8</v>
      </c>
      <c r="T393" s="2" t="s">
        <v>44</v>
      </c>
      <c r="U393" s="2" t="s">
        <v>60</v>
      </c>
      <c r="V393" s="2" t="s">
        <v>66</v>
      </c>
      <c r="W393" s="3">
        <v>45516</v>
      </c>
      <c r="X393" s="2" t="b">
        <v>0</v>
      </c>
      <c r="Y393" s="2" t="b">
        <v>0</v>
      </c>
      <c r="Z393" s="2" t="s">
        <v>62</v>
      </c>
      <c r="AA393" s="2" t="s">
        <v>53</v>
      </c>
      <c r="AB393" s="2">
        <v>14</v>
      </c>
      <c r="AC393" s="2">
        <f>SUMIF(N:N,Ecommerce_Consumer_Behavior_Analysis_Data3[[#This Row],[Brand_Loyalty]],M:M)</f>
        <v>603</v>
      </c>
      <c r="AD393" s="2" t="e" cm="1" vm="1">
        <f t="array" aca="1" ref="AD393" ca="1">SUMIFS(Y:Y,Ecommerce_Consumer_Behavior_Analysis_Data3[[#This Row],[Payment_Method]],V:V)</f>
        <v>#VALUE!</v>
      </c>
      <c r="AE393" s="2">
        <f t="shared" si="10"/>
        <v>333.8</v>
      </c>
    </row>
    <row r="394" spans="1:31" x14ac:dyDescent="0.25">
      <c r="A394" s="2" t="s">
        <v>869</v>
      </c>
      <c r="B394" s="2">
        <v>19</v>
      </c>
      <c r="C394" s="2" t="s">
        <v>43</v>
      </c>
      <c r="D394" s="2" t="s">
        <v>30</v>
      </c>
      <c r="E394" s="2" t="s">
        <v>76</v>
      </c>
      <c r="F394" s="2" t="s">
        <v>56</v>
      </c>
      <c r="G394" s="2" t="s">
        <v>30</v>
      </c>
      <c r="H394" s="2" t="s">
        <v>870</v>
      </c>
      <c r="I394" s="2" t="s">
        <v>98</v>
      </c>
      <c r="J394" s="2">
        <v>64.22</v>
      </c>
      <c r="K394" s="2">
        <v>9</v>
      </c>
      <c r="L394" s="2" t="s">
        <v>78</v>
      </c>
      <c r="M394" s="2">
        <v>1</v>
      </c>
      <c r="N394" s="2">
        <v>1</v>
      </c>
      <c r="O394" s="2">
        <v>2</v>
      </c>
      <c r="P394" s="2" t="s">
        <v>44</v>
      </c>
      <c r="Q394" s="2" t="s">
        <v>37</v>
      </c>
      <c r="R394" s="2">
        <v>1</v>
      </c>
      <c r="S394" s="2">
        <v>9</v>
      </c>
      <c r="T394" s="2" t="s">
        <v>49</v>
      </c>
      <c r="U394" s="2" t="s">
        <v>60</v>
      </c>
      <c r="V394" s="2" t="s">
        <v>51</v>
      </c>
      <c r="W394" s="3">
        <v>45293</v>
      </c>
      <c r="X394" s="2" t="b">
        <v>1</v>
      </c>
      <c r="Y394" s="2" t="b">
        <v>0</v>
      </c>
      <c r="Z394" s="2" t="s">
        <v>62</v>
      </c>
      <c r="AA394" s="2" t="s">
        <v>41</v>
      </c>
      <c r="AB394" s="2">
        <v>10</v>
      </c>
      <c r="AC394" s="2">
        <f>SUMIF(N:N,Ecommerce_Consumer_Behavior_Analysis_Data3[[#This Row],[Brand_Loyalty]],M:M)</f>
        <v>603</v>
      </c>
      <c r="AD394" s="2" t="e" cm="1" vm="1">
        <f t="array" aca="1" ref="AD394" ca="1">SUMIFS(Y:Y,Ecommerce_Consumer_Behavior_Analysis_Data3[[#This Row],[Payment_Method]],V:V)</f>
        <v>#VALUE!</v>
      </c>
      <c r="AE394" s="2">
        <f t="shared" si="10"/>
        <v>101.31</v>
      </c>
    </row>
    <row r="395" spans="1:31" x14ac:dyDescent="0.25">
      <c r="A395" s="2" t="s">
        <v>871</v>
      </c>
      <c r="B395" s="2">
        <v>46</v>
      </c>
      <c r="C395" s="2" t="s">
        <v>29</v>
      </c>
      <c r="D395" s="2" t="s">
        <v>44</v>
      </c>
      <c r="E395" s="2" t="s">
        <v>55</v>
      </c>
      <c r="F395" s="2" t="s">
        <v>45</v>
      </c>
      <c r="G395" s="2" t="s">
        <v>44</v>
      </c>
      <c r="H395" s="2" t="s">
        <v>872</v>
      </c>
      <c r="I395" s="2" t="s">
        <v>65</v>
      </c>
      <c r="J395" s="2">
        <v>290.52999999999997</v>
      </c>
      <c r="K395" s="2">
        <v>3</v>
      </c>
      <c r="L395" s="2" t="s">
        <v>78</v>
      </c>
      <c r="M395" s="2">
        <v>3</v>
      </c>
      <c r="N395" s="2">
        <v>2</v>
      </c>
      <c r="O395" s="2">
        <v>1</v>
      </c>
      <c r="P395" s="2" t="s">
        <v>59</v>
      </c>
      <c r="Q395" s="2" t="s">
        <v>85</v>
      </c>
      <c r="R395" s="2">
        <v>0</v>
      </c>
      <c r="S395" s="2">
        <v>6</v>
      </c>
      <c r="T395" s="2" t="s">
        <v>44</v>
      </c>
      <c r="U395" s="2" t="s">
        <v>79</v>
      </c>
      <c r="V395" s="2" t="s">
        <v>61</v>
      </c>
      <c r="W395" s="3">
        <v>45600</v>
      </c>
      <c r="X395" s="2" t="b">
        <v>1</v>
      </c>
      <c r="Y395" s="2" t="b">
        <v>0</v>
      </c>
      <c r="Z395" s="2" t="s">
        <v>74</v>
      </c>
      <c r="AA395" s="2" t="s">
        <v>41</v>
      </c>
      <c r="AB395" s="2">
        <v>10</v>
      </c>
      <c r="AC395" s="2">
        <f>SUMIF(N:N,Ecommerce_Consumer_Behavior_Analysis_Data3[[#This Row],[Brand_Loyalty]],M:M)</f>
        <v>597</v>
      </c>
      <c r="AD395" s="2" t="e" cm="1" vm="1">
        <f t="array" aca="1" ref="AD395" ca="1">SUMIFS(Y:Y,Ecommerce_Consumer_Behavior_Analysis_Data3[[#This Row],[Payment_Method]],V:V)</f>
        <v>#VALUE!</v>
      </c>
      <c r="AE395" s="2">
        <f t="shared" si="10"/>
        <v>333.8</v>
      </c>
    </row>
    <row r="396" spans="1:31" x14ac:dyDescent="0.25">
      <c r="A396" s="2" t="s">
        <v>873</v>
      </c>
      <c r="B396" s="2">
        <v>39</v>
      </c>
      <c r="C396" s="2" t="s">
        <v>43</v>
      </c>
      <c r="D396" s="2" t="s">
        <v>30</v>
      </c>
      <c r="E396" s="2" t="s">
        <v>76</v>
      </c>
      <c r="F396" s="2" t="s">
        <v>32</v>
      </c>
      <c r="G396" s="2" t="s">
        <v>44</v>
      </c>
      <c r="H396" s="2" t="s">
        <v>874</v>
      </c>
      <c r="I396" s="2" t="s">
        <v>123</v>
      </c>
      <c r="J396" s="2">
        <v>251.8</v>
      </c>
      <c r="K396" s="2">
        <v>6</v>
      </c>
      <c r="L396" s="2" t="s">
        <v>35</v>
      </c>
      <c r="M396" s="2">
        <v>5</v>
      </c>
      <c r="N396" s="2">
        <v>1</v>
      </c>
      <c r="O396" s="2">
        <v>2</v>
      </c>
      <c r="P396" s="2" t="s">
        <v>44</v>
      </c>
      <c r="Q396" s="2" t="s">
        <v>85</v>
      </c>
      <c r="R396" s="2">
        <v>1</v>
      </c>
      <c r="S396" s="2">
        <v>8</v>
      </c>
      <c r="T396" s="2" t="s">
        <v>59</v>
      </c>
      <c r="U396" s="2" t="s">
        <v>60</v>
      </c>
      <c r="V396" s="2" t="s">
        <v>61</v>
      </c>
      <c r="W396" s="3">
        <v>45478</v>
      </c>
      <c r="X396" s="2" t="b">
        <v>1</v>
      </c>
      <c r="Y396" s="2" t="b">
        <v>1</v>
      </c>
      <c r="Z396" s="2" t="s">
        <v>62</v>
      </c>
      <c r="AA396" s="2" t="s">
        <v>41</v>
      </c>
      <c r="AB396" s="2">
        <v>11</v>
      </c>
      <c r="AC396" s="2">
        <f>SUMIF(N:N,Ecommerce_Consumer_Behavior_Analysis_Data3[[#This Row],[Brand_Loyalty]],M:M)</f>
        <v>641</v>
      </c>
      <c r="AD396" s="2" t="e" cm="1" vm="1">
        <f t="array" aca="1" ref="AD396" ca="1">SUMIFS(Y:Y,Ecommerce_Consumer_Behavior_Analysis_Data3[[#This Row],[Payment_Method]],V:V)</f>
        <v>#VALUE!</v>
      </c>
      <c r="AE396" s="2">
        <f t="shared" si="10"/>
        <v>333.8</v>
      </c>
    </row>
    <row r="397" spans="1:31" x14ac:dyDescent="0.25">
      <c r="A397" s="2" t="s">
        <v>875</v>
      </c>
      <c r="B397" s="2">
        <v>27</v>
      </c>
      <c r="C397" s="2" t="s">
        <v>212</v>
      </c>
      <c r="D397" s="2" t="s">
        <v>30</v>
      </c>
      <c r="E397" s="2" t="s">
        <v>76</v>
      </c>
      <c r="F397" s="2" t="s">
        <v>56</v>
      </c>
      <c r="G397" s="2" t="s">
        <v>30</v>
      </c>
      <c r="H397" s="2" t="s">
        <v>876</v>
      </c>
      <c r="I397" s="2" t="s">
        <v>90</v>
      </c>
      <c r="J397" s="2">
        <v>480.52</v>
      </c>
      <c r="K397" s="2">
        <v>3</v>
      </c>
      <c r="L397" s="2" t="s">
        <v>78</v>
      </c>
      <c r="M397" s="2">
        <v>5</v>
      </c>
      <c r="N397" s="2">
        <v>4</v>
      </c>
      <c r="O397" s="2">
        <v>2</v>
      </c>
      <c r="P397" s="2" t="s">
        <v>59</v>
      </c>
      <c r="Q397" s="2" t="s">
        <v>37</v>
      </c>
      <c r="R397" s="2">
        <v>1</v>
      </c>
      <c r="S397" s="2">
        <v>5</v>
      </c>
      <c r="T397" s="2" t="s">
        <v>36</v>
      </c>
      <c r="U397" s="2" t="s">
        <v>60</v>
      </c>
      <c r="V397" s="2" t="s">
        <v>86</v>
      </c>
      <c r="W397" s="3">
        <v>45412</v>
      </c>
      <c r="X397" s="2" t="b">
        <v>0</v>
      </c>
      <c r="Y397" s="2" t="b">
        <v>0</v>
      </c>
      <c r="Z397" s="2" t="s">
        <v>74</v>
      </c>
      <c r="AA397" s="2" t="s">
        <v>41</v>
      </c>
      <c r="AB397" s="2">
        <v>13</v>
      </c>
      <c r="AC397" s="2">
        <f>SUMIF(N:N,Ecommerce_Consumer_Behavior_Analysis_Data3[[#This Row],[Brand_Loyalty]],M:M)</f>
        <v>641</v>
      </c>
      <c r="AD397" s="2" t="e" cm="1" vm="1">
        <f t="array" aca="1" ref="AD397" ca="1">SUMIFS(Y:Y,Ecommerce_Consumer_Behavior_Analysis_Data3[[#This Row],[Payment_Method]],V:V)</f>
        <v>#VALUE!</v>
      </c>
      <c r="AE397" s="2">
        <f t="shared" si="10"/>
        <v>211.7</v>
      </c>
    </row>
    <row r="398" spans="1:31" x14ac:dyDescent="0.25">
      <c r="A398" s="2" t="s">
        <v>877</v>
      </c>
      <c r="B398" s="2">
        <v>28</v>
      </c>
      <c r="C398" s="2" t="s">
        <v>29</v>
      </c>
      <c r="D398" s="2" t="s">
        <v>30</v>
      </c>
      <c r="E398" s="2" t="s">
        <v>31</v>
      </c>
      <c r="F398" s="2" t="s">
        <v>45</v>
      </c>
      <c r="G398" s="2" t="s">
        <v>44</v>
      </c>
      <c r="H398" s="2" t="s">
        <v>878</v>
      </c>
      <c r="I398" s="2" t="s">
        <v>114</v>
      </c>
      <c r="J398" s="2">
        <v>461.71</v>
      </c>
      <c r="K398" s="2">
        <v>10</v>
      </c>
      <c r="L398" s="2" t="s">
        <v>35</v>
      </c>
      <c r="M398" s="2">
        <v>3</v>
      </c>
      <c r="N398" s="2">
        <v>1</v>
      </c>
      <c r="O398" s="2">
        <v>0</v>
      </c>
      <c r="P398" s="2" t="s">
        <v>59</v>
      </c>
      <c r="Q398" s="2" t="s">
        <v>50</v>
      </c>
      <c r="R398" s="2">
        <v>0</v>
      </c>
      <c r="S398" s="2">
        <v>9</v>
      </c>
      <c r="T398" s="2" t="s">
        <v>44</v>
      </c>
      <c r="U398" s="2" t="s">
        <v>60</v>
      </c>
      <c r="V398" s="2" t="s">
        <v>86</v>
      </c>
      <c r="W398" s="3">
        <v>45338</v>
      </c>
      <c r="X398" s="2" t="b">
        <v>0</v>
      </c>
      <c r="Y398" s="2" t="b">
        <v>0</v>
      </c>
      <c r="Z398" s="2" t="s">
        <v>74</v>
      </c>
      <c r="AA398" s="2" t="s">
        <v>53</v>
      </c>
      <c r="AB398" s="2">
        <v>11</v>
      </c>
      <c r="AC398" s="2">
        <f>SUMIF(N:N,Ecommerce_Consumer_Behavior_Analysis_Data3[[#This Row],[Brand_Loyalty]],M:M)</f>
        <v>597</v>
      </c>
      <c r="AD398" s="2" t="e" cm="1" vm="1">
        <f t="array" aca="1" ref="AD398" ca="1">SUMIFS(Y:Y,Ecommerce_Consumer_Behavior_Analysis_Data3[[#This Row],[Payment_Method]],V:V)</f>
        <v>#VALUE!</v>
      </c>
      <c r="AE398" s="2">
        <f t="shared" si="10"/>
        <v>333.8</v>
      </c>
    </row>
    <row r="399" spans="1:31" x14ac:dyDescent="0.25">
      <c r="A399" s="2" t="s">
        <v>879</v>
      </c>
      <c r="B399" s="2">
        <v>50</v>
      </c>
      <c r="C399" s="2" t="s">
        <v>29</v>
      </c>
      <c r="D399" s="2" t="s">
        <v>44</v>
      </c>
      <c r="E399" s="2" t="s">
        <v>31</v>
      </c>
      <c r="F399" s="2" t="s">
        <v>45</v>
      </c>
      <c r="G399" s="2" t="s">
        <v>30</v>
      </c>
      <c r="H399" s="2" t="s">
        <v>880</v>
      </c>
      <c r="I399" s="2" t="s">
        <v>120</v>
      </c>
      <c r="J399" s="2">
        <v>288.33999999999997</v>
      </c>
      <c r="K399" s="2">
        <v>12</v>
      </c>
      <c r="L399" s="2" t="s">
        <v>35</v>
      </c>
      <c r="M399" s="2">
        <v>5</v>
      </c>
      <c r="N399" s="2">
        <v>2</v>
      </c>
      <c r="O399" s="2">
        <v>2</v>
      </c>
      <c r="P399" s="2" t="s">
        <v>36</v>
      </c>
      <c r="Q399" s="2" t="s">
        <v>85</v>
      </c>
      <c r="R399" s="2">
        <v>0</v>
      </c>
      <c r="S399" s="2">
        <v>8</v>
      </c>
      <c r="T399" s="2" t="s">
        <v>59</v>
      </c>
      <c r="U399" s="2" t="s">
        <v>38</v>
      </c>
      <c r="V399" s="2" t="s">
        <v>86</v>
      </c>
      <c r="W399" s="3">
        <v>45371</v>
      </c>
      <c r="X399" s="2" t="b">
        <v>0</v>
      </c>
      <c r="Y399" s="2" t="b">
        <v>0</v>
      </c>
      <c r="Z399" s="2" t="s">
        <v>40</v>
      </c>
      <c r="AA399" s="2" t="s">
        <v>67</v>
      </c>
      <c r="AB399" s="2">
        <v>6</v>
      </c>
      <c r="AC399" s="2">
        <f>SUMIF(N:N,Ecommerce_Consumer_Behavior_Analysis_Data3[[#This Row],[Brand_Loyalty]],M:M)</f>
        <v>641</v>
      </c>
      <c r="AD399" s="2" t="e" cm="1" vm="1">
        <f t="array" aca="1" ref="AD399" ca="1">SUMIFS(Y:Y,Ecommerce_Consumer_Behavior_Analysis_Data3[[#This Row],[Payment_Method]],V:V)</f>
        <v>#VALUE!</v>
      </c>
      <c r="AE399" s="2">
        <f t="shared" si="10"/>
        <v>101.31</v>
      </c>
    </row>
    <row r="400" spans="1:31" x14ac:dyDescent="0.25">
      <c r="A400" s="2" t="s">
        <v>881</v>
      </c>
      <c r="B400" s="2">
        <v>19</v>
      </c>
      <c r="C400" s="2" t="s">
        <v>29</v>
      </c>
      <c r="D400" s="2" t="s">
        <v>44</v>
      </c>
      <c r="E400" s="2" t="s">
        <v>76</v>
      </c>
      <c r="F400" s="2" t="s">
        <v>32</v>
      </c>
      <c r="G400" s="2" t="s">
        <v>44</v>
      </c>
      <c r="H400" s="2" t="s">
        <v>882</v>
      </c>
      <c r="I400" s="2" t="s">
        <v>34</v>
      </c>
      <c r="J400" s="2">
        <v>194.08</v>
      </c>
      <c r="K400" s="2">
        <v>3</v>
      </c>
      <c r="L400" s="2" t="s">
        <v>48</v>
      </c>
      <c r="M400" s="2">
        <v>5</v>
      </c>
      <c r="N400" s="2">
        <v>5</v>
      </c>
      <c r="O400" s="2">
        <v>1</v>
      </c>
      <c r="P400" s="2" t="s">
        <v>59</v>
      </c>
      <c r="Q400" s="2" t="s">
        <v>50</v>
      </c>
      <c r="R400" s="2">
        <v>0</v>
      </c>
      <c r="S400" s="2">
        <v>2</v>
      </c>
      <c r="T400" s="2" t="s">
        <v>36</v>
      </c>
      <c r="U400" s="2" t="s">
        <v>60</v>
      </c>
      <c r="V400" s="2" t="s">
        <v>51</v>
      </c>
      <c r="W400" s="3">
        <v>45592</v>
      </c>
      <c r="X400" s="2" t="b">
        <v>1</v>
      </c>
      <c r="Y400" s="2" t="b">
        <v>1</v>
      </c>
      <c r="Z400" s="2" t="s">
        <v>52</v>
      </c>
      <c r="AA400" s="2" t="s">
        <v>53</v>
      </c>
      <c r="AB400" s="2">
        <v>13</v>
      </c>
      <c r="AC400" s="2">
        <f>SUMIF(N:N,Ecommerce_Consumer_Behavior_Analysis_Data3[[#This Row],[Brand_Loyalty]],M:M)</f>
        <v>641</v>
      </c>
      <c r="AD400" s="2" t="e" cm="1" vm="1">
        <f t="array" aca="1" ref="AD400" ca="1">SUMIFS(Y:Y,Ecommerce_Consumer_Behavior_Analysis_Data3[[#This Row],[Payment_Method]],V:V)</f>
        <v>#VALUE!</v>
      </c>
      <c r="AE400" s="2">
        <f t="shared" si="10"/>
        <v>101.31</v>
      </c>
    </row>
    <row r="401" spans="1:31" x14ac:dyDescent="0.25">
      <c r="A401" s="2" t="s">
        <v>883</v>
      </c>
      <c r="B401" s="2">
        <v>27</v>
      </c>
      <c r="C401" s="2" t="s">
        <v>274</v>
      </c>
      <c r="D401" s="2" t="s">
        <v>30</v>
      </c>
      <c r="E401" s="2" t="s">
        <v>69</v>
      </c>
      <c r="F401" s="2" t="s">
        <v>45</v>
      </c>
      <c r="G401" s="2" t="s">
        <v>44</v>
      </c>
      <c r="H401" s="2" t="s">
        <v>884</v>
      </c>
      <c r="I401" s="2" t="s">
        <v>194</v>
      </c>
      <c r="J401" s="2">
        <v>198.45</v>
      </c>
      <c r="K401" s="2">
        <v>11</v>
      </c>
      <c r="L401" s="2" t="s">
        <v>78</v>
      </c>
      <c r="M401" s="2">
        <v>3</v>
      </c>
      <c r="N401" s="2">
        <v>5</v>
      </c>
      <c r="O401" s="2">
        <v>1</v>
      </c>
      <c r="P401" s="2" t="s">
        <v>44</v>
      </c>
      <c r="Q401" s="2" t="s">
        <v>50</v>
      </c>
      <c r="R401" s="2">
        <v>2</v>
      </c>
      <c r="S401" s="2">
        <v>8</v>
      </c>
      <c r="T401" s="2" t="s">
        <v>44</v>
      </c>
      <c r="U401" s="2" t="s">
        <v>38</v>
      </c>
      <c r="V401" s="2" t="s">
        <v>51</v>
      </c>
      <c r="W401" s="3">
        <v>45416</v>
      </c>
      <c r="X401" s="2" t="b">
        <v>1</v>
      </c>
      <c r="Y401" s="2" t="b">
        <v>0</v>
      </c>
      <c r="Z401" s="2" t="s">
        <v>52</v>
      </c>
      <c r="AA401" s="2" t="s">
        <v>41</v>
      </c>
      <c r="AB401" s="2">
        <v>5</v>
      </c>
      <c r="AC401" s="2">
        <f>SUMIF(N:N,Ecommerce_Consumer_Behavior_Analysis_Data3[[#This Row],[Brand_Loyalty]],M:M)</f>
        <v>597</v>
      </c>
      <c r="AD401" s="2" t="e" cm="1" vm="1">
        <f t="array" aca="1" ref="AD401" ca="1">SUMIFS(Y:Y,Ecommerce_Consumer_Behavior_Analysis_Data3[[#This Row],[Payment_Method]],V:V)</f>
        <v>#VALUE!</v>
      </c>
      <c r="AE401" s="2">
        <f t="shared" si="10"/>
        <v>211.7</v>
      </c>
    </row>
    <row r="402" spans="1:31" x14ac:dyDescent="0.25">
      <c r="A402" s="2" t="s">
        <v>885</v>
      </c>
      <c r="B402" s="2">
        <v>23</v>
      </c>
      <c r="C402" s="2" t="s">
        <v>43</v>
      </c>
      <c r="D402" s="2" t="s">
        <v>44</v>
      </c>
      <c r="E402" s="2" t="s">
        <v>31</v>
      </c>
      <c r="F402" s="2" t="s">
        <v>56</v>
      </c>
      <c r="G402" s="2" t="s">
        <v>30</v>
      </c>
      <c r="H402" s="2" t="s">
        <v>886</v>
      </c>
      <c r="I402" s="2" t="s">
        <v>123</v>
      </c>
      <c r="J402" s="2">
        <v>216.45</v>
      </c>
      <c r="K402" s="2">
        <v>5</v>
      </c>
      <c r="L402" s="2" t="s">
        <v>35</v>
      </c>
      <c r="M402" s="2">
        <v>5</v>
      </c>
      <c r="N402" s="2">
        <v>2</v>
      </c>
      <c r="O402" s="2">
        <v>0</v>
      </c>
      <c r="P402" s="2" t="s">
        <v>49</v>
      </c>
      <c r="Q402" s="2" t="s">
        <v>85</v>
      </c>
      <c r="R402" s="2">
        <v>2</v>
      </c>
      <c r="S402" s="2">
        <v>7</v>
      </c>
      <c r="T402" s="2" t="s">
        <v>59</v>
      </c>
      <c r="U402" s="2" t="s">
        <v>38</v>
      </c>
      <c r="V402" s="2" t="s">
        <v>39</v>
      </c>
      <c r="W402" s="3">
        <v>45596</v>
      </c>
      <c r="X402" s="2" t="b">
        <v>0</v>
      </c>
      <c r="Y402" s="2" t="b">
        <v>0</v>
      </c>
      <c r="Z402" s="2" t="s">
        <v>40</v>
      </c>
      <c r="AA402" s="2" t="s">
        <v>41</v>
      </c>
      <c r="AB402" s="2">
        <v>3</v>
      </c>
      <c r="AC402" s="2">
        <f>SUMIF(N:N,Ecommerce_Consumer_Behavior_Analysis_Data3[[#This Row],[Brand_Loyalty]],M:M)</f>
        <v>641</v>
      </c>
      <c r="AD402" s="2" t="e" cm="1" vm="1">
        <f t="array" aca="1" ref="AD402" ca="1">SUMIFS(Y:Y,Ecommerce_Consumer_Behavior_Analysis_Data3[[#This Row],[Payment_Method]],V:V)</f>
        <v>#VALUE!</v>
      </c>
      <c r="AE402" s="2">
        <f t="shared" si="10"/>
        <v>101.31</v>
      </c>
    </row>
    <row r="403" spans="1:31" x14ac:dyDescent="0.25">
      <c r="A403" s="2" t="s">
        <v>887</v>
      </c>
      <c r="B403" s="2">
        <v>19</v>
      </c>
      <c r="C403" s="2" t="s">
        <v>29</v>
      </c>
      <c r="D403" s="2" t="s">
        <v>44</v>
      </c>
      <c r="E403" s="2" t="s">
        <v>69</v>
      </c>
      <c r="F403" s="2" t="s">
        <v>32</v>
      </c>
      <c r="G403" s="2" t="s">
        <v>44</v>
      </c>
      <c r="H403" s="2" t="s">
        <v>888</v>
      </c>
      <c r="I403" s="2" t="s">
        <v>123</v>
      </c>
      <c r="J403" s="2">
        <v>358.72</v>
      </c>
      <c r="K403" s="2">
        <v>5</v>
      </c>
      <c r="L403" s="2" t="s">
        <v>48</v>
      </c>
      <c r="M403" s="2">
        <v>3</v>
      </c>
      <c r="N403" s="2">
        <v>5</v>
      </c>
      <c r="O403" s="2">
        <v>1</v>
      </c>
      <c r="P403" s="2" t="s">
        <v>59</v>
      </c>
      <c r="Q403" s="2" t="s">
        <v>85</v>
      </c>
      <c r="R403" s="2">
        <v>0</v>
      </c>
      <c r="S403" s="2">
        <v>8</v>
      </c>
      <c r="T403" s="2" t="s">
        <v>59</v>
      </c>
      <c r="U403" s="2" t="s">
        <v>38</v>
      </c>
      <c r="V403" s="2" t="s">
        <v>39</v>
      </c>
      <c r="W403" s="3">
        <v>45328</v>
      </c>
      <c r="X403" s="2" t="b">
        <v>1</v>
      </c>
      <c r="Y403" s="2" t="b">
        <v>1</v>
      </c>
      <c r="Z403" s="2" t="s">
        <v>62</v>
      </c>
      <c r="AA403" s="2" t="s">
        <v>53</v>
      </c>
      <c r="AB403" s="2">
        <v>12</v>
      </c>
      <c r="AC403" s="2">
        <f>SUMIF(N:N,Ecommerce_Consumer_Behavior_Analysis_Data3[[#This Row],[Brand_Loyalty]],M:M)</f>
        <v>597</v>
      </c>
      <c r="AD403" s="2" t="e" cm="1" vm="1">
        <f t="array" aca="1" ref="AD403" ca="1">SUMIFS(Y:Y,Ecommerce_Consumer_Behavior_Analysis_Data3[[#This Row],[Payment_Method]],V:V)</f>
        <v>#VALUE!</v>
      </c>
      <c r="AE403" s="2">
        <f t="shared" si="10"/>
        <v>101.31</v>
      </c>
    </row>
    <row r="404" spans="1:31" x14ac:dyDescent="0.25">
      <c r="A404" s="2" t="s">
        <v>889</v>
      </c>
      <c r="B404" s="2">
        <v>22</v>
      </c>
      <c r="C404" s="2" t="s">
        <v>29</v>
      </c>
      <c r="D404" s="2" t="s">
        <v>30</v>
      </c>
      <c r="E404" s="2" t="s">
        <v>69</v>
      </c>
      <c r="F404" s="2" t="s">
        <v>32</v>
      </c>
      <c r="G404" s="2" t="s">
        <v>44</v>
      </c>
      <c r="H404" s="2" t="s">
        <v>890</v>
      </c>
      <c r="I404" s="2" t="s">
        <v>98</v>
      </c>
      <c r="J404" s="2">
        <v>367.56</v>
      </c>
      <c r="K404" s="2">
        <v>9</v>
      </c>
      <c r="L404" s="2" t="s">
        <v>78</v>
      </c>
      <c r="M404" s="2">
        <v>4</v>
      </c>
      <c r="N404" s="2">
        <v>5</v>
      </c>
      <c r="O404" s="2">
        <v>1</v>
      </c>
      <c r="P404" s="2" t="s">
        <v>36</v>
      </c>
      <c r="Q404" s="2" t="s">
        <v>50</v>
      </c>
      <c r="R404" s="2">
        <v>0</v>
      </c>
      <c r="S404" s="2">
        <v>8</v>
      </c>
      <c r="T404" s="2" t="s">
        <v>59</v>
      </c>
      <c r="U404" s="2" t="s">
        <v>60</v>
      </c>
      <c r="V404" s="2" t="s">
        <v>66</v>
      </c>
      <c r="W404" s="3">
        <v>45491</v>
      </c>
      <c r="X404" s="2" t="b">
        <v>0</v>
      </c>
      <c r="Y404" s="2" t="b">
        <v>0</v>
      </c>
      <c r="Z404" s="2" t="s">
        <v>40</v>
      </c>
      <c r="AA404" s="2" t="s">
        <v>53</v>
      </c>
      <c r="AB404" s="2">
        <v>14</v>
      </c>
      <c r="AC404" s="2">
        <f>SUMIF(N:N,Ecommerce_Consumer_Behavior_Analysis_Data3[[#This Row],[Brand_Loyalty]],M:M)</f>
        <v>603</v>
      </c>
      <c r="AD404" s="2" t="e" cm="1" vm="1">
        <f t="array" aca="1" ref="AD404" ca="1">SUMIFS(Y:Y,Ecommerce_Consumer_Behavior_Analysis_Data3[[#This Row],[Payment_Method]],V:V)</f>
        <v>#VALUE!</v>
      </c>
      <c r="AE404" s="2">
        <f t="shared" si="10"/>
        <v>211.7</v>
      </c>
    </row>
    <row r="405" spans="1:31" x14ac:dyDescent="0.25">
      <c r="A405" s="2" t="s">
        <v>891</v>
      </c>
      <c r="B405" s="2">
        <v>40</v>
      </c>
      <c r="C405" s="2" t="s">
        <v>43</v>
      </c>
      <c r="D405" s="2" t="s">
        <v>30</v>
      </c>
      <c r="E405" s="2" t="s">
        <v>76</v>
      </c>
      <c r="F405" s="2" t="s">
        <v>45</v>
      </c>
      <c r="G405" s="2" t="s">
        <v>44</v>
      </c>
      <c r="H405" s="2" t="s">
        <v>892</v>
      </c>
      <c r="I405" s="2" t="s">
        <v>183</v>
      </c>
      <c r="J405" s="2">
        <v>88.78</v>
      </c>
      <c r="K405" s="2">
        <v>10</v>
      </c>
      <c r="L405" s="2" t="s">
        <v>78</v>
      </c>
      <c r="M405" s="2">
        <v>5</v>
      </c>
      <c r="N405" s="2">
        <v>3</v>
      </c>
      <c r="O405" s="2">
        <v>0</v>
      </c>
      <c r="P405" s="2" t="s">
        <v>44</v>
      </c>
      <c r="Q405" s="2" t="s">
        <v>85</v>
      </c>
      <c r="R405" s="2">
        <v>1</v>
      </c>
      <c r="S405" s="2">
        <v>7</v>
      </c>
      <c r="T405" s="2" t="s">
        <v>49</v>
      </c>
      <c r="U405" s="2" t="s">
        <v>79</v>
      </c>
      <c r="V405" s="2" t="s">
        <v>51</v>
      </c>
      <c r="W405" s="3">
        <v>45297</v>
      </c>
      <c r="X405" s="2" t="b">
        <v>0</v>
      </c>
      <c r="Y405" s="2" t="b">
        <v>0</v>
      </c>
      <c r="Z405" s="2" t="s">
        <v>74</v>
      </c>
      <c r="AA405" s="2" t="s">
        <v>53</v>
      </c>
      <c r="AB405" s="2">
        <v>13</v>
      </c>
      <c r="AC405" s="2">
        <f>SUMIF(N:N,Ecommerce_Consumer_Behavior_Analysis_Data3[[#This Row],[Brand_Loyalty]],M:M)</f>
        <v>641</v>
      </c>
      <c r="AD405" s="2" t="e" cm="1" vm="1">
        <f t="array" aca="1" ref="AD405" ca="1">SUMIFS(Y:Y,Ecommerce_Consumer_Behavior_Analysis_Data3[[#This Row],[Payment_Method]],V:V)</f>
        <v>#VALUE!</v>
      </c>
      <c r="AE405" s="2">
        <f t="shared" si="10"/>
        <v>333.8</v>
      </c>
    </row>
    <row r="406" spans="1:31" x14ac:dyDescent="0.25">
      <c r="A406" s="2" t="s">
        <v>893</v>
      </c>
      <c r="B406" s="2">
        <v>48</v>
      </c>
      <c r="C406" s="2" t="s">
        <v>43</v>
      </c>
      <c r="D406" s="2" t="s">
        <v>30</v>
      </c>
      <c r="E406" s="2" t="s">
        <v>31</v>
      </c>
      <c r="F406" s="2" t="s">
        <v>32</v>
      </c>
      <c r="G406" s="2" t="s">
        <v>30</v>
      </c>
      <c r="H406" s="2" t="s">
        <v>894</v>
      </c>
      <c r="I406" s="2" t="s">
        <v>47</v>
      </c>
      <c r="J406" s="2">
        <v>465.85</v>
      </c>
      <c r="K406" s="2">
        <v>10</v>
      </c>
      <c r="L406" s="2" t="s">
        <v>78</v>
      </c>
      <c r="M406" s="2">
        <v>5</v>
      </c>
      <c r="N406" s="2">
        <v>3</v>
      </c>
      <c r="O406" s="2">
        <v>2</v>
      </c>
      <c r="P406" s="2" t="s">
        <v>36</v>
      </c>
      <c r="Q406" s="2" t="s">
        <v>37</v>
      </c>
      <c r="R406" s="2">
        <v>2</v>
      </c>
      <c r="S406" s="2">
        <v>10</v>
      </c>
      <c r="T406" s="2" t="s">
        <v>49</v>
      </c>
      <c r="U406" s="2" t="s">
        <v>79</v>
      </c>
      <c r="V406" s="2" t="s">
        <v>51</v>
      </c>
      <c r="W406" s="3">
        <v>45386</v>
      </c>
      <c r="X406" s="2" t="b">
        <v>1</v>
      </c>
      <c r="Y406" s="2" t="b">
        <v>0</v>
      </c>
      <c r="Z406" s="2" t="s">
        <v>52</v>
      </c>
      <c r="AA406" s="2" t="s">
        <v>53</v>
      </c>
      <c r="AB406" s="2">
        <v>7</v>
      </c>
      <c r="AC406" s="2">
        <f>SUMIF(N:N,Ecommerce_Consumer_Behavior_Analysis_Data3[[#This Row],[Brand_Loyalty]],M:M)</f>
        <v>641</v>
      </c>
      <c r="AD406" s="2" t="e" cm="1" vm="1">
        <f t="array" aca="1" ref="AD406" ca="1">SUMIFS(Y:Y,Ecommerce_Consumer_Behavior_Analysis_Data3[[#This Row],[Payment_Method]],V:V)</f>
        <v>#VALUE!</v>
      </c>
      <c r="AE406" s="2">
        <f t="shared" si="10"/>
        <v>101.31</v>
      </c>
    </row>
    <row r="407" spans="1:31" x14ac:dyDescent="0.25">
      <c r="A407" s="2" t="s">
        <v>895</v>
      </c>
      <c r="B407" s="2">
        <v>49</v>
      </c>
      <c r="C407" s="2" t="s">
        <v>43</v>
      </c>
      <c r="D407" s="2" t="s">
        <v>30</v>
      </c>
      <c r="E407" s="2" t="s">
        <v>31</v>
      </c>
      <c r="F407" s="2" t="s">
        <v>45</v>
      </c>
      <c r="G407" s="2" t="s">
        <v>44</v>
      </c>
      <c r="H407" s="2" t="s">
        <v>896</v>
      </c>
      <c r="I407" s="2" t="s">
        <v>183</v>
      </c>
      <c r="J407" s="2">
        <v>262.61</v>
      </c>
      <c r="K407" s="2">
        <v>3</v>
      </c>
      <c r="L407" s="2" t="s">
        <v>48</v>
      </c>
      <c r="M407" s="2">
        <v>2</v>
      </c>
      <c r="N407" s="2">
        <v>5</v>
      </c>
      <c r="O407" s="2">
        <v>1</v>
      </c>
      <c r="P407" s="2" t="s">
        <v>49</v>
      </c>
      <c r="Q407" s="2" t="s">
        <v>37</v>
      </c>
      <c r="R407" s="2">
        <v>0</v>
      </c>
      <c r="S407" s="2">
        <v>10</v>
      </c>
      <c r="T407" s="2" t="s">
        <v>49</v>
      </c>
      <c r="U407" s="2" t="s">
        <v>60</v>
      </c>
      <c r="V407" s="2" t="s">
        <v>66</v>
      </c>
      <c r="W407" s="3">
        <v>45350</v>
      </c>
      <c r="X407" s="2" t="b">
        <v>0</v>
      </c>
      <c r="Y407" s="2" t="b">
        <v>1</v>
      </c>
      <c r="Z407" s="2" t="s">
        <v>52</v>
      </c>
      <c r="AA407" s="2" t="s">
        <v>53</v>
      </c>
      <c r="AB407" s="2">
        <v>6</v>
      </c>
      <c r="AC407" s="2">
        <f>SUMIF(N:N,Ecommerce_Consumer_Behavior_Analysis_Data3[[#This Row],[Brand_Loyalty]],M:M)</f>
        <v>582</v>
      </c>
      <c r="AD407" s="2" t="e" cm="1" vm="1">
        <f t="array" aca="1" ref="AD407" ca="1">SUMIFS(Y:Y,Ecommerce_Consumer_Behavior_Analysis_Data3[[#This Row],[Payment_Method]],V:V)</f>
        <v>#VALUE!</v>
      </c>
      <c r="AE407" s="2">
        <f t="shared" si="10"/>
        <v>211.7</v>
      </c>
    </row>
    <row r="408" spans="1:31" x14ac:dyDescent="0.25">
      <c r="A408" s="2" t="s">
        <v>897</v>
      </c>
      <c r="B408" s="2">
        <v>45</v>
      </c>
      <c r="C408" s="2" t="s">
        <v>274</v>
      </c>
      <c r="D408" s="2" t="s">
        <v>30</v>
      </c>
      <c r="E408" s="2" t="s">
        <v>69</v>
      </c>
      <c r="F408" s="2" t="s">
        <v>56</v>
      </c>
      <c r="G408" s="2" t="s">
        <v>30</v>
      </c>
      <c r="H408" s="2" t="s">
        <v>898</v>
      </c>
      <c r="I408" s="2" t="s">
        <v>65</v>
      </c>
      <c r="J408" s="2">
        <v>91.24</v>
      </c>
      <c r="K408" s="2">
        <v>8</v>
      </c>
      <c r="L408" s="2" t="s">
        <v>48</v>
      </c>
      <c r="M408" s="2">
        <v>4</v>
      </c>
      <c r="N408" s="2">
        <v>3</v>
      </c>
      <c r="O408" s="2">
        <v>0</v>
      </c>
      <c r="P408" s="2" t="s">
        <v>44</v>
      </c>
      <c r="Q408" s="2" t="s">
        <v>37</v>
      </c>
      <c r="R408" s="2">
        <v>0</v>
      </c>
      <c r="S408" s="2">
        <v>4</v>
      </c>
      <c r="T408" s="2" t="s">
        <v>59</v>
      </c>
      <c r="U408" s="2" t="s">
        <v>38</v>
      </c>
      <c r="V408" s="2" t="s">
        <v>86</v>
      </c>
      <c r="W408" s="3">
        <v>45593</v>
      </c>
      <c r="X408" s="2" t="b">
        <v>1</v>
      </c>
      <c r="Y408" s="2" t="b">
        <v>0</v>
      </c>
      <c r="Z408" s="2" t="s">
        <v>52</v>
      </c>
      <c r="AA408" s="2" t="s">
        <v>53</v>
      </c>
      <c r="AB408" s="2">
        <v>4</v>
      </c>
      <c r="AC408" s="2">
        <f>SUMIF(N:N,Ecommerce_Consumer_Behavior_Analysis_Data3[[#This Row],[Brand_Loyalty]],M:M)</f>
        <v>603</v>
      </c>
      <c r="AD408" s="2" t="e" cm="1" vm="1">
        <f t="array" aca="1" ref="AD408" ca="1">SUMIFS(Y:Y,Ecommerce_Consumer_Behavior_Analysis_Data3[[#This Row],[Payment_Method]],V:V)</f>
        <v>#VALUE!</v>
      </c>
      <c r="AE408" s="2">
        <f t="shared" si="10"/>
        <v>211.7</v>
      </c>
    </row>
    <row r="409" spans="1:31" x14ac:dyDescent="0.25">
      <c r="A409" s="2" t="s">
        <v>899</v>
      </c>
      <c r="B409" s="2">
        <v>42</v>
      </c>
      <c r="C409" s="2" t="s">
        <v>29</v>
      </c>
      <c r="D409" s="2" t="s">
        <v>44</v>
      </c>
      <c r="E409" s="2" t="s">
        <v>31</v>
      </c>
      <c r="F409" s="2" t="s">
        <v>45</v>
      </c>
      <c r="G409" s="2" t="s">
        <v>44</v>
      </c>
      <c r="H409" s="2" t="s">
        <v>900</v>
      </c>
      <c r="I409" s="2" t="s">
        <v>98</v>
      </c>
      <c r="J409" s="2">
        <v>425.69</v>
      </c>
      <c r="K409" s="2">
        <v>5</v>
      </c>
      <c r="L409" s="2" t="s">
        <v>48</v>
      </c>
      <c r="M409" s="2">
        <v>2</v>
      </c>
      <c r="N409" s="2">
        <v>5</v>
      </c>
      <c r="O409" s="2">
        <v>0</v>
      </c>
      <c r="P409" s="2" t="s">
        <v>44</v>
      </c>
      <c r="Q409" s="2" t="s">
        <v>85</v>
      </c>
      <c r="R409" s="2">
        <v>0</v>
      </c>
      <c r="S409" s="2">
        <v>4</v>
      </c>
      <c r="T409" s="2" t="s">
        <v>49</v>
      </c>
      <c r="U409" s="2" t="s">
        <v>38</v>
      </c>
      <c r="V409" s="2" t="s">
        <v>39</v>
      </c>
      <c r="W409" s="3">
        <v>45464</v>
      </c>
      <c r="X409" s="2" t="b">
        <v>0</v>
      </c>
      <c r="Y409" s="2" t="b">
        <v>1</v>
      </c>
      <c r="Z409" s="2" t="s">
        <v>62</v>
      </c>
      <c r="AA409" s="2" t="s">
        <v>41</v>
      </c>
      <c r="AB409" s="2">
        <v>4</v>
      </c>
      <c r="AC409" s="2">
        <f>SUMIF(N:N,Ecommerce_Consumer_Behavior_Analysis_Data3[[#This Row],[Brand_Loyalty]],M:M)</f>
        <v>582</v>
      </c>
      <c r="AD409" s="2" t="e" cm="1" vm="1">
        <f t="array" aca="1" ref="AD409" ca="1">SUMIFS(Y:Y,Ecommerce_Consumer_Behavior_Analysis_Data3[[#This Row],[Payment_Method]],V:V)</f>
        <v>#VALUE!</v>
      </c>
      <c r="AE409" s="2">
        <f t="shared" si="10"/>
        <v>101.31</v>
      </c>
    </row>
    <row r="410" spans="1:31" x14ac:dyDescent="0.25">
      <c r="A410" s="2" t="s">
        <v>901</v>
      </c>
      <c r="B410" s="2">
        <v>41</v>
      </c>
      <c r="C410" s="2" t="s">
        <v>29</v>
      </c>
      <c r="D410" s="2" t="s">
        <v>44</v>
      </c>
      <c r="E410" s="2" t="s">
        <v>31</v>
      </c>
      <c r="F410" s="2" t="s">
        <v>32</v>
      </c>
      <c r="G410" s="2" t="s">
        <v>44</v>
      </c>
      <c r="H410" s="2" t="s">
        <v>902</v>
      </c>
      <c r="I410" s="2" t="s">
        <v>114</v>
      </c>
      <c r="J410" s="2">
        <v>446.11</v>
      </c>
      <c r="K410" s="2">
        <v>9</v>
      </c>
      <c r="L410" s="2" t="s">
        <v>35</v>
      </c>
      <c r="M410" s="2">
        <v>3</v>
      </c>
      <c r="N410" s="2">
        <v>1</v>
      </c>
      <c r="O410" s="2">
        <v>1</v>
      </c>
      <c r="P410" s="2" t="s">
        <v>49</v>
      </c>
      <c r="Q410" s="2" t="s">
        <v>85</v>
      </c>
      <c r="R410" s="2">
        <v>0</v>
      </c>
      <c r="S410" s="2">
        <v>10</v>
      </c>
      <c r="T410" s="2" t="s">
        <v>49</v>
      </c>
      <c r="U410" s="2" t="s">
        <v>79</v>
      </c>
      <c r="V410" s="2" t="s">
        <v>51</v>
      </c>
      <c r="W410" s="3">
        <v>45449</v>
      </c>
      <c r="X410" s="2" t="b">
        <v>1</v>
      </c>
      <c r="Y410" s="2" t="b">
        <v>1</v>
      </c>
      <c r="Z410" s="2" t="s">
        <v>52</v>
      </c>
      <c r="AA410" s="2" t="s">
        <v>67</v>
      </c>
      <c r="AB410" s="2">
        <v>11</v>
      </c>
      <c r="AC410" s="2">
        <f>SUMIF(N:N,Ecommerce_Consumer_Behavior_Analysis_Data3[[#This Row],[Brand_Loyalty]],M:M)</f>
        <v>597</v>
      </c>
      <c r="AD410" s="2" t="e" cm="1" vm="1">
        <f t="array" aca="1" ref="AD410" ca="1">SUMIFS(Y:Y,Ecommerce_Consumer_Behavior_Analysis_Data3[[#This Row],[Payment_Method]],V:V)</f>
        <v>#VALUE!</v>
      </c>
      <c r="AE410" s="2">
        <f t="shared" si="10"/>
        <v>333.8</v>
      </c>
    </row>
    <row r="411" spans="1:31" x14ac:dyDescent="0.25">
      <c r="A411" s="2" t="s">
        <v>903</v>
      </c>
      <c r="B411" s="2">
        <v>23</v>
      </c>
      <c r="C411" s="2" t="s">
        <v>88</v>
      </c>
      <c r="D411" s="2" t="s">
        <v>44</v>
      </c>
      <c r="E411" s="2" t="s">
        <v>55</v>
      </c>
      <c r="F411" s="2" t="s">
        <v>45</v>
      </c>
      <c r="G411" s="2" t="s">
        <v>44</v>
      </c>
      <c r="H411" s="2" t="s">
        <v>904</v>
      </c>
      <c r="I411" s="2" t="s">
        <v>120</v>
      </c>
      <c r="J411" s="2">
        <v>490.11</v>
      </c>
      <c r="K411" s="2">
        <v>8</v>
      </c>
      <c r="L411" s="2" t="s">
        <v>78</v>
      </c>
      <c r="M411" s="2">
        <v>3</v>
      </c>
      <c r="N411" s="2">
        <v>4</v>
      </c>
      <c r="O411" s="2">
        <v>2</v>
      </c>
      <c r="P411" s="2" t="s">
        <v>59</v>
      </c>
      <c r="Q411" s="2" t="s">
        <v>50</v>
      </c>
      <c r="R411" s="2">
        <v>1</v>
      </c>
      <c r="S411" s="2">
        <v>1</v>
      </c>
      <c r="T411" s="2" t="s">
        <v>59</v>
      </c>
      <c r="U411" s="2" t="s">
        <v>60</v>
      </c>
      <c r="V411" s="2" t="s">
        <v>66</v>
      </c>
      <c r="W411" s="3">
        <v>45650</v>
      </c>
      <c r="X411" s="2" t="b">
        <v>0</v>
      </c>
      <c r="Y411" s="2" t="b">
        <v>0</v>
      </c>
      <c r="Z411" s="2" t="s">
        <v>74</v>
      </c>
      <c r="AA411" s="2" t="s">
        <v>53</v>
      </c>
      <c r="AB411" s="2">
        <v>14</v>
      </c>
      <c r="AC411" s="2">
        <f>SUMIF(N:N,Ecommerce_Consumer_Behavior_Analysis_Data3[[#This Row],[Brand_Loyalty]],M:M)</f>
        <v>597</v>
      </c>
      <c r="AD411" s="2" t="e" cm="1" vm="1">
        <f t="array" aca="1" ref="AD411" ca="1">SUMIFS(Y:Y,Ecommerce_Consumer_Behavior_Analysis_Data3[[#This Row],[Payment_Method]],V:V)</f>
        <v>#VALUE!</v>
      </c>
      <c r="AE411" s="2">
        <f t="shared" si="10"/>
        <v>333.8</v>
      </c>
    </row>
    <row r="412" spans="1:31" x14ac:dyDescent="0.25">
      <c r="A412" s="2" t="s">
        <v>905</v>
      </c>
      <c r="B412" s="2">
        <v>44</v>
      </c>
      <c r="C412" s="2" t="s">
        <v>29</v>
      </c>
      <c r="D412" s="2" t="s">
        <v>44</v>
      </c>
      <c r="E412" s="2" t="s">
        <v>76</v>
      </c>
      <c r="F412" s="2" t="s">
        <v>45</v>
      </c>
      <c r="G412" s="2" t="s">
        <v>30</v>
      </c>
      <c r="H412" s="2" t="s">
        <v>906</v>
      </c>
      <c r="I412" s="2" t="s">
        <v>90</v>
      </c>
      <c r="J412" s="2">
        <v>403.57</v>
      </c>
      <c r="K412" s="2">
        <v>6</v>
      </c>
      <c r="L412" s="2" t="s">
        <v>78</v>
      </c>
      <c r="M412" s="2">
        <v>2</v>
      </c>
      <c r="N412" s="2">
        <v>2</v>
      </c>
      <c r="O412" s="2">
        <v>2</v>
      </c>
      <c r="P412" s="2" t="s">
        <v>44</v>
      </c>
      <c r="Q412" s="2" t="s">
        <v>50</v>
      </c>
      <c r="R412" s="2">
        <v>2</v>
      </c>
      <c r="S412" s="2">
        <v>2</v>
      </c>
      <c r="T412" s="2" t="s">
        <v>36</v>
      </c>
      <c r="U412" s="2" t="s">
        <v>60</v>
      </c>
      <c r="V412" s="2" t="s">
        <v>66</v>
      </c>
      <c r="W412" s="3">
        <v>45610</v>
      </c>
      <c r="X412" s="2" t="b">
        <v>0</v>
      </c>
      <c r="Y412" s="2" t="b">
        <v>0</v>
      </c>
      <c r="Z412" s="2" t="s">
        <v>62</v>
      </c>
      <c r="AA412" s="2" t="s">
        <v>67</v>
      </c>
      <c r="AB412" s="2">
        <v>1</v>
      </c>
      <c r="AC412" s="2">
        <f>SUMIF(N:N,Ecommerce_Consumer_Behavior_Analysis_Data3[[#This Row],[Brand_Loyalty]],M:M)</f>
        <v>582</v>
      </c>
      <c r="AD412" s="2" t="e" cm="1" vm="1">
        <f t="array" aca="1" ref="AD412" ca="1">SUMIFS(Y:Y,Ecommerce_Consumer_Behavior_Analysis_Data3[[#This Row],[Payment_Method]],V:V)</f>
        <v>#VALUE!</v>
      </c>
      <c r="AE412" s="2">
        <f t="shared" si="10"/>
        <v>101.31</v>
      </c>
    </row>
    <row r="413" spans="1:31" x14ac:dyDescent="0.25">
      <c r="A413" s="2" t="s">
        <v>907</v>
      </c>
      <c r="B413" s="2">
        <v>42</v>
      </c>
      <c r="C413" s="2" t="s">
        <v>29</v>
      </c>
      <c r="D413" s="2" t="s">
        <v>44</v>
      </c>
      <c r="E413" s="2" t="s">
        <v>31</v>
      </c>
      <c r="F413" s="2" t="s">
        <v>32</v>
      </c>
      <c r="G413" s="2" t="s">
        <v>30</v>
      </c>
      <c r="H413" s="2" t="s">
        <v>908</v>
      </c>
      <c r="I413" s="2" t="s">
        <v>114</v>
      </c>
      <c r="J413" s="2">
        <v>442.15</v>
      </c>
      <c r="K413" s="2">
        <v>10</v>
      </c>
      <c r="L413" s="2" t="s">
        <v>35</v>
      </c>
      <c r="M413" s="2">
        <v>2</v>
      </c>
      <c r="N413" s="2">
        <v>3</v>
      </c>
      <c r="O413" s="2">
        <v>1</v>
      </c>
      <c r="P413" s="2" t="s">
        <v>44</v>
      </c>
      <c r="Q413" s="2" t="s">
        <v>50</v>
      </c>
      <c r="R413" s="2">
        <v>2</v>
      </c>
      <c r="S413" s="2">
        <v>1</v>
      </c>
      <c r="T413" s="2" t="s">
        <v>36</v>
      </c>
      <c r="U413" s="2" t="s">
        <v>60</v>
      </c>
      <c r="V413" s="2" t="s">
        <v>39</v>
      </c>
      <c r="W413" s="3">
        <v>45644</v>
      </c>
      <c r="X413" s="2" t="b">
        <v>0</v>
      </c>
      <c r="Y413" s="2" t="b">
        <v>1</v>
      </c>
      <c r="Z413" s="2" t="s">
        <v>40</v>
      </c>
      <c r="AA413" s="2" t="s">
        <v>41</v>
      </c>
      <c r="AB413" s="2">
        <v>9</v>
      </c>
      <c r="AC413" s="2">
        <f>SUMIF(N:N,Ecommerce_Consumer_Behavior_Analysis_Data3[[#This Row],[Brand_Loyalty]],M:M)</f>
        <v>582</v>
      </c>
      <c r="AD413" s="2" t="e" cm="1" vm="1">
        <f t="array" aca="1" ref="AD413" ca="1">SUMIFS(Y:Y,Ecommerce_Consumer_Behavior_Analysis_Data3[[#This Row],[Payment_Method]],V:V)</f>
        <v>#VALUE!</v>
      </c>
      <c r="AE413" s="2">
        <f t="shared" si="10"/>
        <v>101.31</v>
      </c>
    </row>
    <row r="414" spans="1:31" x14ac:dyDescent="0.25">
      <c r="A414" s="2" t="s">
        <v>909</v>
      </c>
      <c r="B414" s="2">
        <v>49</v>
      </c>
      <c r="C414" s="2" t="s">
        <v>29</v>
      </c>
      <c r="D414" s="2" t="s">
        <v>30</v>
      </c>
      <c r="E414" s="2" t="s">
        <v>69</v>
      </c>
      <c r="F414" s="2" t="s">
        <v>32</v>
      </c>
      <c r="G414" s="2" t="s">
        <v>44</v>
      </c>
      <c r="H414" s="2" t="s">
        <v>910</v>
      </c>
      <c r="I414" s="2" t="s">
        <v>90</v>
      </c>
      <c r="J414" s="2">
        <v>78.709999999999994</v>
      </c>
      <c r="K414" s="2">
        <v>5</v>
      </c>
      <c r="L414" s="2" t="s">
        <v>78</v>
      </c>
      <c r="M414" s="2">
        <v>4</v>
      </c>
      <c r="N414" s="2">
        <v>3</v>
      </c>
      <c r="O414" s="2">
        <v>1</v>
      </c>
      <c r="P414" s="2" t="s">
        <v>36</v>
      </c>
      <c r="Q414" s="2" t="s">
        <v>37</v>
      </c>
      <c r="R414" s="2">
        <v>1</v>
      </c>
      <c r="S414" s="2">
        <v>10</v>
      </c>
      <c r="T414" s="2" t="s">
        <v>59</v>
      </c>
      <c r="U414" s="2" t="s">
        <v>60</v>
      </c>
      <c r="V414" s="2" t="s">
        <v>51</v>
      </c>
      <c r="W414" s="3">
        <v>45392</v>
      </c>
      <c r="X414" s="2" t="b">
        <v>1</v>
      </c>
      <c r="Y414" s="2" t="b">
        <v>1</v>
      </c>
      <c r="Z414" s="2" t="s">
        <v>74</v>
      </c>
      <c r="AA414" s="2" t="s">
        <v>41</v>
      </c>
      <c r="AB414" s="2">
        <v>4</v>
      </c>
      <c r="AC414" s="2">
        <f>SUMIF(N:N,Ecommerce_Consumer_Behavior_Analysis_Data3[[#This Row],[Brand_Loyalty]],M:M)</f>
        <v>603</v>
      </c>
      <c r="AD414" s="2" t="e" cm="1" vm="1">
        <f t="array" aca="1" ref="AD414" ca="1">SUMIFS(Y:Y,Ecommerce_Consumer_Behavior_Analysis_Data3[[#This Row],[Payment_Method]],V:V)</f>
        <v>#VALUE!</v>
      </c>
      <c r="AE414" s="2">
        <f t="shared" si="10"/>
        <v>211.7</v>
      </c>
    </row>
    <row r="415" spans="1:31" x14ac:dyDescent="0.25">
      <c r="A415" s="2" t="s">
        <v>911</v>
      </c>
      <c r="B415" s="2">
        <v>45</v>
      </c>
      <c r="C415" s="2" t="s">
        <v>29</v>
      </c>
      <c r="D415" s="2" t="s">
        <v>30</v>
      </c>
      <c r="E415" s="2" t="s">
        <v>69</v>
      </c>
      <c r="F415" s="2" t="s">
        <v>45</v>
      </c>
      <c r="G415" s="2" t="s">
        <v>44</v>
      </c>
      <c r="H415" s="2" t="s">
        <v>912</v>
      </c>
      <c r="I415" s="2" t="s">
        <v>71</v>
      </c>
      <c r="J415" s="2">
        <v>491.51</v>
      </c>
      <c r="K415" s="2">
        <v>2</v>
      </c>
      <c r="L415" s="2" t="s">
        <v>35</v>
      </c>
      <c r="M415" s="2">
        <v>2</v>
      </c>
      <c r="N415" s="2">
        <v>5</v>
      </c>
      <c r="O415" s="2">
        <v>0</v>
      </c>
      <c r="P415" s="2" t="s">
        <v>49</v>
      </c>
      <c r="Q415" s="2" t="s">
        <v>85</v>
      </c>
      <c r="R415" s="2">
        <v>1</v>
      </c>
      <c r="S415" s="2">
        <v>1</v>
      </c>
      <c r="T415" s="2" t="s">
        <v>44</v>
      </c>
      <c r="U415" s="2" t="s">
        <v>60</v>
      </c>
      <c r="V415" s="2" t="s">
        <v>51</v>
      </c>
      <c r="W415" s="3">
        <v>45632</v>
      </c>
      <c r="X415" s="2" t="b">
        <v>1</v>
      </c>
      <c r="Y415" s="2" t="b">
        <v>0</v>
      </c>
      <c r="Z415" s="2" t="s">
        <v>40</v>
      </c>
      <c r="AA415" s="2" t="s">
        <v>41</v>
      </c>
      <c r="AB415" s="2">
        <v>7</v>
      </c>
      <c r="AC415" s="2">
        <f>SUMIF(N:N,Ecommerce_Consumer_Behavior_Analysis_Data3[[#This Row],[Brand_Loyalty]],M:M)</f>
        <v>582</v>
      </c>
      <c r="AD415" s="2" t="e" cm="1" vm="1">
        <f t="array" aca="1" ref="AD415" ca="1">SUMIFS(Y:Y,Ecommerce_Consumer_Behavior_Analysis_Data3[[#This Row],[Payment_Method]],V:V)</f>
        <v>#VALUE!</v>
      </c>
      <c r="AE415" s="2">
        <f t="shared" si="10"/>
        <v>101.31</v>
      </c>
    </row>
    <row r="416" spans="1:31" x14ac:dyDescent="0.25">
      <c r="A416" s="2" t="s">
        <v>913</v>
      </c>
      <c r="B416" s="2">
        <v>36</v>
      </c>
      <c r="C416" s="2" t="s">
        <v>29</v>
      </c>
      <c r="D416" s="2" t="s">
        <v>30</v>
      </c>
      <c r="E416" s="2" t="s">
        <v>55</v>
      </c>
      <c r="F416" s="2" t="s">
        <v>32</v>
      </c>
      <c r="G416" s="2" t="s">
        <v>30</v>
      </c>
      <c r="H416" s="2" t="s">
        <v>914</v>
      </c>
      <c r="I416" s="2" t="s">
        <v>71</v>
      </c>
      <c r="J416" s="2">
        <v>457.39</v>
      </c>
      <c r="K416" s="2">
        <v>12</v>
      </c>
      <c r="L416" s="2" t="s">
        <v>48</v>
      </c>
      <c r="M416" s="2">
        <v>1</v>
      </c>
      <c r="N416" s="2">
        <v>1</v>
      </c>
      <c r="O416" s="2">
        <v>1</v>
      </c>
      <c r="P416" s="2" t="s">
        <v>44</v>
      </c>
      <c r="Q416" s="2" t="s">
        <v>50</v>
      </c>
      <c r="R416" s="2">
        <v>1</v>
      </c>
      <c r="S416" s="2">
        <v>5</v>
      </c>
      <c r="T416" s="2" t="s">
        <v>44</v>
      </c>
      <c r="U416" s="2" t="s">
        <v>79</v>
      </c>
      <c r="V416" s="2" t="s">
        <v>39</v>
      </c>
      <c r="W416" s="3">
        <v>45594</v>
      </c>
      <c r="X416" s="2" t="b">
        <v>1</v>
      </c>
      <c r="Y416" s="2" t="b">
        <v>0</v>
      </c>
      <c r="Z416" s="2" t="s">
        <v>62</v>
      </c>
      <c r="AA416" s="2" t="s">
        <v>53</v>
      </c>
      <c r="AB416" s="2">
        <v>9</v>
      </c>
      <c r="AC416" s="2">
        <f>SUMIF(N:N,Ecommerce_Consumer_Behavior_Analysis_Data3[[#This Row],[Brand_Loyalty]],M:M)</f>
        <v>603</v>
      </c>
      <c r="AD416" s="2" t="e" cm="1" vm="1">
        <f t="array" aca="1" ref="AD416" ca="1">SUMIFS(Y:Y,Ecommerce_Consumer_Behavior_Analysis_Data3[[#This Row],[Payment_Method]],V:V)</f>
        <v>#VALUE!</v>
      </c>
      <c r="AE416" s="2">
        <f t="shared" si="10"/>
        <v>333.8</v>
      </c>
    </row>
    <row r="417" spans="1:31" x14ac:dyDescent="0.25">
      <c r="A417" s="2" t="s">
        <v>915</v>
      </c>
      <c r="B417" s="2">
        <v>38</v>
      </c>
      <c r="C417" s="2" t="s">
        <v>29</v>
      </c>
      <c r="D417" s="2" t="s">
        <v>44</v>
      </c>
      <c r="E417" s="2" t="s">
        <v>76</v>
      </c>
      <c r="F417" s="2" t="s">
        <v>45</v>
      </c>
      <c r="G417" s="2" t="s">
        <v>44</v>
      </c>
      <c r="H417" s="2" t="s">
        <v>916</v>
      </c>
      <c r="I417" s="2" t="s">
        <v>47</v>
      </c>
      <c r="J417" s="2">
        <v>178.61</v>
      </c>
      <c r="K417" s="2">
        <v>12</v>
      </c>
      <c r="L417" s="2" t="s">
        <v>78</v>
      </c>
      <c r="M417" s="2">
        <v>5</v>
      </c>
      <c r="N417" s="2">
        <v>1</v>
      </c>
      <c r="O417" s="2">
        <v>2</v>
      </c>
      <c r="P417" s="2" t="s">
        <v>44</v>
      </c>
      <c r="Q417" s="2" t="s">
        <v>50</v>
      </c>
      <c r="R417" s="2">
        <v>0</v>
      </c>
      <c r="S417" s="2">
        <v>3</v>
      </c>
      <c r="T417" s="2" t="s">
        <v>36</v>
      </c>
      <c r="U417" s="2" t="s">
        <v>60</v>
      </c>
      <c r="V417" s="2" t="s">
        <v>39</v>
      </c>
      <c r="W417" s="3">
        <v>45483</v>
      </c>
      <c r="X417" s="2" t="b">
        <v>1</v>
      </c>
      <c r="Y417" s="2" t="b">
        <v>0</v>
      </c>
      <c r="Z417" s="2" t="s">
        <v>62</v>
      </c>
      <c r="AA417" s="2" t="s">
        <v>41</v>
      </c>
      <c r="AB417" s="2">
        <v>8</v>
      </c>
      <c r="AC417" s="2">
        <f>SUMIF(N:N,Ecommerce_Consumer_Behavior_Analysis_Data3[[#This Row],[Brand_Loyalty]],M:M)</f>
        <v>641</v>
      </c>
      <c r="AD417" s="2" t="e" cm="1" vm="1">
        <f t="array" aca="1" ref="AD417" ca="1">SUMIFS(Y:Y,Ecommerce_Consumer_Behavior_Analysis_Data3[[#This Row],[Payment_Method]],V:V)</f>
        <v>#VALUE!</v>
      </c>
      <c r="AE417" s="2">
        <f t="shared" si="10"/>
        <v>101.31</v>
      </c>
    </row>
    <row r="418" spans="1:31" x14ac:dyDescent="0.25">
      <c r="A418" s="2" t="s">
        <v>917</v>
      </c>
      <c r="B418" s="2">
        <v>44</v>
      </c>
      <c r="C418" s="2" t="s">
        <v>43</v>
      </c>
      <c r="D418" s="2" t="s">
        <v>30</v>
      </c>
      <c r="E418" s="2" t="s">
        <v>55</v>
      </c>
      <c r="F418" s="2" t="s">
        <v>45</v>
      </c>
      <c r="G418" s="2" t="s">
        <v>30</v>
      </c>
      <c r="H418" s="2" t="s">
        <v>918</v>
      </c>
      <c r="I418" s="2" t="s">
        <v>104</v>
      </c>
      <c r="J418" s="2">
        <v>492.51</v>
      </c>
      <c r="K418" s="2">
        <v>7</v>
      </c>
      <c r="L418" s="2" t="s">
        <v>78</v>
      </c>
      <c r="M418" s="2">
        <v>1</v>
      </c>
      <c r="N418" s="2">
        <v>4</v>
      </c>
      <c r="O418" s="2">
        <v>1</v>
      </c>
      <c r="P418" s="2" t="s">
        <v>59</v>
      </c>
      <c r="Q418" s="2" t="s">
        <v>50</v>
      </c>
      <c r="R418" s="2">
        <v>0</v>
      </c>
      <c r="S418" s="2">
        <v>2</v>
      </c>
      <c r="T418" s="2" t="s">
        <v>49</v>
      </c>
      <c r="U418" s="2" t="s">
        <v>79</v>
      </c>
      <c r="V418" s="2" t="s">
        <v>51</v>
      </c>
      <c r="W418" s="3">
        <v>45321</v>
      </c>
      <c r="X418" s="2" t="b">
        <v>1</v>
      </c>
      <c r="Y418" s="2" t="b">
        <v>1</v>
      </c>
      <c r="Z418" s="2" t="s">
        <v>52</v>
      </c>
      <c r="AA418" s="2" t="s">
        <v>53</v>
      </c>
      <c r="AB418" s="2">
        <v>4</v>
      </c>
      <c r="AC418" s="2">
        <f>SUMIF(N:N,Ecommerce_Consumer_Behavior_Analysis_Data3[[#This Row],[Brand_Loyalty]],M:M)</f>
        <v>603</v>
      </c>
      <c r="AD418" s="2" t="e" cm="1" vm="1">
        <f t="array" aca="1" ref="AD418" ca="1">SUMIFS(Y:Y,Ecommerce_Consumer_Behavior_Analysis_Data3[[#This Row],[Payment_Method]],V:V)</f>
        <v>#VALUE!</v>
      </c>
      <c r="AE418" s="2">
        <f t="shared" si="10"/>
        <v>211.7</v>
      </c>
    </row>
    <row r="419" spans="1:31" x14ac:dyDescent="0.25">
      <c r="A419" s="2" t="s">
        <v>919</v>
      </c>
      <c r="B419" s="2">
        <v>37</v>
      </c>
      <c r="C419" s="2" t="s">
        <v>274</v>
      </c>
      <c r="D419" s="2" t="s">
        <v>44</v>
      </c>
      <c r="E419" s="2" t="s">
        <v>31</v>
      </c>
      <c r="F419" s="2" t="s">
        <v>32</v>
      </c>
      <c r="G419" s="2" t="s">
        <v>44</v>
      </c>
      <c r="H419" s="2" t="s">
        <v>920</v>
      </c>
      <c r="I419" s="2" t="s">
        <v>65</v>
      </c>
      <c r="J419" s="2">
        <v>411.4</v>
      </c>
      <c r="K419" s="2">
        <v>3</v>
      </c>
      <c r="L419" s="2" t="s">
        <v>48</v>
      </c>
      <c r="M419" s="2">
        <v>1</v>
      </c>
      <c r="N419" s="2">
        <v>3</v>
      </c>
      <c r="O419" s="2">
        <v>0</v>
      </c>
      <c r="P419" s="2" t="s">
        <v>44</v>
      </c>
      <c r="Q419" s="2" t="s">
        <v>37</v>
      </c>
      <c r="R419" s="2">
        <v>2</v>
      </c>
      <c r="S419" s="2">
        <v>9</v>
      </c>
      <c r="T419" s="2" t="s">
        <v>36</v>
      </c>
      <c r="U419" s="2" t="s">
        <v>60</v>
      </c>
      <c r="V419" s="2" t="s">
        <v>51</v>
      </c>
      <c r="W419" s="3">
        <v>45516</v>
      </c>
      <c r="X419" s="2" t="b">
        <v>1</v>
      </c>
      <c r="Y419" s="2" t="b">
        <v>0</v>
      </c>
      <c r="Z419" s="2" t="s">
        <v>62</v>
      </c>
      <c r="AA419" s="2" t="s">
        <v>53</v>
      </c>
      <c r="AB419" s="2">
        <v>6</v>
      </c>
      <c r="AC419" s="2">
        <f>SUMIF(N:N,Ecommerce_Consumer_Behavior_Analysis_Data3[[#This Row],[Brand_Loyalty]],M:M)</f>
        <v>603</v>
      </c>
      <c r="AD419" s="2" t="e" cm="1" vm="1">
        <f t="array" aca="1" ref="AD419" ca="1">SUMIFS(Y:Y,Ecommerce_Consumer_Behavior_Analysis_Data3[[#This Row],[Payment_Method]],V:V)</f>
        <v>#VALUE!</v>
      </c>
      <c r="AE419" s="2">
        <f t="shared" si="10"/>
        <v>333.8</v>
      </c>
    </row>
    <row r="420" spans="1:31" x14ac:dyDescent="0.25">
      <c r="A420" s="2" t="s">
        <v>921</v>
      </c>
      <c r="B420" s="2">
        <v>36</v>
      </c>
      <c r="C420" s="2" t="s">
        <v>43</v>
      </c>
      <c r="D420" s="2" t="s">
        <v>30</v>
      </c>
      <c r="E420" s="2" t="s">
        <v>76</v>
      </c>
      <c r="F420" s="2" t="s">
        <v>56</v>
      </c>
      <c r="G420" s="2" t="s">
        <v>44</v>
      </c>
      <c r="H420" s="2" t="s">
        <v>922</v>
      </c>
      <c r="I420" s="2" t="s">
        <v>183</v>
      </c>
      <c r="J420" s="2">
        <v>96.52</v>
      </c>
      <c r="K420" s="2">
        <v>11</v>
      </c>
      <c r="L420" s="2" t="s">
        <v>48</v>
      </c>
      <c r="M420" s="2">
        <v>5</v>
      </c>
      <c r="N420" s="2">
        <v>3</v>
      </c>
      <c r="O420" s="2">
        <v>2</v>
      </c>
      <c r="P420" s="2" t="s">
        <v>59</v>
      </c>
      <c r="Q420" s="2" t="s">
        <v>50</v>
      </c>
      <c r="R420" s="2">
        <v>1</v>
      </c>
      <c r="S420" s="2">
        <v>3</v>
      </c>
      <c r="T420" s="2" t="s">
        <v>36</v>
      </c>
      <c r="U420" s="2" t="s">
        <v>38</v>
      </c>
      <c r="V420" s="2" t="s">
        <v>86</v>
      </c>
      <c r="W420" s="3">
        <v>45368</v>
      </c>
      <c r="X420" s="2" t="b">
        <v>0</v>
      </c>
      <c r="Y420" s="2" t="b">
        <v>0</v>
      </c>
      <c r="Z420" s="2" t="s">
        <v>74</v>
      </c>
      <c r="AA420" s="2" t="s">
        <v>53</v>
      </c>
      <c r="AB420" s="2">
        <v>11</v>
      </c>
      <c r="AC420" s="2">
        <f>SUMIF(N:N,Ecommerce_Consumer_Behavior_Analysis_Data3[[#This Row],[Brand_Loyalty]],M:M)</f>
        <v>641</v>
      </c>
      <c r="AD420" s="2" t="e" cm="1" vm="1">
        <f t="array" aca="1" ref="AD420" ca="1">SUMIFS(Y:Y,Ecommerce_Consumer_Behavior_Analysis_Data3[[#This Row],[Payment_Method]],V:V)</f>
        <v>#VALUE!</v>
      </c>
      <c r="AE420" s="2">
        <f t="shared" si="10"/>
        <v>101.31</v>
      </c>
    </row>
    <row r="421" spans="1:31" x14ac:dyDescent="0.25">
      <c r="A421" s="2" t="s">
        <v>923</v>
      </c>
      <c r="B421" s="2">
        <v>34</v>
      </c>
      <c r="C421" s="2" t="s">
        <v>43</v>
      </c>
      <c r="D421" s="2" t="s">
        <v>44</v>
      </c>
      <c r="E421" s="2" t="s">
        <v>31</v>
      </c>
      <c r="F421" s="2" t="s">
        <v>45</v>
      </c>
      <c r="G421" s="2" t="s">
        <v>30</v>
      </c>
      <c r="H421" s="2" t="s">
        <v>924</v>
      </c>
      <c r="I421" s="2" t="s">
        <v>93</v>
      </c>
      <c r="J421" s="2">
        <v>65.45</v>
      </c>
      <c r="K421" s="2">
        <v>6</v>
      </c>
      <c r="L421" s="2" t="s">
        <v>48</v>
      </c>
      <c r="M421" s="2">
        <v>2</v>
      </c>
      <c r="N421" s="2">
        <v>4</v>
      </c>
      <c r="O421" s="2">
        <v>1</v>
      </c>
      <c r="P421" s="2" t="s">
        <v>44</v>
      </c>
      <c r="Q421" s="2" t="s">
        <v>85</v>
      </c>
      <c r="R421" s="2">
        <v>0</v>
      </c>
      <c r="S421" s="2">
        <v>2</v>
      </c>
      <c r="T421" s="2" t="s">
        <v>49</v>
      </c>
      <c r="U421" s="2" t="s">
        <v>60</v>
      </c>
      <c r="V421" s="2" t="s">
        <v>39</v>
      </c>
      <c r="W421" s="3">
        <v>45556</v>
      </c>
      <c r="X421" s="2" t="b">
        <v>1</v>
      </c>
      <c r="Y421" s="2" t="b">
        <v>1</v>
      </c>
      <c r="Z421" s="2" t="s">
        <v>62</v>
      </c>
      <c r="AA421" s="2" t="s">
        <v>41</v>
      </c>
      <c r="AB421" s="2">
        <v>3</v>
      </c>
      <c r="AC421" s="2">
        <f>SUMIF(N:N,Ecommerce_Consumer_Behavior_Analysis_Data3[[#This Row],[Brand_Loyalty]],M:M)</f>
        <v>582</v>
      </c>
      <c r="AD421" s="2" t="e" cm="1" vm="1">
        <f t="array" aca="1" ref="AD421" ca="1">SUMIFS(Y:Y,Ecommerce_Consumer_Behavior_Analysis_Data3[[#This Row],[Payment_Method]],V:V)</f>
        <v>#VALUE!</v>
      </c>
      <c r="AE421" s="2">
        <f t="shared" si="10"/>
        <v>333.8</v>
      </c>
    </row>
    <row r="422" spans="1:31" x14ac:dyDescent="0.25">
      <c r="A422" s="2" t="s">
        <v>925</v>
      </c>
      <c r="B422" s="2">
        <v>23</v>
      </c>
      <c r="C422" s="2" t="s">
        <v>43</v>
      </c>
      <c r="D422" s="2" t="s">
        <v>30</v>
      </c>
      <c r="E422" s="2" t="s">
        <v>55</v>
      </c>
      <c r="F422" s="2" t="s">
        <v>45</v>
      </c>
      <c r="G422" s="2" t="s">
        <v>30</v>
      </c>
      <c r="H422" s="2" t="s">
        <v>926</v>
      </c>
      <c r="I422" s="2" t="s">
        <v>104</v>
      </c>
      <c r="J422" s="2">
        <v>255.86</v>
      </c>
      <c r="K422" s="2">
        <v>3</v>
      </c>
      <c r="L422" s="2" t="s">
        <v>78</v>
      </c>
      <c r="M422" s="2">
        <v>4</v>
      </c>
      <c r="N422" s="2">
        <v>5</v>
      </c>
      <c r="O422" s="2">
        <v>2</v>
      </c>
      <c r="P422" s="2" t="s">
        <v>44</v>
      </c>
      <c r="Q422" s="2" t="s">
        <v>85</v>
      </c>
      <c r="R422" s="2">
        <v>0</v>
      </c>
      <c r="S422" s="2">
        <v>1</v>
      </c>
      <c r="T422" s="2" t="s">
        <v>59</v>
      </c>
      <c r="U422" s="2" t="s">
        <v>38</v>
      </c>
      <c r="V422" s="2" t="s">
        <v>51</v>
      </c>
      <c r="W422" s="3">
        <v>45376</v>
      </c>
      <c r="X422" s="2" t="b">
        <v>1</v>
      </c>
      <c r="Y422" s="2" t="b">
        <v>0</v>
      </c>
      <c r="Z422" s="2" t="s">
        <v>74</v>
      </c>
      <c r="AA422" s="2" t="s">
        <v>41</v>
      </c>
      <c r="AB422" s="2">
        <v>4</v>
      </c>
      <c r="AC422" s="2">
        <f>SUMIF(N:N,Ecommerce_Consumer_Behavior_Analysis_Data3[[#This Row],[Brand_Loyalty]],M:M)</f>
        <v>603</v>
      </c>
      <c r="AD422" s="2" t="e" cm="1" vm="1">
        <f t="array" aca="1" ref="AD422" ca="1">SUMIFS(Y:Y,Ecommerce_Consumer_Behavior_Analysis_Data3[[#This Row],[Payment_Method]],V:V)</f>
        <v>#VALUE!</v>
      </c>
      <c r="AE422" s="2">
        <f t="shared" si="10"/>
        <v>101.31</v>
      </c>
    </row>
    <row r="423" spans="1:31" x14ac:dyDescent="0.25">
      <c r="A423" s="2" t="s">
        <v>927</v>
      </c>
      <c r="B423" s="2">
        <v>35</v>
      </c>
      <c r="C423" s="2" t="s">
        <v>43</v>
      </c>
      <c r="D423" s="2" t="s">
        <v>44</v>
      </c>
      <c r="E423" s="2" t="s">
        <v>76</v>
      </c>
      <c r="F423" s="2" t="s">
        <v>32</v>
      </c>
      <c r="G423" s="2" t="s">
        <v>44</v>
      </c>
      <c r="H423" s="2" t="s">
        <v>928</v>
      </c>
      <c r="I423" s="2" t="s">
        <v>71</v>
      </c>
      <c r="J423" s="2">
        <v>74.69</v>
      </c>
      <c r="K423" s="2">
        <v>10</v>
      </c>
      <c r="L423" s="2" t="s">
        <v>48</v>
      </c>
      <c r="M423" s="2">
        <v>5</v>
      </c>
      <c r="N423" s="2">
        <v>3</v>
      </c>
      <c r="O423" s="2">
        <v>1</v>
      </c>
      <c r="P423" s="2" t="s">
        <v>59</v>
      </c>
      <c r="Q423" s="2" t="s">
        <v>37</v>
      </c>
      <c r="R423" s="2">
        <v>0</v>
      </c>
      <c r="S423" s="2">
        <v>6</v>
      </c>
      <c r="T423" s="2" t="s">
        <v>49</v>
      </c>
      <c r="U423" s="2" t="s">
        <v>79</v>
      </c>
      <c r="V423" s="2" t="s">
        <v>51</v>
      </c>
      <c r="W423" s="3">
        <v>45608</v>
      </c>
      <c r="X423" s="2" t="b">
        <v>0</v>
      </c>
      <c r="Y423" s="2" t="b">
        <v>1</v>
      </c>
      <c r="Z423" s="2" t="s">
        <v>40</v>
      </c>
      <c r="AA423" s="2" t="s">
        <v>41</v>
      </c>
      <c r="AB423" s="2">
        <v>3</v>
      </c>
      <c r="AC423" s="2">
        <f>SUMIF(N:N,Ecommerce_Consumer_Behavior_Analysis_Data3[[#This Row],[Brand_Loyalty]],M:M)</f>
        <v>641</v>
      </c>
      <c r="AD423" s="2" t="e" cm="1" vm="1">
        <f t="array" aca="1" ref="AD423" ca="1">SUMIFS(Y:Y,Ecommerce_Consumer_Behavior_Analysis_Data3[[#This Row],[Payment_Method]],V:V)</f>
        <v>#VALUE!</v>
      </c>
      <c r="AE423" s="2">
        <f t="shared" si="10"/>
        <v>333.8</v>
      </c>
    </row>
    <row r="424" spans="1:31" x14ac:dyDescent="0.25">
      <c r="A424" s="2" t="s">
        <v>929</v>
      </c>
      <c r="B424" s="2">
        <v>45</v>
      </c>
      <c r="C424" s="2" t="s">
        <v>43</v>
      </c>
      <c r="D424" s="2" t="s">
        <v>30</v>
      </c>
      <c r="E424" s="2" t="s">
        <v>69</v>
      </c>
      <c r="F424" s="2" t="s">
        <v>56</v>
      </c>
      <c r="G424" s="2" t="s">
        <v>30</v>
      </c>
      <c r="H424" s="2" t="s">
        <v>930</v>
      </c>
      <c r="I424" s="2" t="s">
        <v>65</v>
      </c>
      <c r="J424" s="2">
        <v>430.75</v>
      </c>
      <c r="K424" s="2">
        <v>8</v>
      </c>
      <c r="L424" s="2" t="s">
        <v>35</v>
      </c>
      <c r="M424" s="2">
        <v>3</v>
      </c>
      <c r="N424" s="2">
        <v>4</v>
      </c>
      <c r="O424" s="2">
        <v>2</v>
      </c>
      <c r="P424" s="2" t="s">
        <v>59</v>
      </c>
      <c r="Q424" s="2" t="s">
        <v>85</v>
      </c>
      <c r="R424" s="2">
        <v>1</v>
      </c>
      <c r="S424" s="2">
        <v>5</v>
      </c>
      <c r="T424" s="2" t="s">
        <v>36</v>
      </c>
      <c r="U424" s="2" t="s">
        <v>38</v>
      </c>
      <c r="V424" s="2" t="s">
        <v>86</v>
      </c>
      <c r="W424" s="3">
        <v>45388</v>
      </c>
      <c r="X424" s="2" t="b">
        <v>0</v>
      </c>
      <c r="Y424" s="2" t="b">
        <v>0</v>
      </c>
      <c r="Z424" s="2" t="s">
        <v>40</v>
      </c>
      <c r="AA424" s="2" t="s">
        <v>41</v>
      </c>
      <c r="AB424" s="2">
        <v>6</v>
      </c>
      <c r="AC424" s="2">
        <f>SUMIF(N:N,Ecommerce_Consumer_Behavior_Analysis_Data3[[#This Row],[Brand_Loyalty]],M:M)</f>
        <v>597</v>
      </c>
      <c r="AD424" s="2" t="e" cm="1" vm="1">
        <f t="array" aca="1" ref="AD424" ca="1">SUMIFS(Y:Y,Ecommerce_Consumer_Behavior_Analysis_Data3[[#This Row],[Payment_Method]],V:V)</f>
        <v>#VALUE!</v>
      </c>
      <c r="AE424" s="2">
        <f t="shared" si="10"/>
        <v>333.8</v>
      </c>
    </row>
    <row r="425" spans="1:31" x14ac:dyDescent="0.25">
      <c r="A425" s="2" t="s">
        <v>931</v>
      </c>
      <c r="B425" s="2">
        <v>38</v>
      </c>
      <c r="C425" s="2" t="s">
        <v>43</v>
      </c>
      <c r="D425" s="2" t="s">
        <v>44</v>
      </c>
      <c r="E425" s="2" t="s">
        <v>69</v>
      </c>
      <c r="F425" s="2" t="s">
        <v>56</v>
      </c>
      <c r="G425" s="2" t="s">
        <v>44</v>
      </c>
      <c r="H425" s="2" t="s">
        <v>932</v>
      </c>
      <c r="I425" s="2" t="s">
        <v>120</v>
      </c>
      <c r="J425" s="2">
        <v>370.17</v>
      </c>
      <c r="K425" s="2">
        <v>2</v>
      </c>
      <c r="L425" s="2" t="s">
        <v>35</v>
      </c>
      <c r="M425" s="2">
        <v>5</v>
      </c>
      <c r="N425" s="2">
        <v>4</v>
      </c>
      <c r="O425" s="2">
        <v>2</v>
      </c>
      <c r="P425" s="2" t="s">
        <v>49</v>
      </c>
      <c r="Q425" s="2" t="s">
        <v>50</v>
      </c>
      <c r="R425" s="2">
        <v>1</v>
      </c>
      <c r="S425" s="2">
        <v>9</v>
      </c>
      <c r="T425" s="2" t="s">
        <v>59</v>
      </c>
      <c r="U425" s="2" t="s">
        <v>38</v>
      </c>
      <c r="V425" s="2" t="s">
        <v>86</v>
      </c>
      <c r="W425" s="3">
        <v>45619</v>
      </c>
      <c r="X425" s="2" t="b">
        <v>0</v>
      </c>
      <c r="Y425" s="2" t="b">
        <v>1</v>
      </c>
      <c r="Z425" s="2" t="s">
        <v>40</v>
      </c>
      <c r="AA425" s="2" t="s">
        <v>67</v>
      </c>
      <c r="AB425" s="2">
        <v>1</v>
      </c>
      <c r="AC425" s="2">
        <f>SUMIF(N:N,Ecommerce_Consumer_Behavior_Analysis_Data3[[#This Row],[Brand_Loyalty]],M:M)</f>
        <v>641</v>
      </c>
      <c r="AD425" s="2" t="e" cm="1" vm="1">
        <f t="array" aca="1" ref="AD425" ca="1">SUMIFS(Y:Y,Ecommerce_Consumer_Behavior_Analysis_Data3[[#This Row],[Payment_Method]],V:V)</f>
        <v>#VALUE!</v>
      </c>
      <c r="AE425" s="2">
        <f t="shared" si="10"/>
        <v>101.31</v>
      </c>
    </row>
    <row r="426" spans="1:31" x14ac:dyDescent="0.25">
      <c r="A426" s="2" t="s">
        <v>933</v>
      </c>
      <c r="B426" s="2">
        <v>25</v>
      </c>
      <c r="C426" s="2" t="s">
        <v>43</v>
      </c>
      <c r="D426" s="2" t="s">
        <v>30</v>
      </c>
      <c r="E426" s="2" t="s">
        <v>76</v>
      </c>
      <c r="F426" s="2" t="s">
        <v>56</v>
      </c>
      <c r="G426" s="2" t="s">
        <v>44</v>
      </c>
      <c r="H426" s="2" t="s">
        <v>934</v>
      </c>
      <c r="I426" s="2" t="s">
        <v>117</v>
      </c>
      <c r="J426" s="2">
        <v>384.26</v>
      </c>
      <c r="K426" s="2">
        <v>6</v>
      </c>
      <c r="L426" s="2" t="s">
        <v>35</v>
      </c>
      <c r="M426" s="2">
        <v>4</v>
      </c>
      <c r="N426" s="2">
        <v>2</v>
      </c>
      <c r="O426" s="2">
        <v>1</v>
      </c>
      <c r="P426" s="2" t="s">
        <v>44</v>
      </c>
      <c r="Q426" s="2" t="s">
        <v>50</v>
      </c>
      <c r="R426" s="2">
        <v>0</v>
      </c>
      <c r="S426" s="2">
        <v>9</v>
      </c>
      <c r="T426" s="2" t="s">
        <v>49</v>
      </c>
      <c r="U426" s="2" t="s">
        <v>60</v>
      </c>
      <c r="V426" s="2" t="s">
        <v>51</v>
      </c>
      <c r="W426" s="3">
        <v>45484</v>
      </c>
      <c r="X426" s="2" t="b">
        <v>0</v>
      </c>
      <c r="Y426" s="2" t="b">
        <v>1</v>
      </c>
      <c r="Z426" s="2" t="s">
        <v>40</v>
      </c>
      <c r="AA426" s="2" t="s">
        <v>41</v>
      </c>
      <c r="AB426" s="2">
        <v>11</v>
      </c>
      <c r="AC426" s="2">
        <f>SUMIF(N:N,Ecommerce_Consumer_Behavior_Analysis_Data3[[#This Row],[Brand_Loyalty]],M:M)</f>
        <v>603</v>
      </c>
      <c r="AD426" s="2" t="e" cm="1" vm="1">
        <f t="array" aca="1" ref="AD426" ca="1">SUMIFS(Y:Y,Ecommerce_Consumer_Behavior_Analysis_Data3[[#This Row],[Payment_Method]],V:V)</f>
        <v>#VALUE!</v>
      </c>
      <c r="AE426" s="2">
        <f t="shared" si="10"/>
        <v>101.31</v>
      </c>
    </row>
    <row r="427" spans="1:31" x14ac:dyDescent="0.25">
      <c r="A427" s="2" t="s">
        <v>935</v>
      </c>
      <c r="B427" s="2">
        <v>26</v>
      </c>
      <c r="C427" s="2" t="s">
        <v>43</v>
      </c>
      <c r="D427" s="2" t="s">
        <v>30</v>
      </c>
      <c r="E427" s="2" t="s">
        <v>31</v>
      </c>
      <c r="F427" s="2" t="s">
        <v>56</v>
      </c>
      <c r="G427" s="2" t="s">
        <v>30</v>
      </c>
      <c r="H427" s="2" t="s">
        <v>936</v>
      </c>
      <c r="I427" s="2" t="s">
        <v>65</v>
      </c>
      <c r="J427" s="2">
        <v>128.01</v>
      </c>
      <c r="K427" s="2">
        <v>2</v>
      </c>
      <c r="L427" s="2" t="s">
        <v>35</v>
      </c>
      <c r="M427" s="2">
        <v>4</v>
      </c>
      <c r="N427" s="2">
        <v>2</v>
      </c>
      <c r="O427" s="2">
        <v>1</v>
      </c>
      <c r="P427" s="2" t="s">
        <v>49</v>
      </c>
      <c r="Q427" s="2" t="s">
        <v>37</v>
      </c>
      <c r="R427" s="2">
        <v>0</v>
      </c>
      <c r="S427" s="2">
        <v>1</v>
      </c>
      <c r="T427" s="2" t="s">
        <v>44</v>
      </c>
      <c r="U427" s="2" t="s">
        <v>60</v>
      </c>
      <c r="V427" s="2" t="s">
        <v>61</v>
      </c>
      <c r="W427" s="3">
        <v>45399</v>
      </c>
      <c r="X427" s="2" t="b">
        <v>1</v>
      </c>
      <c r="Y427" s="2" t="b">
        <v>0</v>
      </c>
      <c r="Z427" s="2" t="s">
        <v>40</v>
      </c>
      <c r="AA427" s="2" t="s">
        <v>41</v>
      </c>
      <c r="AB427" s="2">
        <v>10</v>
      </c>
      <c r="AC427" s="2">
        <f>SUMIF(N:N,Ecommerce_Consumer_Behavior_Analysis_Data3[[#This Row],[Brand_Loyalty]],M:M)</f>
        <v>603</v>
      </c>
      <c r="AD427" s="2" t="e" cm="1" vm="1">
        <f t="array" aca="1" ref="AD427" ca="1">SUMIFS(Y:Y,Ecommerce_Consumer_Behavior_Analysis_Data3[[#This Row],[Payment_Method]],V:V)</f>
        <v>#VALUE!</v>
      </c>
      <c r="AE427" s="2">
        <f t="shared" si="10"/>
        <v>211.7</v>
      </c>
    </row>
    <row r="428" spans="1:31" x14ac:dyDescent="0.25">
      <c r="A428" s="2" t="s">
        <v>937</v>
      </c>
      <c r="B428" s="2">
        <v>46</v>
      </c>
      <c r="C428" s="2" t="s">
        <v>29</v>
      </c>
      <c r="D428" s="2" t="s">
        <v>44</v>
      </c>
      <c r="E428" s="2" t="s">
        <v>31</v>
      </c>
      <c r="F428" s="2" t="s">
        <v>45</v>
      </c>
      <c r="G428" s="2" t="s">
        <v>44</v>
      </c>
      <c r="H428" s="2" t="s">
        <v>938</v>
      </c>
      <c r="I428" s="2" t="s">
        <v>98</v>
      </c>
      <c r="J428" s="2">
        <v>301.39999999999998</v>
      </c>
      <c r="K428" s="2">
        <v>4</v>
      </c>
      <c r="L428" s="2" t="s">
        <v>78</v>
      </c>
      <c r="M428" s="2">
        <v>5</v>
      </c>
      <c r="N428" s="2">
        <v>3</v>
      </c>
      <c r="O428" s="2">
        <v>0</v>
      </c>
      <c r="P428" s="2" t="s">
        <v>49</v>
      </c>
      <c r="Q428" s="2" t="s">
        <v>37</v>
      </c>
      <c r="R428" s="2">
        <v>0</v>
      </c>
      <c r="S428" s="2">
        <v>5</v>
      </c>
      <c r="T428" s="2" t="s">
        <v>36</v>
      </c>
      <c r="U428" s="2" t="s">
        <v>79</v>
      </c>
      <c r="V428" s="2" t="s">
        <v>61</v>
      </c>
      <c r="W428" s="3">
        <v>45549</v>
      </c>
      <c r="X428" s="2" t="b">
        <v>0</v>
      </c>
      <c r="Y428" s="2" t="b">
        <v>1</v>
      </c>
      <c r="Z428" s="2" t="s">
        <v>74</v>
      </c>
      <c r="AA428" s="2" t="s">
        <v>53</v>
      </c>
      <c r="AB428" s="2">
        <v>5</v>
      </c>
      <c r="AC428" s="2">
        <f>SUMIF(N:N,Ecommerce_Consumer_Behavior_Analysis_Data3[[#This Row],[Brand_Loyalty]],M:M)</f>
        <v>641</v>
      </c>
      <c r="AD428" s="2" t="e" cm="1" vm="1">
        <f t="array" aca="1" ref="AD428" ca="1">SUMIFS(Y:Y,Ecommerce_Consumer_Behavior_Analysis_Data3[[#This Row],[Payment_Method]],V:V)</f>
        <v>#VALUE!</v>
      </c>
      <c r="AE428" s="2">
        <f t="shared" si="10"/>
        <v>101.31</v>
      </c>
    </row>
    <row r="429" spans="1:31" x14ac:dyDescent="0.25">
      <c r="A429" s="2" t="s">
        <v>939</v>
      </c>
      <c r="B429" s="2">
        <v>18</v>
      </c>
      <c r="C429" s="2" t="s">
        <v>29</v>
      </c>
      <c r="D429" s="2" t="s">
        <v>44</v>
      </c>
      <c r="E429" s="2" t="s">
        <v>55</v>
      </c>
      <c r="F429" s="2" t="s">
        <v>45</v>
      </c>
      <c r="G429" s="2" t="s">
        <v>44</v>
      </c>
      <c r="H429" s="2" t="s">
        <v>940</v>
      </c>
      <c r="I429" s="2" t="s">
        <v>142</v>
      </c>
      <c r="J429" s="2">
        <v>397.25</v>
      </c>
      <c r="K429" s="2">
        <v>6</v>
      </c>
      <c r="L429" s="2" t="s">
        <v>35</v>
      </c>
      <c r="M429" s="2">
        <v>5</v>
      </c>
      <c r="N429" s="2">
        <v>2</v>
      </c>
      <c r="O429" s="2">
        <v>1</v>
      </c>
      <c r="P429" s="2" t="s">
        <v>59</v>
      </c>
      <c r="Q429" s="2" t="s">
        <v>50</v>
      </c>
      <c r="R429" s="2">
        <v>1</v>
      </c>
      <c r="S429" s="2">
        <v>10</v>
      </c>
      <c r="T429" s="2" t="s">
        <v>36</v>
      </c>
      <c r="U429" s="2" t="s">
        <v>79</v>
      </c>
      <c r="V429" s="2" t="s">
        <v>86</v>
      </c>
      <c r="W429" s="3">
        <v>45512</v>
      </c>
      <c r="X429" s="2" t="b">
        <v>0</v>
      </c>
      <c r="Y429" s="2" t="b">
        <v>1</v>
      </c>
      <c r="Z429" s="2" t="s">
        <v>52</v>
      </c>
      <c r="AA429" s="2" t="s">
        <v>41</v>
      </c>
      <c r="AB429" s="2">
        <v>2</v>
      </c>
      <c r="AC429" s="2">
        <f>SUMIF(N:N,Ecommerce_Consumer_Behavior_Analysis_Data3[[#This Row],[Brand_Loyalty]],M:M)</f>
        <v>641</v>
      </c>
      <c r="AD429" s="2" t="e" cm="1" vm="1">
        <f t="array" aca="1" ref="AD429" ca="1">SUMIFS(Y:Y,Ecommerce_Consumer_Behavior_Analysis_Data3[[#This Row],[Payment_Method]],V:V)</f>
        <v>#VALUE!</v>
      </c>
      <c r="AE429" s="2">
        <f t="shared" si="10"/>
        <v>211.7</v>
      </c>
    </row>
    <row r="430" spans="1:31" x14ac:dyDescent="0.25">
      <c r="A430" s="2" t="s">
        <v>941</v>
      </c>
      <c r="B430" s="2">
        <v>46</v>
      </c>
      <c r="C430" s="2" t="s">
        <v>43</v>
      </c>
      <c r="D430" s="2" t="s">
        <v>30</v>
      </c>
      <c r="E430" s="2" t="s">
        <v>76</v>
      </c>
      <c r="F430" s="2" t="s">
        <v>45</v>
      </c>
      <c r="G430" s="2" t="s">
        <v>30</v>
      </c>
      <c r="H430" s="2" t="s">
        <v>942</v>
      </c>
      <c r="I430" s="2" t="s">
        <v>34</v>
      </c>
      <c r="J430" s="2">
        <v>96.18</v>
      </c>
      <c r="K430" s="2">
        <v>3</v>
      </c>
      <c r="L430" s="2" t="s">
        <v>35</v>
      </c>
      <c r="M430" s="2">
        <v>3</v>
      </c>
      <c r="N430" s="2">
        <v>4</v>
      </c>
      <c r="O430" s="2">
        <v>0</v>
      </c>
      <c r="P430" s="2" t="s">
        <v>36</v>
      </c>
      <c r="Q430" s="2" t="s">
        <v>37</v>
      </c>
      <c r="R430" s="2">
        <v>1</v>
      </c>
      <c r="S430" s="2">
        <v>9</v>
      </c>
      <c r="T430" s="2" t="s">
        <v>49</v>
      </c>
      <c r="U430" s="2" t="s">
        <v>60</v>
      </c>
      <c r="V430" s="2" t="s">
        <v>86</v>
      </c>
      <c r="W430" s="3">
        <v>45417</v>
      </c>
      <c r="X430" s="2" t="b">
        <v>0</v>
      </c>
      <c r="Y430" s="2" t="b">
        <v>0</v>
      </c>
      <c r="Z430" s="2" t="s">
        <v>74</v>
      </c>
      <c r="AA430" s="2" t="s">
        <v>67</v>
      </c>
      <c r="AB430" s="2">
        <v>10</v>
      </c>
      <c r="AC430" s="2">
        <f>SUMIF(N:N,Ecommerce_Consumer_Behavior_Analysis_Data3[[#This Row],[Brand_Loyalty]],M:M)</f>
        <v>597</v>
      </c>
      <c r="AD430" s="2" t="e" cm="1" vm="1">
        <f t="array" aca="1" ref="AD430" ca="1">SUMIFS(Y:Y,Ecommerce_Consumer_Behavior_Analysis_Data3[[#This Row],[Payment_Method]],V:V)</f>
        <v>#VALUE!</v>
      </c>
      <c r="AE430" s="2">
        <f t="shared" si="10"/>
        <v>211.7</v>
      </c>
    </row>
    <row r="431" spans="1:31" x14ac:dyDescent="0.25">
      <c r="A431" s="2" t="s">
        <v>943</v>
      </c>
      <c r="B431" s="2">
        <v>19</v>
      </c>
      <c r="C431" s="2" t="s">
        <v>29</v>
      </c>
      <c r="D431" s="2" t="s">
        <v>44</v>
      </c>
      <c r="E431" s="2" t="s">
        <v>76</v>
      </c>
      <c r="F431" s="2" t="s">
        <v>32</v>
      </c>
      <c r="G431" s="2" t="s">
        <v>44</v>
      </c>
      <c r="H431" s="2" t="s">
        <v>944</v>
      </c>
      <c r="I431" s="2" t="s">
        <v>123</v>
      </c>
      <c r="J431" s="2">
        <v>390.44</v>
      </c>
      <c r="K431" s="2">
        <v>4</v>
      </c>
      <c r="L431" s="2" t="s">
        <v>35</v>
      </c>
      <c r="M431" s="2">
        <v>5</v>
      </c>
      <c r="N431" s="2">
        <v>1</v>
      </c>
      <c r="O431" s="2">
        <v>0</v>
      </c>
      <c r="P431" s="2" t="s">
        <v>49</v>
      </c>
      <c r="Q431" s="2" t="s">
        <v>85</v>
      </c>
      <c r="R431" s="2">
        <v>0</v>
      </c>
      <c r="S431" s="2">
        <v>4</v>
      </c>
      <c r="T431" s="2" t="s">
        <v>44</v>
      </c>
      <c r="U431" s="2" t="s">
        <v>79</v>
      </c>
      <c r="V431" s="2" t="s">
        <v>66</v>
      </c>
      <c r="W431" s="3">
        <v>45337</v>
      </c>
      <c r="X431" s="2" t="b">
        <v>1</v>
      </c>
      <c r="Y431" s="2" t="b">
        <v>0</v>
      </c>
      <c r="Z431" s="2" t="s">
        <v>40</v>
      </c>
      <c r="AA431" s="2" t="s">
        <v>53</v>
      </c>
      <c r="AB431" s="2">
        <v>4</v>
      </c>
      <c r="AC431" s="2">
        <f>SUMIF(N:N,Ecommerce_Consumer_Behavior_Analysis_Data3[[#This Row],[Brand_Loyalty]],M:M)</f>
        <v>641</v>
      </c>
      <c r="AD431" s="2" t="e" cm="1" vm="1">
        <f t="array" aca="1" ref="AD431" ca="1">SUMIFS(Y:Y,Ecommerce_Consumer_Behavior_Analysis_Data3[[#This Row],[Payment_Method]],V:V)</f>
        <v>#VALUE!</v>
      </c>
      <c r="AE431" s="2">
        <f t="shared" si="10"/>
        <v>211.7</v>
      </c>
    </row>
    <row r="432" spans="1:31" x14ac:dyDescent="0.25">
      <c r="A432" s="2" t="s">
        <v>945</v>
      </c>
      <c r="B432" s="2">
        <v>37</v>
      </c>
      <c r="C432" s="2" t="s">
        <v>29</v>
      </c>
      <c r="D432" s="2" t="s">
        <v>30</v>
      </c>
      <c r="E432" s="2" t="s">
        <v>55</v>
      </c>
      <c r="F432" s="2" t="s">
        <v>32</v>
      </c>
      <c r="G432" s="2" t="s">
        <v>30</v>
      </c>
      <c r="H432" s="2" t="s">
        <v>946</v>
      </c>
      <c r="I432" s="2" t="s">
        <v>104</v>
      </c>
      <c r="J432" s="2">
        <v>61.5</v>
      </c>
      <c r="K432" s="2">
        <v>11</v>
      </c>
      <c r="L432" s="2" t="s">
        <v>35</v>
      </c>
      <c r="M432" s="2">
        <v>4</v>
      </c>
      <c r="N432" s="2">
        <v>2</v>
      </c>
      <c r="O432" s="2">
        <v>0</v>
      </c>
      <c r="P432" s="2" t="s">
        <v>49</v>
      </c>
      <c r="Q432" s="2" t="s">
        <v>85</v>
      </c>
      <c r="R432" s="2">
        <v>0</v>
      </c>
      <c r="S432" s="2">
        <v>1</v>
      </c>
      <c r="T432" s="2" t="s">
        <v>44</v>
      </c>
      <c r="U432" s="2" t="s">
        <v>60</v>
      </c>
      <c r="V432" s="2" t="s">
        <v>66</v>
      </c>
      <c r="W432" s="3">
        <v>45317</v>
      </c>
      <c r="X432" s="2" t="b">
        <v>1</v>
      </c>
      <c r="Y432" s="2" t="b">
        <v>1</v>
      </c>
      <c r="Z432" s="2" t="s">
        <v>74</v>
      </c>
      <c r="AA432" s="2" t="s">
        <v>67</v>
      </c>
      <c r="AB432" s="2">
        <v>8</v>
      </c>
      <c r="AC432" s="2">
        <f>SUMIF(N:N,Ecommerce_Consumer_Behavior_Analysis_Data3[[#This Row],[Brand_Loyalty]],M:M)</f>
        <v>603</v>
      </c>
      <c r="AD432" s="2" t="e" cm="1" vm="1">
        <f t="array" aca="1" ref="AD432" ca="1">SUMIFS(Y:Y,Ecommerce_Consumer_Behavior_Analysis_Data3[[#This Row],[Payment_Method]],V:V)</f>
        <v>#VALUE!</v>
      </c>
      <c r="AE432" s="2">
        <f t="shared" si="10"/>
        <v>333.8</v>
      </c>
    </row>
    <row r="433" spans="1:31" x14ac:dyDescent="0.25">
      <c r="A433" s="2" t="s">
        <v>947</v>
      </c>
      <c r="B433" s="2">
        <v>35</v>
      </c>
      <c r="C433" s="2" t="s">
        <v>29</v>
      </c>
      <c r="D433" s="2" t="s">
        <v>30</v>
      </c>
      <c r="E433" s="2" t="s">
        <v>76</v>
      </c>
      <c r="F433" s="2" t="s">
        <v>45</v>
      </c>
      <c r="G433" s="2" t="s">
        <v>44</v>
      </c>
      <c r="H433" s="2" t="s">
        <v>948</v>
      </c>
      <c r="I433" s="2" t="s">
        <v>58</v>
      </c>
      <c r="J433" s="2">
        <v>234.44</v>
      </c>
      <c r="K433" s="2">
        <v>6</v>
      </c>
      <c r="L433" s="2" t="s">
        <v>48</v>
      </c>
      <c r="M433" s="2">
        <v>3</v>
      </c>
      <c r="N433" s="2">
        <v>5</v>
      </c>
      <c r="O433" s="2">
        <v>2</v>
      </c>
      <c r="P433" s="2" t="s">
        <v>49</v>
      </c>
      <c r="Q433" s="2" t="s">
        <v>85</v>
      </c>
      <c r="R433" s="2">
        <v>0</v>
      </c>
      <c r="S433" s="2">
        <v>1</v>
      </c>
      <c r="T433" s="2" t="s">
        <v>44</v>
      </c>
      <c r="U433" s="2" t="s">
        <v>79</v>
      </c>
      <c r="V433" s="2" t="s">
        <v>66</v>
      </c>
      <c r="W433" s="3">
        <v>45435</v>
      </c>
      <c r="X433" s="2" t="b">
        <v>0</v>
      </c>
      <c r="Y433" s="2" t="b">
        <v>1</v>
      </c>
      <c r="Z433" s="2" t="s">
        <v>62</v>
      </c>
      <c r="AA433" s="2" t="s">
        <v>67</v>
      </c>
      <c r="AB433" s="2">
        <v>5</v>
      </c>
      <c r="AC433" s="2">
        <f>SUMIF(N:N,Ecommerce_Consumer_Behavior_Analysis_Data3[[#This Row],[Brand_Loyalty]],M:M)</f>
        <v>597</v>
      </c>
      <c r="AD433" s="2" t="e" cm="1" vm="1">
        <f t="array" aca="1" ref="AD433" ca="1">SUMIFS(Y:Y,Ecommerce_Consumer_Behavior_Analysis_Data3[[#This Row],[Payment_Method]],V:V)</f>
        <v>#VALUE!</v>
      </c>
      <c r="AE433" s="2">
        <f t="shared" si="10"/>
        <v>333.8</v>
      </c>
    </row>
    <row r="434" spans="1:31" x14ac:dyDescent="0.25">
      <c r="A434" s="2" t="s">
        <v>949</v>
      </c>
      <c r="B434" s="2">
        <v>43</v>
      </c>
      <c r="C434" s="2" t="s">
        <v>43</v>
      </c>
      <c r="D434" s="2" t="s">
        <v>30</v>
      </c>
      <c r="E434" s="2" t="s">
        <v>55</v>
      </c>
      <c r="F434" s="2" t="s">
        <v>56</v>
      </c>
      <c r="G434" s="2" t="s">
        <v>30</v>
      </c>
      <c r="H434" s="2" t="s">
        <v>950</v>
      </c>
      <c r="I434" s="2" t="s">
        <v>126</v>
      </c>
      <c r="J434" s="2">
        <v>318.83999999999997</v>
      </c>
      <c r="K434" s="2">
        <v>6</v>
      </c>
      <c r="L434" s="2" t="s">
        <v>78</v>
      </c>
      <c r="M434" s="2">
        <v>1</v>
      </c>
      <c r="N434" s="2">
        <v>1</v>
      </c>
      <c r="O434" s="2">
        <v>2</v>
      </c>
      <c r="P434" s="2" t="s">
        <v>59</v>
      </c>
      <c r="Q434" s="2" t="s">
        <v>85</v>
      </c>
      <c r="R434" s="2">
        <v>0</v>
      </c>
      <c r="S434" s="2">
        <v>4</v>
      </c>
      <c r="T434" s="2" t="s">
        <v>44</v>
      </c>
      <c r="U434" s="2" t="s">
        <v>38</v>
      </c>
      <c r="V434" s="2" t="s">
        <v>66</v>
      </c>
      <c r="W434" s="3">
        <v>45402</v>
      </c>
      <c r="X434" s="2" t="b">
        <v>0</v>
      </c>
      <c r="Y434" s="2" t="b">
        <v>1</v>
      </c>
      <c r="Z434" s="2" t="s">
        <v>52</v>
      </c>
      <c r="AA434" s="2" t="s">
        <v>53</v>
      </c>
      <c r="AB434" s="2">
        <v>10</v>
      </c>
      <c r="AC434" s="2">
        <f>SUMIF(N:N,Ecommerce_Consumer_Behavior_Analysis_Data3[[#This Row],[Brand_Loyalty]],M:M)</f>
        <v>603</v>
      </c>
      <c r="AD434" s="2" t="e" cm="1" vm="1">
        <f t="array" aca="1" ref="AD434" ca="1">SUMIFS(Y:Y,Ecommerce_Consumer_Behavior_Analysis_Data3[[#This Row],[Payment_Method]],V:V)</f>
        <v>#VALUE!</v>
      </c>
      <c r="AE434" s="2">
        <f t="shared" si="10"/>
        <v>211.7</v>
      </c>
    </row>
    <row r="435" spans="1:31" x14ac:dyDescent="0.25">
      <c r="A435" s="2" t="s">
        <v>951</v>
      </c>
      <c r="B435" s="2">
        <v>28</v>
      </c>
      <c r="C435" s="2" t="s">
        <v>43</v>
      </c>
      <c r="D435" s="2" t="s">
        <v>30</v>
      </c>
      <c r="E435" s="2" t="s">
        <v>55</v>
      </c>
      <c r="F435" s="2" t="s">
        <v>56</v>
      </c>
      <c r="G435" s="2" t="s">
        <v>44</v>
      </c>
      <c r="H435" s="2" t="s">
        <v>952</v>
      </c>
      <c r="I435" s="2" t="s">
        <v>126</v>
      </c>
      <c r="J435" s="2">
        <v>327.32</v>
      </c>
      <c r="K435" s="2">
        <v>6</v>
      </c>
      <c r="L435" s="2" t="s">
        <v>35</v>
      </c>
      <c r="M435" s="2">
        <v>4</v>
      </c>
      <c r="N435" s="2">
        <v>5</v>
      </c>
      <c r="O435" s="2">
        <v>0</v>
      </c>
      <c r="P435" s="2" t="s">
        <v>36</v>
      </c>
      <c r="Q435" s="2" t="s">
        <v>37</v>
      </c>
      <c r="R435" s="2">
        <v>0</v>
      </c>
      <c r="S435" s="2">
        <v>4</v>
      </c>
      <c r="T435" s="2" t="s">
        <v>44</v>
      </c>
      <c r="U435" s="2" t="s">
        <v>38</v>
      </c>
      <c r="V435" s="2" t="s">
        <v>66</v>
      </c>
      <c r="W435" s="3">
        <v>45452</v>
      </c>
      <c r="X435" s="2" t="b">
        <v>1</v>
      </c>
      <c r="Y435" s="2" t="b">
        <v>1</v>
      </c>
      <c r="Z435" s="2" t="s">
        <v>62</v>
      </c>
      <c r="AA435" s="2" t="s">
        <v>67</v>
      </c>
      <c r="AB435" s="2">
        <v>13</v>
      </c>
      <c r="AC435" s="2">
        <f>SUMIF(N:N,Ecommerce_Consumer_Behavior_Analysis_Data3[[#This Row],[Brand_Loyalty]],M:M)</f>
        <v>603</v>
      </c>
      <c r="AD435" s="2" t="e" cm="1" vm="1">
        <f t="array" aca="1" ref="AD435" ca="1">SUMIFS(Y:Y,Ecommerce_Consumer_Behavior_Analysis_Data3[[#This Row],[Payment_Method]],V:V)</f>
        <v>#VALUE!</v>
      </c>
      <c r="AE435" s="2">
        <f t="shared" si="10"/>
        <v>101.31</v>
      </c>
    </row>
    <row r="436" spans="1:31" x14ac:dyDescent="0.25">
      <c r="A436" s="2" t="s">
        <v>953</v>
      </c>
      <c r="B436" s="2">
        <v>25</v>
      </c>
      <c r="C436" s="2" t="s">
        <v>43</v>
      </c>
      <c r="D436" s="2" t="s">
        <v>30</v>
      </c>
      <c r="E436" s="2" t="s">
        <v>76</v>
      </c>
      <c r="F436" s="2" t="s">
        <v>56</v>
      </c>
      <c r="G436" s="2" t="s">
        <v>44</v>
      </c>
      <c r="H436" s="2" t="s">
        <v>954</v>
      </c>
      <c r="I436" s="2" t="s">
        <v>82</v>
      </c>
      <c r="J436" s="2">
        <v>475.64</v>
      </c>
      <c r="K436" s="2">
        <v>3</v>
      </c>
      <c r="L436" s="2" t="s">
        <v>78</v>
      </c>
      <c r="M436" s="2">
        <v>3</v>
      </c>
      <c r="N436" s="2">
        <v>4</v>
      </c>
      <c r="O436" s="2">
        <v>1</v>
      </c>
      <c r="P436" s="2" t="s">
        <v>59</v>
      </c>
      <c r="Q436" s="2" t="s">
        <v>85</v>
      </c>
      <c r="R436" s="2">
        <v>1</v>
      </c>
      <c r="S436" s="2">
        <v>2</v>
      </c>
      <c r="T436" s="2" t="s">
        <v>49</v>
      </c>
      <c r="U436" s="2" t="s">
        <v>60</v>
      </c>
      <c r="V436" s="2" t="s">
        <v>51</v>
      </c>
      <c r="W436" s="3">
        <v>45337</v>
      </c>
      <c r="X436" s="2" t="b">
        <v>1</v>
      </c>
      <c r="Y436" s="2" t="b">
        <v>1</v>
      </c>
      <c r="Z436" s="2" t="s">
        <v>74</v>
      </c>
      <c r="AA436" s="2" t="s">
        <v>53</v>
      </c>
      <c r="AB436" s="2">
        <v>9</v>
      </c>
      <c r="AC436" s="2">
        <f>SUMIF(N:N,Ecommerce_Consumer_Behavior_Analysis_Data3[[#This Row],[Brand_Loyalty]],M:M)</f>
        <v>597</v>
      </c>
      <c r="AD436" s="2" t="e" cm="1" vm="1">
        <f t="array" aca="1" ref="AD436" ca="1">SUMIFS(Y:Y,Ecommerce_Consumer_Behavior_Analysis_Data3[[#This Row],[Payment_Method]],V:V)</f>
        <v>#VALUE!</v>
      </c>
      <c r="AE436" s="2">
        <f t="shared" si="10"/>
        <v>211.7</v>
      </c>
    </row>
    <row r="437" spans="1:31" x14ac:dyDescent="0.25">
      <c r="A437" s="2" t="s">
        <v>955</v>
      </c>
      <c r="B437" s="2">
        <v>47</v>
      </c>
      <c r="C437" s="2" t="s">
        <v>43</v>
      </c>
      <c r="D437" s="2" t="s">
        <v>44</v>
      </c>
      <c r="E437" s="2" t="s">
        <v>69</v>
      </c>
      <c r="F437" s="2" t="s">
        <v>56</v>
      </c>
      <c r="G437" s="2" t="s">
        <v>30</v>
      </c>
      <c r="H437" s="2" t="s">
        <v>956</v>
      </c>
      <c r="I437" s="2" t="s">
        <v>107</v>
      </c>
      <c r="J437" s="2">
        <v>68.59</v>
      </c>
      <c r="K437" s="2">
        <v>9</v>
      </c>
      <c r="L437" s="2" t="s">
        <v>35</v>
      </c>
      <c r="M437" s="2">
        <v>3</v>
      </c>
      <c r="N437" s="2">
        <v>4</v>
      </c>
      <c r="O437" s="2">
        <v>0</v>
      </c>
      <c r="P437" s="2" t="s">
        <v>49</v>
      </c>
      <c r="Q437" s="2" t="s">
        <v>37</v>
      </c>
      <c r="R437" s="2">
        <v>2</v>
      </c>
      <c r="S437" s="2">
        <v>5</v>
      </c>
      <c r="T437" s="2" t="s">
        <v>36</v>
      </c>
      <c r="U437" s="2" t="s">
        <v>60</v>
      </c>
      <c r="V437" s="2" t="s">
        <v>51</v>
      </c>
      <c r="W437" s="3">
        <v>45400</v>
      </c>
      <c r="X437" s="2" t="b">
        <v>0</v>
      </c>
      <c r="Y437" s="2" t="b">
        <v>1</v>
      </c>
      <c r="Z437" s="2" t="s">
        <v>52</v>
      </c>
      <c r="AA437" s="2" t="s">
        <v>53</v>
      </c>
      <c r="AB437" s="2">
        <v>5</v>
      </c>
      <c r="AC437" s="2">
        <f>SUMIF(N:N,Ecommerce_Consumer_Behavior_Analysis_Data3[[#This Row],[Brand_Loyalty]],M:M)</f>
        <v>597</v>
      </c>
      <c r="AD437" s="2" t="e" cm="1" vm="1">
        <f t="array" aca="1" ref="AD437" ca="1">SUMIFS(Y:Y,Ecommerce_Consumer_Behavior_Analysis_Data3[[#This Row],[Payment_Method]],V:V)</f>
        <v>#VALUE!</v>
      </c>
      <c r="AE437" s="2">
        <f t="shared" si="10"/>
        <v>333.8</v>
      </c>
    </row>
    <row r="438" spans="1:31" x14ac:dyDescent="0.25">
      <c r="A438" s="2" t="s">
        <v>957</v>
      </c>
      <c r="B438" s="2">
        <v>45</v>
      </c>
      <c r="C438" s="2" t="s">
        <v>212</v>
      </c>
      <c r="D438" s="2" t="s">
        <v>30</v>
      </c>
      <c r="E438" s="2" t="s">
        <v>76</v>
      </c>
      <c r="F438" s="2" t="s">
        <v>32</v>
      </c>
      <c r="G438" s="2" t="s">
        <v>30</v>
      </c>
      <c r="H438" s="2" t="s">
        <v>958</v>
      </c>
      <c r="I438" s="2" t="s">
        <v>104</v>
      </c>
      <c r="J438" s="2">
        <v>133.04</v>
      </c>
      <c r="K438" s="2">
        <v>12</v>
      </c>
      <c r="L438" s="2" t="s">
        <v>78</v>
      </c>
      <c r="M438" s="2">
        <v>1</v>
      </c>
      <c r="N438" s="2">
        <v>3</v>
      </c>
      <c r="O438" s="2">
        <v>2</v>
      </c>
      <c r="P438" s="2" t="s">
        <v>44</v>
      </c>
      <c r="Q438" s="2" t="s">
        <v>50</v>
      </c>
      <c r="R438" s="2">
        <v>2</v>
      </c>
      <c r="S438" s="2">
        <v>6</v>
      </c>
      <c r="T438" s="2" t="s">
        <v>36</v>
      </c>
      <c r="U438" s="2" t="s">
        <v>79</v>
      </c>
      <c r="V438" s="2" t="s">
        <v>86</v>
      </c>
      <c r="W438" s="3">
        <v>45480</v>
      </c>
      <c r="X438" s="2" t="b">
        <v>1</v>
      </c>
      <c r="Y438" s="2" t="b">
        <v>1</v>
      </c>
      <c r="Z438" s="2" t="s">
        <v>62</v>
      </c>
      <c r="AA438" s="2" t="s">
        <v>53</v>
      </c>
      <c r="AB438" s="2">
        <v>11</v>
      </c>
      <c r="AC438" s="2">
        <f>SUMIF(N:N,Ecommerce_Consumer_Behavior_Analysis_Data3[[#This Row],[Brand_Loyalty]],M:M)</f>
        <v>603</v>
      </c>
      <c r="AD438" s="2" t="e" cm="1" vm="1">
        <f t="array" aca="1" ref="AD438" ca="1">SUMIFS(Y:Y,Ecommerce_Consumer_Behavior_Analysis_Data3[[#This Row],[Payment_Method]],V:V)</f>
        <v>#VALUE!</v>
      </c>
      <c r="AE438" s="2">
        <f t="shared" si="10"/>
        <v>333.8</v>
      </c>
    </row>
    <row r="439" spans="1:31" x14ac:dyDescent="0.25">
      <c r="A439" s="2" t="s">
        <v>959</v>
      </c>
      <c r="B439" s="2">
        <v>24</v>
      </c>
      <c r="C439" s="2" t="s">
        <v>190</v>
      </c>
      <c r="D439" s="2" t="s">
        <v>44</v>
      </c>
      <c r="E439" s="2" t="s">
        <v>31</v>
      </c>
      <c r="F439" s="2" t="s">
        <v>45</v>
      </c>
      <c r="G439" s="2" t="s">
        <v>30</v>
      </c>
      <c r="H439" s="2" t="s">
        <v>960</v>
      </c>
      <c r="I439" s="2" t="s">
        <v>98</v>
      </c>
      <c r="J439" s="2">
        <v>196.63</v>
      </c>
      <c r="K439" s="2">
        <v>9</v>
      </c>
      <c r="L439" s="2" t="s">
        <v>78</v>
      </c>
      <c r="M439" s="2">
        <v>4</v>
      </c>
      <c r="N439" s="2">
        <v>2</v>
      </c>
      <c r="O439" s="2">
        <v>2</v>
      </c>
      <c r="P439" s="2" t="s">
        <v>49</v>
      </c>
      <c r="Q439" s="2" t="s">
        <v>37</v>
      </c>
      <c r="R439" s="2">
        <v>1</v>
      </c>
      <c r="S439" s="2">
        <v>6</v>
      </c>
      <c r="T439" s="2" t="s">
        <v>59</v>
      </c>
      <c r="U439" s="2" t="s">
        <v>38</v>
      </c>
      <c r="V439" s="2" t="s">
        <v>66</v>
      </c>
      <c r="W439" s="3">
        <v>45641</v>
      </c>
      <c r="X439" s="2" t="b">
        <v>1</v>
      </c>
      <c r="Y439" s="2" t="b">
        <v>0</v>
      </c>
      <c r="Z439" s="2" t="s">
        <v>40</v>
      </c>
      <c r="AA439" s="2" t="s">
        <v>41</v>
      </c>
      <c r="AB439" s="2">
        <v>7</v>
      </c>
      <c r="AC439" s="2">
        <f>SUMIF(N:N,Ecommerce_Consumer_Behavior_Analysis_Data3[[#This Row],[Brand_Loyalty]],M:M)</f>
        <v>603</v>
      </c>
      <c r="AD439" s="2" t="e" cm="1" vm="1">
        <f t="array" aca="1" ref="AD439" ca="1">SUMIFS(Y:Y,Ecommerce_Consumer_Behavior_Analysis_Data3[[#This Row],[Payment_Method]],V:V)</f>
        <v>#VALUE!</v>
      </c>
      <c r="AE439" s="2">
        <f t="shared" si="10"/>
        <v>101.31</v>
      </c>
    </row>
    <row r="440" spans="1:31" x14ac:dyDescent="0.25">
      <c r="A440" s="2" t="s">
        <v>961</v>
      </c>
      <c r="B440" s="2">
        <v>30</v>
      </c>
      <c r="C440" s="2" t="s">
        <v>43</v>
      </c>
      <c r="D440" s="2" t="s">
        <v>30</v>
      </c>
      <c r="E440" s="2" t="s">
        <v>76</v>
      </c>
      <c r="F440" s="2" t="s">
        <v>32</v>
      </c>
      <c r="G440" s="2" t="s">
        <v>44</v>
      </c>
      <c r="H440" s="2" t="s">
        <v>962</v>
      </c>
      <c r="I440" s="2" t="s">
        <v>65</v>
      </c>
      <c r="J440" s="2">
        <v>473.96</v>
      </c>
      <c r="K440" s="2">
        <v>12</v>
      </c>
      <c r="L440" s="2" t="s">
        <v>48</v>
      </c>
      <c r="M440" s="2">
        <v>2</v>
      </c>
      <c r="N440" s="2">
        <v>1</v>
      </c>
      <c r="O440" s="2">
        <v>1</v>
      </c>
      <c r="P440" s="2" t="s">
        <v>49</v>
      </c>
      <c r="Q440" s="2" t="s">
        <v>37</v>
      </c>
      <c r="R440" s="2">
        <v>2</v>
      </c>
      <c r="S440" s="2">
        <v>9</v>
      </c>
      <c r="T440" s="2" t="s">
        <v>36</v>
      </c>
      <c r="U440" s="2" t="s">
        <v>38</v>
      </c>
      <c r="V440" s="2" t="s">
        <v>51</v>
      </c>
      <c r="W440" s="3">
        <v>45501</v>
      </c>
      <c r="X440" s="2" t="b">
        <v>1</v>
      </c>
      <c r="Y440" s="2" t="b">
        <v>0</v>
      </c>
      <c r="Z440" s="2" t="s">
        <v>62</v>
      </c>
      <c r="AA440" s="2" t="s">
        <v>67</v>
      </c>
      <c r="AB440" s="2">
        <v>14</v>
      </c>
      <c r="AC440" s="2">
        <f>SUMIF(N:N,Ecommerce_Consumer_Behavior_Analysis_Data3[[#This Row],[Brand_Loyalty]],M:M)</f>
        <v>582</v>
      </c>
      <c r="AD440" s="2" t="e" cm="1" vm="1">
        <f t="array" aca="1" ref="AD440" ca="1">SUMIFS(Y:Y,Ecommerce_Consumer_Behavior_Analysis_Data3[[#This Row],[Payment_Method]],V:V)</f>
        <v>#VALUE!</v>
      </c>
      <c r="AE440" s="2">
        <f t="shared" si="10"/>
        <v>211.7</v>
      </c>
    </row>
    <row r="441" spans="1:31" x14ac:dyDescent="0.25">
      <c r="A441" s="2" t="s">
        <v>963</v>
      </c>
      <c r="B441" s="2">
        <v>24</v>
      </c>
      <c r="C441" s="2" t="s">
        <v>29</v>
      </c>
      <c r="D441" s="2" t="s">
        <v>44</v>
      </c>
      <c r="E441" s="2" t="s">
        <v>31</v>
      </c>
      <c r="F441" s="2" t="s">
        <v>45</v>
      </c>
      <c r="G441" s="2" t="s">
        <v>30</v>
      </c>
      <c r="H441" s="2" t="s">
        <v>964</v>
      </c>
      <c r="I441" s="2" t="s">
        <v>98</v>
      </c>
      <c r="J441" s="2">
        <v>472.52</v>
      </c>
      <c r="K441" s="2">
        <v>8</v>
      </c>
      <c r="L441" s="2" t="s">
        <v>78</v>
      </c>
      <c r="M441" s="2">
        <v>2</v>
      </c>
      <c r="N441" s="2">
        <v>4</v>
      </c>
      <c r="O441" s="2">
        <v>0</v>
      </c>
      <c r="P441" s="2" t="s">
        <v>59</v>
      </c>
      <c r="Q441" s="2" t="s">
        <v>37</v>
      </c>
      <c r="R441" s="2">
        <v>2</v>
      </c>
      <c r="S441" s="2">
        <v>8</v>
      </c>
      <c r="T441" s="2" t="s">
        <v>49</v>
      </c>
      <c r="U441" s="2" t="s">
        <v>38</v>
      </c>
      <c r="V441" s="2" t="s">
        <v>86</v>
      </c>
      <c r="W441" s="3">
        <v>45315</v>
      </c>
      <c r="X441" s="2" t="b">
        <v>0</v>
      </c>
      <c r="Y441" s="2" t="b">
        <v>1</v>
      </c>
      <c r="Z441" s="2" t="s">
        <v>74</v>
      </c>
      <c r="AA441" s="2" t="s">
        <v>41</v>
      </c>
      <c r="AB441" s="2">
        <v>14</v>
      </c>
      <c r="AC441" s="2">
        <f>SUMIF(N:N,Ecommerce_Consumer_Behavior_Analysis_Data3[[#This Row],[Brand_Loyalty]],M:M)</f>
        <v>582</v>
      </c>
      <c r="AD441" s="2" t="e" cm="1" vm="1">
        <f t="array" aca="1" ref="AD441" ca="1">SUMIFS(Y:Y,Ecommerce_Consumer_Behavior_Analysis_Data3[[#This Row],[Payment_Method]],V:V)</f>
        <v>#VALUE!</v>
      </c>
      <c r="AE441" s="2">
        <f t="shared" si="10"/>
        <v>101.31</v>
      </c>
    </row>
    <row r="442" spans="1:31" x14ac:dyDescent="0.25">
      <c r="A442" s="2" t="s">
        <v>965</v>
      </c>
      <c r="B442" s="2">
        <v>27</v>
      </c>
      <c r="C442" s="2" t="s">
        <v>29</v>
      </c>
      <c r="D442" s="2" t="s">
        <v>30</v>
      </c>
      <c r="E442" s="2" t="s">
        <v>31</v>
      </c>
      <c r="F442" s="2" t="s">
        <v>32</v>
      </c>
      <c r="G442" s="2" t="s">
        <v>30</v>
      </c>
      <c r="H442" s="2" t="s">
        <v>966</v>
      </c>
      <c r="I442" s="2" t="s">
        <v>123</v>
      </c>
      <c r="J442" s="2">
        <v>335.8</v>
      </c>
      <c r="K442" s="2">
        <v>9</v>
      </c>
      <c r="L442" s="2" t="s">
        <v>35</v>
      </c>
      <c r="M442" s="2">
        <v>3</v>
      </c>
      <c r="N442" s="2">
        <v>5</v>
      </c>
      <c r="O442" s="2">
        <v>1</v>
      </c>
      <c r="P442" s="2" t="s">
        <v>36</v>
      </c>
      <c r="Q442" s="2" t="s">
        <v>37</v>
      </c>
      <c r="R442" s="2">
        <v>2</v>
      </c>
      <c r="S442" s="2">
        <v>7</v>
      </c>
      <c r="T442" s="2" t="s">
        <v>59</v>
      </c>
      <c r="U442" s="2" t="s">
        <v>60</v>
      </c>
      <c r="V442" s="2" t="s">
        <v>61</v>
      </c>
      <c r="W442" s="3">
        <v>45332</v>
      </c>
      <c r="X442" s="2" t="b">
        <v>1</v>
      </c>
      <c r="Y442" s="2" t="b">
        <v>0</v>
      </c>
      <c r="Z442" s="2" t="s">
        <v>52</v>
      </c>
      <c r="AA442" s="2" t="s">
        <v>53</v>
      </c>
      <c r="AB442" s="2">
        <v>5</v>
      </c>
      <c r="AC442" s="2">
        <f>SUMIF(N:N,Ecommerce_Consumer_Behavior_Analysis_Data3[[#This Row],[Brand_Loyalty]],M:M)</f>
        <v>597</v>
      </c>
      <c r="AD442" s="2" t="e" cm="1" vm="1">
        <f t="array" aca="1" ref="AD442" ca="1">SUMIFS(Y:Y,Ecommerce_Consumer_Behavior_Analysis_Data3[[#This Row],[Payment_Method]],V:V)</f>
        <v>#VALUE!</v>
      </c>
      <c r="AE442" s="2">
        <f t="shared" si="10"/>
        <v>101.31</v>
      </c>
    </row>
    <row r="443" spans="1:31" x14ac:dyDescent="0.25">
      <c r="A443" s="2" t="s">
        <v>967</v>
      </c>
      <c r="B443" s="2">
        <v>25</v>
      </c>
      <c r="C443" s="2" t="s">
        <v>43</v>
      </c>
      <c r="D443" s="2" t="s">
        <v>30</v>
      </c>
      <c r="E443" s="2" t="s">
        <v>55</v>
      </c>
      <c r="F443" s="2" t="s">
        <v>45</v>
      </c>
      <c r="G443" s="2" t="s">
        <v>44</v>
      </c>
      <c r="H443" s="2" t="s">
        <v>968</v>
      </c>
      <c r="I443" s="2" t="s">
        <v>98</v>
      </c>
      <c r="J443" s="2">
        <v>85.57</v>
      </c>
      <c r="K443" s="2">
        <v>12</v>
      </c>
      <c r="L443" s="2" t="s">
        <v>48</v>
      </c>
      <c r="M443" s="2">
        <v>2</v>
      </c>
      <c r="N443" s="2">
        <v>1</v>
      </c>
      <c r="O443" s="2">
        <v>1</v>
      </c>
      <c r="P443" s="2" t="s">
        <v>59</v>
      </c>
      <c r="Q443" s="2" t="s">
        <v>85</v>
      </c>
      <c r="R443" s="2">
        <v>2</v>
      </c>
      <c r="S443" s="2">
        <v>4</v>
      </c>
      <c r="T443" s="2" t="s">
        <v>49</v>
      </c>
      <c r="U443" s="2" t="s">
        <v>38</v>
      </c>
      <c r="V443" s="2" t="s">
        <v>61</v>
      </c>
      <c r="W443" s="3">
        <v>45535</v>
      </c>
      <c r="X443" s="2" t="b">
        <v>1</v>
      </c>
      <c r="Y443" s="2" t="b">
        <v>1</v>
      </c>
      <c r="Z443" s="2" t="s">
        <v>74</v>
      </c>
      <c r="AA443" s="2" t="s">
        <v>41</v>
      </c>
      <c r="AB443" s="2">
        <v>9</v>
      </c>
      <c r="AC443" s="2">
        <f>SUMIF(N:N,Ecommerce_Consumer_Behavior_Analysis_Data3[[#This Row],[Brand_Loyalty]],M:M)</f>
        <v>582</v>
      </c>
      <c r="AD443" s="2" t="e" cm="1" vm="1">
        <f t="array" aca="1" ref="AD443" ca="1">SUMIFS(Y:Y,Ecommerce_Consumer_Behavior_Analysis_Data3[[#This Row],[Payment_Method]],V:V)</f>
        <v>#VALUE!</v>
      </c>
      <c r="AE443" s="2">
        <f t="shared" si="10"/>
        <v>211.7</v>
      </c>
    </row>
    <row r="444" spans="1:31" x14ac:dyDescent="0.25">
      <c r="A444" s="2" t="s">
        <v>969</v>
      </c>
      <c r="B444" s="2">
        <v>44</v>
      </c>
      <c r="C444" s="2" t="s">
        <v>88</v>
      </c>
      <c r="D444" s="2" t="s">
        <v>30</v>
      </c>
      <c r="E444" s="2" t="s">
        <v>55</v>
      </c>
      <c r="F444" s="2" t="s">
        <v>56</v>
      </c>
      <c r="G444" s="2" t="s">
        <v>30</v>
      </c>
      <c r="H444" s="2" t="s">
        <v>970</v>
      </c>
      <c r="I444" s="2" t="s">
        <v>188</v>
      </c>
      <c r="J444" s="2">
        <v>108.5</v>
      </c>
      <c r="K444" s="2">
        <v>11</v>
      </c>
      <c r="L444" s="2" t="s">
        <v>35</v>
      </c>
      <c r="M444" s="2">
        <v>5</v>
      </c>
      <c r="N444" s="2">
        <v>5</v>
      </c>
      <c r="O444" s="2">
        <v>0</v>
      </c>
      <c r="P444" s="2" t="s">
        <v>36</v>
      </c>
      <c r="Q444" s="2" t="s">
        <v>85</v>
      </c>
      <c r="R444" s="2">
        <v>1</v>
      </c>
      <c r="S444" s="2">
        <v>2</v>
      </c>
      <c r="T444" s="2" t="s">
        <v>49</v>
      </c>
      <c r="U444" s="2" t="s">
        <v>60</v>
      </c>
      <c r="V444" s="2" t="s">
        <v>51</v>
      </c>
      <c r="W444" s="3">
        <v>45489</v>
      </c>
      <c r="X444" s="2" t="b">
        <v>0</v>
      </c>
      <c r="Y444" s="2" t="b">
        <v>0</v>
      </c>
      <c r="Z444" s="2" t="s">
        <v>52</v>
      </c>
      <c r="AA444" s="2" t="s">
        <v>41</v>
      </c>
      <c r="AB444" s="2">
        <v>10</v>
      </c>
      <c r="AC444" s="2">
        <f>SUMIF(N:N,Ecommerce_Consumer_Behavior_Analysis_Data3[[#This Row],[Brand_Loyalty]],M:M)</f>
        <v>641</v>
      </c>
      <c r="AD444" s="2" t="e" cm="1" vm="1">
        <f t="array" aca="1" ref="AD444" ca="1">SUMIFS(Y:Y,Ecommerce_Consumer_Behavior_Analysis_Data3[[#This Row],[Payment_Method]],V:V)</f>
        <v>#VALUE!</v>
      </c>
      <c r="AE444" s="2">
        <f t="shared" si="10"/>
        <v>211.7</v>
      </c>
    </row>
    <row r="445" spans="1:31" x14ac:dyDescent="0.25">
      <c r="A445" s="2" t="s">
        <v>971</v>
      </c>
      <c r="B445" s="2">
        <v>26</v>
      </c>
      <c r="C445" s="2" t="s">
        <v>43</v>
      </c>
      <c r="D445" s="2" t="s">
        <v>30</v>
      </c>
      <c r="E445" s="2" t="s">
        <v>76</v>
      </c>
      <c r="F445" s="2" t="s">
        <v>32</v>
      </c>
      <c r="G445" s="2" t="s">
        <v>30</v>
      </c>
      <c r="H445" s="2" t="s">
        <v>972</v>
      </c>
      <c r="I445" s="2" t="s">
        <v>47</v>
      </c>
      <c r="J445" s="2">
        <v>172.5</v>
      </c>
      <c r="K445" s="2">
        <v>8</v>
      </c>
      <c r="L445" s="2" t="s">
        <v>78</v>
      </c>
      <c r="M445" s="2">
        <v>1</v>
      </c>
      <c r="N445" s="2">
        <v>3</v>
      </c>
      <c r="O445" s="2">
        <v>0</v>
      </c>
      <c r="P445" s="2" t="s">
        <v>49</v>
      </c>
      <c r="Q445" s="2" t="s">
        <v>37</v>
      </c>
      <c r="R445" s="2">
        <v>0</v>
      </c>
      <c r="S445" s="2">
        <v>8</v>
      </c>
      <c r="T445" s="2" t="s">
        <v>59</v>
      </c>
      <c r="U445" s="2" t="s">
        <v>79</v>
      </c>
      <c r="V445" s="2" t="s">
        <v>39</v>
      </c>
      <c r="W445" s="3">
        <v>45492</v>
      </c>
      <c r="X445" s="2" t="b">
        <v>1</v>
      </c>
      <c r="Y445" s="2" t="b">
        <v>0</v>
      </c>
      <c r="Z445" s="2" t="s">
        <v>62</v>
      </c>
      <c r="AA445" s="2" t="s">
        <v>41</v>
      </c>
      <c r="AB445" s="2">
        <v>7</v>
      </c>
      <c r="AC445" s="2">
        <f>SUMIF(N:N,Ecommerce_Consumer_Behavior_Analysis_Data3[[#This Row],[Brand_Loyalty]],M:M)</f>
        <v>603</v>
      </c>
      <c r="AD445" s="2" t="e" cm="1" vm="1">
        <f t="array" aca="1" ref="AD445" ca="1">SUMIFS(Y:Y,Ecommerce_Consumer_Behavior_Analysis_Data3[[#This Row],[Payment_Method]],V:V)</f>
        <v>#VALUE!</v>
      </c>
      <c r="AE445" s="2">
        <f t="shared" si="10"/>
        <v>333.8</v>
      </c>
    </row>
    <row r="446" spans="1:31" x14ac:dyDescent="0.25">
      <c r="A446" s="2" t="s">
        <v>973</v>
      </c>
      <c r="B446" s="2">
        <v>18</v>
      </c>
      <c r="C446" s="2" t="s">
        <v>29</v>
      </c>
      <c r="D446" s="2" t="s">
        <v>44</v>
      </c>
      <c r="E446" s="2" t="s">
        <v>55</v>
      </c>
      <c r="F446" s="2" t="s">
        <v>45</v>
      </c>
      <c r="G446" s="2" t="s">
        <v>30</v>
      </c>
      <c r="H446" s="2" t="s">
        <v>974</v>
      </c>
      <c r="I446" s="2" t="s">
        <v>117</v>
      </c>
      <c r="J446" s="2">
        <v>212.8</v>
      </c>
      <c r="K446" s="2">
        <v>6</v>
      </c>
      <c r="L446" s="2" t="s">
        <v>35</v>
      </c>
      <c r="M446" s="2">
        <v>3</v>
      </c>
      <c r="N446" s="2">
        <v>2</v>
      </c>
      <c r="O446" s="2">
        <v>2</v>
      </c>
      <c r="P446" s="2" t="s">
        <v>36</v>
      </c>
      <c r="Q446" s="2" t="s">
        <v>85</v>
      </c>
      <c r="R446" s="2">
        <v>1</v>
      </c>
      <c r="S446" s="2">
        <v>7</v>
      </c>
      <c r="T446" s="2" t="s">
        <v>44</v>
      </c>
      <c r="U446" s="2" t="s">
        <v>38</v>
      </c>
      <c r="V446" s="2" t="s">
        <v>39</v>
      </c>
      <c r="W446" s="3">
        <v>45429</v>
      </c>
      <c r="X446" s="2" t="b">
        <v>1</v>
      </c>
      <c r="Y446" s="2" t="b">
        <v>1</v>
      </c>
      <c r="Z446" s="2" t="s">
        <v>74</v>
      </c>
      <c r="AA446" s="2" t="s">
        <v>53</v>
      </c>
      <c r="AB446" s="2">
        <v>1</v>
      </c>
      <c r="AC446" s="2">
        <f>SUMIF(N:N,Ecommerce_Consumer_Behavior_Analysis_Data3[[#This Row],[Brand_Loyalty]],M:M)</f>
        <v>597</v>
      </c>
      <c r="AD446" s="2" t="e" cm="1" vm="1">
        <f t="array" aca="1" ref="AD446" ca="1">SUMIFS(Y:Y,Ecommerce_Consumer_Behavior_Analysis_Data3[[#This Row],[Payment_Method]],V:V)</f>
        <v>#VALUE!</v>
      </c>
      <c r="AE446" s="2">
        <f t="shared" si="10"/>
        <v>101.31</v>
      </c>
    </row>
    <row r="447" spans="1:31" x14ac:dyDescent="0.25">
      <c r="A447" s="2" t="s">
        <v>975</v>
      </c>
      <c r="B447" s="2">
        <v>47</v>
      </c>
      <c r="C447" s="2" t="s">
        <v>29</v>
      </c>
      <c r="D447" s="2" t="s">
        <v>30</v>
      </c>
      <c r="E447" s="2" t="s">
        <v>31</v>
      </c>
      <c r="F447" s="2" t="s">
        <v>32</v>
      </c>
      <c r="G447" s="2" t="s">
        <v>44</v>
      </c>
      <c r="H447" s="2" t="s">
        <v>976</v>
      </c>
      <c r="I447" s="2" t="s">
        <v>123</v>
      </c>
      <c r="J447" s="2">
        <v>324.41000000000003</v>
      </c>
      <c r="K447" s="2">
        <v>7</v>
      </c>
      <c r="L447" s="2" t="s">
        <v>35</v>
      </c>
      <c r="M447" s="2">
        <v>4</v>
      </c>
      <c r="N447" s="2">
        <v>4</v>
      </c>
      <c r="O447" s="2">
        <v>1</v>
      </c>
      <c r="P447" s="2" t="s">
        <v>36</v>
      </c>
      <c r="Q447" s="2" t="s">
        <v>50</v>
      </c>
      <c r="R447" s="2">
        <v>0</v>
      </c>
      <c r="S447" s="2">
        <v>5</v>
      </c>
      <c r="T447" s="2" t="s">
        <v>49</v>
      </c>
      <c r="U447" s="2" t="s">
        <v>38</v>
      </c>
      <c r="V447" s="2" t="s">
        <v>61</v>
      </c>
      <c r="W447" s="3">
        <v>45411</v>
      </c>
      <c r="X447" s="2" t="b">
        <v>1</v>
      </c>
      <c r="Y447" s="2" t="b">
        <v>1</v>
      </c>
      <c r="Z447" s="2" t="s">
        <v>40</v>
      </c>
      <c r="AA447" s="2" t="s">
        <v>41</v>
      </c>
      <c r="AB447" s="2">
        <v>4</v>
      </c>
      <c r="AC447" s="2">
        <f>SUMIF(N:N,Ecommerce_Consumer_Behavior_Analysis_Data3[[#This Row],[Brand_Loyalty]],M:M)</f>
        <v>603</v>
      </c>
      <c r="AD447" s="2" t="e" cm="1" vm="1">
        <f t="array" aca="1" ref="AD447" ca="1">SUMIFS(Y:Y,Ecommerce_Consumer_Behavior_Analysis_Data3[[#This Row],[Payment_Method]],V:V)</f>
        <v>#VALUE!</v>
      </c>
      <c r="AE447" s="2">
        <f t="shared" si="10"/>
        <v>333.8</v>
      </c>
    </row>
    <row r="448" spans="1:31" x14ac:dyDescent="0.25">
      <c r="A448" s="2" t="s">
        <v>977</v>
      </c>
      <c r="B448" s="2">
        <v>36</v>
      </c>
      <c r="C448" s="2" t="s">
        <v>43</v>
      </c>
      <c r="D448" s="2" t="s">
        <v>44</v>
      </c>
      <c r="E448" s="2" t="s">
        <v>69</v>
      </c>
      <c r="F448" s="2" t="s">
        <v>45</v>
      </c>
      <c r="G448" s="2" t="s">
        <v>30</v>
      </c>
      <c r="H448" s="2" t="s">
        <v>978</v>
      </c>
      <c r="I448" s="2" t="s">
        <v>194</v>
      </c>
      <c r="J448" s="2">
        <v>342.39</v>
      </c>
      <c r="K448" s="2">
        <v>8</v>
      </c>
      <c r="L448" s="2" t="s">
        <v>48</v>
      </c>
      <c r="M448" s="2">
        <v>1</v>
      </c>
      <c r="N448" s="2">
        <v>5</v>
      </c>
      <c r="O448" s="2">
        <v>2</v>
      </c>
      <c r="P448" s="2" t="s">
        <v>59</v>
      </c>
      <c r="Q448" s="2" t="s">
        <v>85</v>
      </c>
      <c r="R448" s="2">
        <v>2</v>
      </c>
      <c r="S448" s="2">
        <v>3</v>
      </c>
      <c r="T448" s="2" t="s">
        <v>44</v>
      </c>
      <c r="U448" s="2" t="s">
        <v>79</v>
      </c>
      <c r="V448" s="2" t="s">
        <v>66</v>
      </c>
      <c r="W448" s="3">
        <v>45295</v>
      </c>
      <c r="X448" s="2" t="b">
        <v>0</v>
      </c>
      <c r="Y448" s="2" t="b">
        <v>0</v>
      </c>
      <c r="Z448" s="2" t="s">
        <v>40</v>
      </c>
      <c r="AA448" s="2" t="s">
        <v>53</v>
      </c>
      <c r="AB448" s="2">
        <v>9</v>
      </c>
      <c r="AC448" s="2">
        <f>SUMIF(N:N,Ecommerce_Consumer_Behavior_Analysis_Data3[[#This Row],[Brand_Loyalty]],M:M)</f>
        <v>603</v>
      </c>
      <c r="AD448" s="2" t="e" cm="1" vm="1">
        <f t="array" aca="1" ref="AD448" ca="1">SUMIFS(Y:Y,Ecommerce_Consumer_Behavior_Analysis_Data3[[#This Row],[Payment_Method]],V:V)</f>
        <v>#VALUE!</v>
      </c>
      <c r="AE448" s="2">
        <f t="shared" si="10"/>
        <v>333.8</v>
      </c>
    </row>
    <row r="449" spans="1:31" x14ac:dyDescent="0.25">
      <c r="A449" s="2" t="s">
        <v>979</v>
      </c>
      <c r="B449" s="2">
        <v>23</v>
      </c>
      <c r="C449" s="2" t="s">
        <v>29</v>
      </c>
      <c r="D449" s="2" t="s">
        <v>44</v>
      </c>
      <c r="E449" s="2" t="s">
        <v>76</v>
      </c>
      <c r="F449" s="2" t="s">
        <v>32</v>
      </c>
      <c r="G449" s="2" t="s">
        <v>44</v>
      </c>
      <c r="H449" s="2" t="s">
        <v>980</v>
      </c>
      <c r="I449" s="2" t="s">
        <v>104</v>
      </c>
      <c r="J449" s="2">
        <v>446.86</v>
      </c>
      <c r="K449" s="2">
        <v>9</v>
      </c>
      <c r="L449" s="2" t="s">
        <v>48</v>
      </c>
      <c r="M449" s="2">
        <v>2</v>
      </c>
      <c r="N449" s="2">
        <v>1</v>
      </c>
      <c r="O449" s="2">
        <v>2</v>
      </c>
      <c r="P449" s="2" t="s">
        <v>36</v>
      </c>
      <c r="Q449" s="2" t="s">
        <v>85</v>
      </c>
      <c r="R449" s="2">
        <v>0</v>
      </c>
      <c r="S449" s="2">
        <v>2</v>
      </c>
      <c r="T449" s="2" t="s">
        <v>49</v>
      </c>
      <c r="U449" s="2" t="s">
        <v>79</v>
      </c>
      <c r="V449" s="2" t="s">
        <v>51</v>
      </c>
      <c r="W449" s="3">
        <v>45603</v>
      </c>
      <c r="X449" s="2" t="b">
        <v>0</v>
      </c>
      <c r="Y449" s="2" t="b">
        <v>0</v>
      </c>
      <c r="Z449" s="2" t="s">
        <v>52</v>
      </c>
      <c r="AA449" s="2" t="s">
        <v>41</v>
      </c>
      <c r="AB449" s="2">
        <v>5</v>
      </c>
      <c r="AC449" s="2">
        <f>SUMIF(N:N,Ecommerce_Consumer_Behavior_Analysis_Data3[[#This Row],[Brand_Loyalty]],M:M)</f>
        <v>582</v>
      </c>
      <c r="AD449" s="2" t="e" cm="1" vm="1">
        <f t="array" aca="1" ref="AD449" ca="1">SUMIFS(Y:Y,Ecommerce_Consumer_Behavior_Analysis_Data3[[#This Row],[Payment_Method]],V:V)</f>
        <v>#VALUE!</v>
      </c>
      <c r="AE449" s="2">
        <f t="shared" si="10"/>
        <v>101.31</v>
      </c>
    </row>
    <row r="450" spans="1:31" x14ac:dyDescent="0.25">
      <c r="A450" s="2" t="s">
        <v>981</v>
      </c>
      <c r="B450" s="2">
        <v>49</v>
      </c>
      <c r="C450" s="2" t="s">
        <v>43</v>
      </c>
      <c r="D450" s="2" t="s">
        <v>44</v>
      </c>
      <c r="E450" s="2" t="s">
        <v>76</v>
      </c>
      <c r="F450" s="2" t="s">
        <v>56</v>
      </c>
      <c r="G450" s="2" t="s">
        <v>44</v>
      </c>
      <c r="H450" s="2" t="s">
        <v>982</v>
      </c>
      <c r="I450" s="2" t="s">
        <v>117</v>
      </c>
      <c r="J450" s="2">
        <v>463.15</v>
      </c>
      <c r="K450" s="2">
        <v>3</v>
      </c>
      <c r="L450" s="2" t="s">
        <v>35</v>
      </c>
      <c r="M450" s="2">
        <v>1</v>
      </c>
      <c r="N450" s="2">
        <v>1</v>
      </c>
      <c r="O450" s="2">
        <v>1</v>
      </c>
      <c r="P450" s="2" t="s">
        <v>36</v>
      </c>
      <c r="Q450" s="2" t="s">
        <v>37</v>
      </c>
      <c r="R450" s="2">
        <v>1</v>
      </c>
      <c r="S450" s="2">
        <v>9</v>
      </c>
      <c r="T450" s="2" t="s">
        <v>44</v>
      </c>
      <c r="U450" s="2" t="s">
        <v>60</v>
      </c>
      <c r="V450" s="2" t="s">
        <v>61</v>
      </c>
      <c r="W450" s="3">
        <v>45407</v>
      </c>
      <c r="X450" s="2" t="b">
        <v>1</v>
      </c>
      <c r="Y450" s="2" t="b">
        <v>1</v>
      </c>
      <c r="Z450" s="2" t="s">
        <v>40</v>
      </c>
      <c r="AA450" s="2" t="s">
        <v>53</v>
      </c>
      <c r="AB450" s="2">
        <v>9</v>
      </c>
      <c r="AC450" s="2">
        <f>SUMIF(N:N,Ecommerce_Consumer_Behavior_Analysis_Data3[[#This Row],[Brand_Loyalty]],M:M)</f>
        <v>603</v>
      </c>
      <c r="AD450" s="2" t="e" cm="1" vm="1">
        <f t="array" aca="1" ref="AD450" ca="1">SUMIFS(Y:Y,Ecommerce_Consumer_Behavior_Analysis_Data3[[#This Row],[Payment_Method]],V:V)</f>
        <v>#VALUE!</v>
      </c>
      <c r="AE450" s="2">
        <f t="shared" ref="AE450:AE513" si="11">INDEX(J:J,MATCH(O451,O:O,0))</f>
        <v>101.31</v>
      </c>
    </row>
    <row r="451" spans="1:31" x14ac:dyDescent="0.25">
      <c r="A451" s="2" t="s">
        <v>983</v>
      </c>
      <c r="B451" s="2">
        <v>27</v>
      </c>
      <c r="C451" s="2" t="s">
        <v>29</v>
      </c>
      <c r="D451" s="2" t="s">
        <v>44</v>
      </c>
      <c r="E451" s="2" t="s">
        <v>76</v>
      </c>
      <c r="F451" s="2" t="s">
        <v>32</v>
      </c>
      <c r="G451" s="2" t="s">
        <v>44</v>
      </c>
      <c r="H451" s="2" t="s">
        <v>984</v>
      </c>
      <c r="I451" s="2" t="s">
        <v>158</v>
      </c>
      <c r="J451" s="2">
        <v>122.99</v>
      </c>
      <c r="K451" s="2">
        <v>12</v>
      </c>
      <c r="L451" s="2" t="s">
        <v>48</v>
      </c>
      <c r="M451" s="2">
        <v>1</v>
      </c>
      <c r="N451" s="2">
        <v>5</v>
      </c>
      <c r="O451" s="2">
        <v>1</v>
      </c>
      <c r="P451" s="2" t="s">
        <v>44</v>
      </c>
      <c r="Q451" s="2" t="s">
        <v>85</v>
      </c>
      <c r="R451" s="2">
        <v>1</v>
      </c>
      <c r="S451" s="2">
        <v>8</v>
      </c>
      <c r="T451" s="2" t="s">
        <v>36</v>
      </c>
      <c r="U451" s="2" t="s">
        <v>79</v>
      </c>
      <c r="V451" s="2" t="s">
        <v>86</v>
      </c>
      <c r="W451" s="3">
        <v>45568</v>
      </c>
      <c r="X451" s="2" t="b">
        <v>1</v>
      </c>
      <c r="Y451" s="2" t="b">
        <v>0</v>
      </c>
      <c r="Z451" s="2" t="s">
        <v>74</v>
      </c>
      <c r="AA451" s="2" t="s">
        <v>41</v>
      </c>
      <c r="AB451" s="2">
        <v>1</v>
      </c>
      <c r="AC451" s="2">
        <f>SUMIF(N:N,Ecommerce_Consumer_Behavior_Analysis_Data3[[#This Row],[Brand_Loyalty]],M:M)</f>
        <v>603</v>
      </c>
      <c r="AD451" s="2" t="e" cm="1" vm="1">
        <f t="array" aca="1" ref="AD451" ca="1">SUMIFS(Y:Y,Ecommerce_Consumer_Behavior_Analysis_Data3[[#This Row],[Payment_Method]],V:V)</f>
        <v>#VALUE!</v>
      </c>
      <c r="AE451" s="2">
        <f t="shared" si="11"/>
        <v>101.31</v>
      </c>
    </row>
    <row r="452" spans="1:31" x14ac:dyDescent="0.25">
      <c r="A452" s="2" t="s">
        <v>985</v>
      </c>
      <c r="B452" s="2">
        <v>43</v>
      </c>
      <c r="C452" s="2" t="s">
        <v>43</v>
      </c>
      <c r="D452" s="2" t="s">
        <v>44</v>
      </c>
      <c r="E452" s="2" t="s">
        <v>69</v>
      </c>
      <c r="F452" s="2" t="s">
        <v>56</v>
      </c>
      <c r="G452" s="2" t="s">
        <v>44</v>
      </c>
      <c r="H452" s="2" t="s">
        <v>986</v>
      </c>
      <c r="I452" s="2" t="s">
        <v>188</v>
      </c>
      <c r="J452" s="2">
        <v>322.39999999999998</v>
      </c>
      <c r="K452" s="2">
        <v>7</v>
      </c>
      <c r="L452" s="2" t="s">
        <v>35</v>
      </c>
      <c r="M452" s="2">
        <v>4</v>
      </c>
      <c r="N452" s="2">
        <v>2</v>
      </c>
      <c r="O452" s="2">
        <v>1</v>
      </c>
      <c r="P452" s="2" t="s">
        <v>49</v>
      </c>
      <c r="Q452" s="2" t="s">
        <v>85</v>
      </c>
      <c r="R452" s="2">
        <v>2</v>
      </c>
      <c r="S452" s="2">
        <v>3</v>
      </c>
      <c r="T452" s="2" t="s">
        <v>49</v>
      </c>
      <c r="U452" s="2" t="s">
        <v>38</v>
      </c>
      <c r="V452" s="2" t="s">
        <v>86</v>
      </c>
      <c r="W452" s="3">
        <v>45511</v>
      </c>
      <c r="X452" s="2" t="b">
        <v>1</v>
      </c>
      <c r="Y452" s="2" t="b">
        <v>1</v>
      </c>
      <c r="Z452" s="2" t="s">
        <v>40</v>
      </c>
      <c r="AA452" s="2" t="s">
        <v>67</v>
      </c>
      <c r="AB452" s="2">
        <v>2</v>
      </c>
      <c r="AC452" s="2">
        <f>SUMIF(N:N,Ecommerce_Consumer_Behavior_Analysis_Data3[[#This Row],[Brand_Loyalty]],M:M)</f>
        <v>603</v>
      </c>
      <c r="AD452" s="2" t="e" cm="1" vm="1">
        <f t="array" aca="1" ref="AD452" ca="1">SUMIFS(Y:Y,Ecommerce_Consumer_Behavior_Analysis_Data3[[#This Row],[Payment_Method]],V:V)</f>
        <v>#VALUE!</v>
      </c>
      <c r="AE452" s="2">
        <f t="shared" si="11"/>
        <v>101.31</v>
      </c>
    </row>
    <row r="453" spans="1:31" x14ac:dyDescent="0.25">
      <c r="A453" s="2" t="s">
        <v>987</v>
      </c>
      <c r="B453" s="2">
        <v>19</v>
      </c>
      <c r="C453" s="2" t="s">
        <v>29</v>
      </c>
      <c r="D453" s="2" t="s">
        <v>44</v>
      </c>
      <c r="E453" s="2" t="s">
        <v>31</v>
      </c>
      <c r="F453" s="2" t="s">
        <v>45</v>
      </c>
      <c r="G453" s="2" t="s">
        <v>30</v>
      </c>
      <c r="H453" s="2" t="s">
        <v>988</v>
      </c>
      <c r="I453" s="2" t="s">
        <v>104</v>
      </c>
      <c r="J453" s="2">
        <v>73.19</v>
      </c>
      <c r="K453" s="2">
        <v>5</v>
      </c>
      <c r="L453" s="2" t="s">
        <v>35</v>
      </c>
      <c r="M453" s="2">
        <v>2</v>
      </c>
      <c r="N453" s="2">
        <v>5</v>
      </c>
      <c r="O453" s="2">
        <v>1</v>
      </c>
      <c r="P453" s="2" t="s">
        <v>59</v>
      </c>
      <c r="Q453" s="2" t="s">
        <v>50</v>
      </c>
      <c r="R453" s="2">
        <v>2</v>
      </c>
      <c r="S453" s="2">
        <v>8</v>
      </c>
      <c r="T453" s="2" t="s">
        <v>44</v>
      </c>
      <c r="U453" s="2" t="s">
        <v>60</v>
      </c>
      <c r="V453" s="2" t="s">
        <v>51</v>
      </c>
      <c r="W453" s="3">
        <v>45393</v>
      </c>
      <c r="X453" s="2" t="b">
        <v>0</v>
      </c>
      <c r="Y453" s="2" t="b">
        <v>1</v>
      </c>
      <c r="Z453" s="2" t="s">
        <v>40</v>
      </c>
      <c r="AA453" s="2" t="s">
        <v>41</v>
      </c>
      <c r="AB453" s="2">
        <v>3</v>
      </c>
      <c r="AC453" s="2">
        <f>SUMIF(N:N,Ecommerce_Consumer_Behavior_Analysis_Data3[[#This Row],[Brand_Loyalty]],M:M)</f>
        <v>582</v>
      </c>
      <c r="AD453" s="2" t="e" cm="1" vm="1">
        <f t="array" aca="1" ref="AD453" ca="1">SUMIFS(Y:Y,Ecommerce_Consumer_Behavior_Analysis_Data3[[#This Row],[Payment_Method]],V:V)</f>
        <v>#VALUE!</v>
      </c>
      <c r="AE453" s="2">
        <f t="shared" si="11"/>
        <v>101.31</v>
      </c>
    </row>
    <row r="454" spans="1:31" x14ac:dyDescent="0.25">
      <c r="A454" s="2" t="s">
        <v>989</v>
      </c>
      <c r="B454" s="2">
        <v>41</v>
      </c>
      <c r="C454" s="2" t="s">
        <v>29</v>
      </c>
      <c r="D454" s="2" t="s">
        <v>30</v>
      </c>
      <c r="E454" s="2" t="s">
        <v>31</v>
      </c>
      <c r="F454" s="2" t="s">
        <v>56</v>
      </c>
      <c r="G454" s="2" t="s">
        <v>44</v>
      </c>
      <c r="H454" s="2" t="s">
        <v>856</v>
      </c>
      <c r="I454" s="2" t="s">
        <v>126</v>
      </c>
      <c r="J454" s="2">
        <v>279.08</v>
      </c>
      <c r="K454" s="2">
        <v>10</v>
      </c>
      <c r="L454" s="2" t="s">
        <v>78</v>
      </c>
      <c r="M454" s="2">
        <v>4</v>
      </c>
      <c r="N454" s="2">
        <v>2</v>
      </c>
      <c r="O454" s="2">
        <v>1</v>
      </c>
      <c r="P454" s="2" t="s">
        <v>44</v>
      </c>
      <c r="Q454" s="2" t="s">
        <v>50</v>
      </c>
      <c r="R454" s="2">
        <v>2</v>
      </c>
      <c r="S454" s="2">
        <v>7</v>
      </c>
      <c r="T454" s="2" t="s">
        <v>49</v>
      </c>
      <c r="U454" s="2" t="s">
        <v>60</v>
      </c>
      <c r="V454" s="2" t="s">
        <v>39</v>
      </c>
      <c r="W454" s="3">
        <v>45407</v>
      </c>
      <c r="X454" s="2" t="b">
        <v>0</v>
      </c>
      <c r="Y454" s="2" t="b">
        <v>1</v>
      </c>
      <c r="Z454" s="2" t="s">
        <v>52</v>
      </c>
      <c r="AA454" s="2" t="s">
        <v>41</v>
      </c>
      <c r="AB454" s="2">
        <v>3</v>
      </c>
      <c r="AC454" s="2">
        <f>SUMIF(N:N,Ecommerce_Consumer_Behavior_Analysis_Data3[[#This Row],[Brand_Loyalty]],M:M)</f>
        <v>603</v>
      </c>
      <c r="AD454" s="2" t="e" cm="1" vm="1">
        <f t="array" aca="1" ref="AD454" ca="1">SUMIFS(Y:Y,Ecommerce_Consumer_Behavior_Analysis_Data3[[#This Row],[Payment_Method]],V:V)</f>
        <v>#VALUE!</v>
      </c>
      <c r="AE454" s="2">
        <f t="shared" si="11"/>
        <v>333.8</v>
      </c>
    </row>
    <row r="455" spans="1:31" x14ac:dyDescent="0.25">
      <c r="A455" s="2" t="s">
        <v>990</v>
      </c>
      <c r="B455" s="2">
        <v>29</v>
      </c>
      <c r="C455" s="2" t="s">
        <v>29</v>
      </c>
      <c r="D455" s="2" t="s">
        <v>30</v>
      </c>
      <c r="E455" s="2" t="s">
        <v>55</v>
      </c>
      <c r="F455" s="2" t="s">
        <v>45</v>
      </c>
      <c r="G455" s="2" t="s">
        <v>30</v>
      </c>
      <c r="H455" s="2" t="s">
        <v>991</v>
      </c>
      <c r="I455" s="2" t="s">
        <v>194</v>
      </c>
      <c r="J455" s="2">
        <v>478.85</v>
      </c>
      <c r="K455" s="2">
        <v>10</v>
      </c>
      <c r="L455" s="2" t="s">
        <v>48</v>
      </c>
      <c r="M455" s="2">
        <v>4</v>
      </c>
      <c r="N455" s="2">
        <v>2</v>
      </c>
      <c r="O455" s="2">
        <v>2</v>
      </c>
      <c r="P455" s="2" t="s">
        <v>36</v>
      </c>
      <c r="Q455" s="2" t="s">
        <v>50</v>
      </c>
      <c r="R455" s="2">
        <v>2</v>
      </c>
      <c r="S455" s="2">
        <v>2</v>
      </c>
      <c r="T455" s="2" t="s">
        <v>36</v>
      </c>
      <c r="U455" s="2" t="s">
        <v>79</v>
      </c>
      <c r="V455" s="2" t="s">
        <v>86</v>
      </c>
      <c r="W455" s="3">
        <v>45410</v>
      </c>
      <c r="X455" s="2" t="b">
        <v>0</v>
      </c>
      <c r="Y455" s="2" t="b">
        <v>0</v>
      </c>
      <c r="Z455" s="2" t="s">
        <v>74</v>
      </c>
      <c r="AA455" s="2" t="s">
        <v>41</v>
      </c>
      <c r="AB455" s="2">
        <v>4</v>
      </c>
      <c r="AC455" s="2">
        <f>SUMIF(N:N,Ecommerce_Consumer_Behavior_Analysis_Data3[[#This Row],[Brand_Loyalty]],M:M)</f>
        <v>603</v>
      </c>
      <c r="AD455" s="2" t="e" cm="1" vm="1">
        <f t="array" aca="1" ref="AD455" ca="1">SUMIFS(Y:Y,Ecommerce_Consumer_Behavior_Analysis_Data3[[#This Row],[Payment_Method]],V:V)</f>
        <v>#VALUE!</v>
      </c>
      <c r="AE455" s="2">
        <f t="shared" si="11"/>
        <v>101.31</v>
      </c>
    </row>
    <row r="456" spans="1:31" x14ac:dyDescent="0.25">
      <c r="A456" s="2" t="s">
        <v>992</v>
      </c>
      <c r="B456" s="2">
        <v>25</v>
      </c>
      <c r="C456" s="2" t="s">
        <v>43</v>
      </c>
      <c r="D456" s="2" t="s">
        <v>44</v>
      </c>
      <c r="E456" s="2" t="s">
        <v>69</v>
      </c>
      <c r="F456" s="2" t="s">
        <v>56</v>
      </c>
      <c r="G456" s="2" t="s">
        <v>44</v>
      </c>
      <c r="H456" s="2" t="s">
        <v>993</v>
      </c>
      <c r="I456" s="2" t="s">
        <v>47</v>
      </c>
      <c r="J456" s="2">
        <v>86.39</v>
      </c>
      <c r="K456" s="2">
        <v>5</v>
      </c>
      <c r="L456" s="2" t="s">
        <v>35</v>
      </c>
      <c r="M456" s="2">
        <v>4</v>
      </c>
      <c r="N456" s="2">
        <v>5</v>
      </c>
      <c r="O456" s="2">
        <v>1</v>
      </c>
      <c r="P456" s="2" t="s">
        <v>44</v>
      </c>
      <c r="Q456" s="2" t="s">
        <v>37</v>
      </c>
      <c r="R456" s="2">
        <v>1</v>
      </c>
      <c r="S456" s="2">
        <v>1</v>
      </c>
      <c r="T456" s="2" t="s">
        <v>49</v>
      </c>
      <c r="U456" s="2" t="s">
        <v>79</v>
      </c>
      <c r="V456" s="2" t="s">
        <v>61</v>
      </c>
      <c r="W456" s="3">
        <v>45544</v>
      </c>
      <c r="X456" s="2" t="b">
        <v>0</v>
      </c>
      <c r="Y456" s="2" t="b">
        <v>0</v>
      </c>
      <c r="Z456" s="2" t="s">
        <v>40</v>
      </c>
      <c r="AA456" s="2" t="s">
        <v>53</v>
      </c>
      <c r="AB456" s="2">
        <v>7</v>
      </c>
      <c r="AC456" s="2">
        <f>SUMIF(N:N,Ecommerce_Consumer_Behavior_Analysis_Data3[[#This Row],[Brand_Loyalty]],M:M)</f>
        <v>603</v>
      </c>
      <c r="AD456" s="2" t="e" cm="1" vm="1">
        <f t="array" aca="1" ref="AD456" ca="1">SUMIFS(Y:Y,Ecommerce_Consumer_Behavior_Analysis_Data3[[#This Row],[Payment_Method]],V:V)</f>
        <v>#VALUE!</v>
      </c>
      <c r="AE456" s="2">
        <f t="shared" si="11"/>
        <v>333.8</v>
      </c>
    </row>
    <row r="457" spans="1:31" x14ac:dyDescent="0.25">
      <c r="A457" s="2" t="s">
        <v>994</v>
      </c>
      <c r="B457" s="2">
        <v>45</v>
      </c>
      <c r="C457" s="2" t="s">
        <v>43</v>
      </c>
      <c r="D457" s="2" t="s">
        <v>44</v>
      </c>
      <c r="E457" s="2" t="s">
        <v>69</v>
      </c>
      <c r="F457" s="2" t="s">
        <v>32</v>
      </c>
      <c r="G457" s="2" t="s">
        <v>30</v>
      </c>
      <c r="H457" s="2" t="s">
        <v>995</v>
      </c>
      <c r="I457" s="2" t="s">
        <v>123</v>
      </c>
      <c r="J457" s="2">
        <v>192.35</v>
      </c>
      <c r="K457" s="2">
        <v>11</v>
      </c>
      <c r="L457" s="2" t="s">
        <v>35</v>
      </c>
      <c r="M457" s="2">
        <v>3</v>
      </c>
      <c r="N457" s="2">
        <v>5</v>
      </c>
      <c r="O457" s="2">
        <v>2</v>
      </c>
      <c r="P457" s="2" t="s">
        <v>44</v>
      </c>
      <c r="Q457" s="2" t="s">
        <v>50</v>
      </c>
      <c r="R457" s="2">
        <v>2</v>
      </c>
      <c r="S457" s="2">
        <v>1</v>
      </c>
      <c r="T457" s="2" t="s">
        <v>44</v>
      </c>
      <c r="U457" s="2" t="s">
        <v>60</v>
      </c>
      <c r="V457" s="2" t="s">
        <v>39</v>
      </c>
      <c r="W457" s="3">
        <v>45420</v>
      </c>
      <c r="X457" s="2" t="b">
        <v>1</v>
      </c>
      <c r="Y457" s="2" t="b">
        <v>0</v>
      </c>
      <c r="Z457" s="2" t="s">
        <v>62</v>
      </c>
      <c r="AA457" s="2" t="s">
        <v>67</v>
      </c>
      <c r="AB457" s="2">
        <v>11</v>
      </c>
      <c r="AC457" s="2">
        <f>SUMIF(N:N,Ecommerce_Consumer_Behavior_Analysis_Data3[[#This Row],[Brand_Loyalty]],M:M)</f>
        <v>597</v>
      </c>
      <c r="AD457" s="2" t="e" cm="1" vm="1">
        <f t="array" aca="1" ref="AD457" ca="1">SUMIFS(Y:Y,Ecommerce_Consumer_Behavior_Analysis_Data3[[#This Row],[Payment_Method]],V:V)</f>
        <v>#VALUE!</v>
      </c>
      <c r="AE457" s="2">
        <f t="shared" si="11"/>
        <v>101.31</v>
      </c>
    </row>
    <row r="458" spans="1:31" x14ac:dyDescent="0.25">
      <c r="A458" s="2" t="s">
        <v>996</v>
      </c>
      <c r="B458" s="2">
        <v>36</v>
      </c>
      <c r="C458" s="2" t="s">
        <v>29</v>
      </c>
      <c r="D458" s="2" t="s">
        <v>30</v>
      </c>
      <c r="E458" s="2" t="s">
        <v>76</v>
      </c>
      <c r="F458" s="2" t="s">
        <v>32</v>
      </c>
      <c r="G458" s="2" t="s">
        <v>44</v>
      </c>
      <c r="H458" s="2" t="s">
        <v>997</v>
      </c>
      <c r="I458" s="2" t="s">
        <v>188</v>
      </c>
      <c r="J458" s="2">
        <v>235.32</v>
      </c>
      <c r="K458" s="2">
        <v>7</v>
      </c>
      <c r="L458" s="2" t="s">
        <v>78</v>
      </c>
      <c r="M458" s="2">
        <v>2</v>
      </c>
      <c r="N458" s="2">
        <v>1</v>
      </c>
      <c r="O458" s="2">
        <v>1</v>
      </c>
      <c r="P458" s="2" t="s">
        <v>49</v>
      </c>
      <c r="Q458" s="2" t="s">
        <v>85</v>
      </c>
      <c r="R458" s="2">
        <v>1</v>
      </c>
      <c r="S458" s="2">
        <v>10</v>
      </c>
      <c r="T458" s="2" t="s">
        <v>44</v>
      </c>
      <c r="U458" s="2" t="s">
        <v>79</v>
      </c>
      <c r="V458" s="2" t="s">
        <v>51</v>
      </c>
      <c r="W458" s="3">
        <v>45452</v>
      </c>
      <c r="X458" s="2" t="b">
        <v>0</v>
      </c>
      <c r="Y458" s="2" t="b">
        <v>1</v>
      </c>
      <c r="Z458" s="2" t="s">
        <v>62</v>
      </c>
      <c r="AA458" s="2" t="s">
        <v>67</v>
      </c>
      <c r="AB458" s="2">
        <v>11</v>
      </c>
      <c r="AC458" s="2">
        <f>SUMIF(N:N,Ecommerce_Consumer_Behavior_Analysis_Data3[[#This Row],[Brand_Loyalty]],M:M)</f>
        <v>582</v>
      </c>
      <c r="AD458" s="2" t="e" cm="1" vm="1">
        <f t="array" aca="1" ref="AD458" ca="1">SUMIFS(Y:Y,Ecommerce_Consumer_Behavior_Analysis_Data3[[#This Row],[Payment_Method]],V:V)</f>
        <v>#VALUE!</v>
      </c>
      <c r="AE458" s="2">
        <f t="shared" si="11"/>
        <v>101.31</v>
      </c>
    </row>
    <row r="459" spans="1:31" x14ac:dyDescent="0.25">
      <c r="A459" s="2" t="s">
        <v>998</v>
      </c>
      <c r="B459" s="2">
        <v>21</v>
      </c>
      <c r="C459" s="2" t="s">
        <v>29</v>
      </c>
      <c r="D459" s="2" t="s">
        <v>44</v>
      </c>
      <c r="E459" s="2" t="s">
        <v>69</v>
      </c>
      <c r="F459" s="2" t="s">
        <v>45</v>
      </c>
      <c r="G459" s="2" t="s">
        <v>44</v>
      </c>
      <c r="H459" s="2" t="s">
        <v>999</v>
      </c>
      <c r="I459" s="2" t="s">
        <v>117</v>
      </c>
      <c r="J459" s="2">
        <v>212.63</v>
      </c>
      <c r="K459" s="2">
        <v>8</v>
      </c>
      <c r="L459" s="2" t="s">
        <v>78</v>
      </c>
      <c r="M459" s="2">
        <v>4</v>
      </c>
      <c r="N459" s="2">
        <v>2</v>
      </c>
      <c r="O459" s="2">
        <v>1</v>
      </c>
      <c r="P459" s="2" t="s">
        <v>59</v>
      </c>
      <c r="Q459" s="2" t="s">
        <v>85</v>
      </c>
      <c r="R459" s="2">
        <v>0</v>
      </c>
      <c r="S459" s="2">
        <v>4</v>
      </c>
      <c r="T459" s="2" t="s">
        <v>44</v>
      </c>
      <c r="U459" s="2" t="s">
        <v>79</v>
      </c>
      <c r="V459" s="2" t="s">
        <v>61</v>
      </c>
      <c r="W459" s="3">
        <v>45531</v>
      </c>
      <c r="X459" s="2" t="b">
        <v>0</v>
      </c>
      <c r="Y459" s="2" t="b">
        <v>1</v>
      </c>
      <c r="Z459" s="2" t="s">
        <v>40</v>
      </c>
      <c r="AA459" s="2" t="s">
        <v>41</v>
      </c>
      <c r="AB459" s="2">
        <v>6</v>
      </c>
      <c r="AC459" s="2">
        <f>SUMIF(N:N,Ecommerce_Consumer_Behavior_Analysis_Data3[[#This Row],[Brand_Loyalty]],M:M)</f>
        <v>603</v>
      </c>
      <c r="AD459" s="2" t="e" cm="1" vm="1">
        <f t="array" aca="1" ref="AD459" ca="1">SUMIFS(Y:Y,Ecommerce_Consumer_Behavior_Analysis_Data3[[#This Row],[Payment_Method]],V:V)</f>
        <v>#VALUE!</v>
      </c>
      <c r="AE459" s="2">
        <f t="shared" si="11"/>
        <v>101.31</v>
      </c>
    </row>
    <row r="460" spans="1:31" x14ac:dyDescent="0.25">
      <c r="A460" s="2" t="s">
        <v>1000</v>
      </c>
      <c r="B460" s="2">
        <v>47</v>
      </c>
      <c r="C460" s="2" t="s">
        <v>29</v>
      </c>
      <c r="D460" s="2" t="s">
        <v>30</v>
      </c>
      <c r="E460" s="2" t="s">
        <v>69</v>
      </c>
      <c r="F460" s="2" t="s">
        <v>56</v>
      </c>
      <c r="G460" s="2" t="s">
        <v>44</v>
      </c>
      <c r="H460" s="2" t="s">
        <v>1001</v>
      </c>
      <c r="I460" s="2" t="s">
        <v>47</v>
      </c>
      <c r="J460" s="2">
        <v>246.63</v>
      </c>
      <c r="K460" s="2">
        <v>8</v>
      </c>
      <c r="L460" s="2" t="s">
        <v>48</v>
      </c>
      <c r="M460" s="2">
        <v>2</v>
      </c>
      <c r="N460" s="2">
        <v>3</v>
      </c>
      <c r="O460" s="2">
        <v>1</v>
      </c>
      <c r="P460" s="2" t="s">
        <v>36</v>
      </c>
      <c r="Q460" s="2" t="s">
        <v>37</v>
      </c>
      <c r="R460" s="2">
        <v>2</v>
      </c>
      <c r="S460" s="2">
        <v>3</v>
      </c>
      <c r="T460" s="2" t="s">
        <v>36</v>
      </c>
      <c r="U460" s="2" t="s">
        <v>38</v>
      </c>
      <c r="V460" s="2" t="s">
        <v>39</v>
      </c>
      <c r="W460" s="3">
        <v>45383</v>
      </c>
      <c r="X460" s="2" t="b">
        <v>1</v>
      </c>
      <c r="Y460" s="2" t="b">
        <v>0</v>
      </c>
      <c r="Z460" s="2" t="s">
        <v>62</v>
      </c>
      <c r="AA460" s="2" t="s">
        <v>67</v>
      </c>
      <c r="AB460" s="2">
        <v>10</v>
      </c>
      <c r="AC460" s="2">
        <f>SUMIF(N:N,Ecommerce_Consumer_Behavior_Analysis_Data3[[#This Row],[Brand_Loyalty]],M:M)</f>
        <v>582</v>
      </c>
      <c r="AD460" s="2" t="e" cm="1" vm="1">
        <f t="array" aca="1" ref="AD460" ca="1">SUMIFS(Y:Y,Ecommerce_Consumer_Behavior_Analysis_Data3[[#This Row],[Payment_Method]],V:V)</f>
        <v>#VALUE!</v>
      </c>
      <c r="AE460" s="2">
        <f t="shared" si="11"/>
        <v>101.31</v>
      </c>
    </row>
    <row r="461" spans="1:31" x14ac:dyDescent="0.25">
      <c r="A461" s="2" t="s">
        <v>1002</v>
      </c>
      <c r="B461" s="2">
        <v>26</v>
      </c>
      <c r="C461" s="2" t="s">
        <v>29</v>
      </c>
      <c r="D461" s="2" t="s">
        <v>30</v>
      </c>
      <c r="E461" s="2" t="s">
        <v>69</v>
      </c>
      <c r="F461" s="2" t="s">
        <v>32</v>
      </c>
      <c r="G461" s="2" t="s">
        <v>44</v>
      </c>
      <c r="H461" s="2" t="s">
        <v>256</v>
      </c>
      <c r="I461" s="2" t="s">
        <v>126</v>
      </c>
      <c r="J461" s="2">
        <v>228.47</v>
      </c>
      <c r="K461" s="2">
        <v>9</v>
      </c>
      <c r="L461" s="2" t="s">
        <v>78</v>
      </c>
      <c r="M461" s="2">
        <v>3</v>
      </c>
      <c r="N461" s="2">
        <v>3</v>
      </c>
      <c r="O461" s="2">
        <v>1</v>
      </c>
      <c r="P461" s="2" t="s">
        <v>36</v>
      </c>
      <c r="Q461" s="2" t="s">
        <v>85</v>
      </c>
      <c r="R461" s="2">
        <v>1</v>
      </c>
      <c r="S461" s="2">
        <v>7</v>
      </c>
      <c r="T461" s="2" t="s">
        <v>36</v>
      </c>
      <c r="U461" s="2" t="s">
        <v>79</v>
      </c>
      <c r="V461" s="2" t="s">
        <v>39</v>
      </c>
      <c r="W461" s="3">
        <v>45533</v>
      </c>
      <c r="X461" s="2" t="b">
        <v>0</v>
      </c>
      <c r="Y461" s="2" t="b">
        <v>1</v>
      </c>
      <c r="Z461" s="2" t="s">
        <v>62</v>
      </c>
      <c r="AA461" s="2" t="s">
        <v>67</v>
      </c>
      <c r="AB461" s="2">
        <v>12</v>
      </c>
      <c r="AC461" s="2">
        <f>SUMIF(N:N,Ecommerce_Consumer_Behavior_Analysis_Data3[[#This Row],[Brand_Loyalty]],M:M)</f>
        <v>597</v>
      </c>
      <c r="AD461" s="2" t="e" cm="1" vm="1">
        <f t="array" aca="1" ref="AD461" ca="1">SUMIFS(Y:Y,Ecommerce_Consumer_Behavior_Analysis_Data3[[#This Row],[Payment_Method]],V:V)</f>
        <v>#VALUE!</v>
      </c>
      <c r="AE461" s="2">
        <f t="shared" si="11"/>
        <v>333.8</v>
      </c>
    </row>
    <row r="462" spans="1:31" x14ac:dyDescent="0.25">
      <c r="A462" s="2" t="s">
        <v>1003</v>
      </c>
      <c r="B462" s="2">
        <v>25</v>
      </c>
      <c r="C462" s="2" t="s">
        <v>29</v>
      </c>
      <c r="D462" s="2" t="s">
        <v>30</v>
      </c>
      <c r="E462" s="2" t="s">
        <v>55</v>
      </c>
      <c r="F462" s="2" t="s">
        <v>56</v>
      </c>
      <c r="G462" s="2" t="s">
        <v>44</v>
      </c>
      <c r="H462" s="2" t="s">
        <v>1004</v>
      </c>
      <c r="I462" s="2" t="s">
        <v>34</v>
      </c>
      <c r="J462" s="2">
        <v>343.77</v>
      </c>
      <c r="K462" s="2">
        <v>6</v>
      </c>
      <c r="L462" s="2" t="s">
        <v>78</v>
      </c>
      <c r="M462" s="2">
        <v>4</v>
      </c>
      <c r="N462" s="2">
        <v>3</v>
      </c>
      <c r="O462" s="2">
        <v>2</v>
      </c>
      <c r="P462" s="2" t="s">
        <v>59</v>
      </c>
      <c r="Q462" s="2" t="s">
        <v>37</v>
      </c>
      <c r="R462" s="2">
        <v>2</v>
      </c>
      <c r="S462" s="2">
        <v>9</v>
      </c>
      <c r="T462" s="2" t="s">
        <v>44</v>
      </c>
      <c r="U462" s="2" t="s">
        <v>79</v>
      </c>
      <c r="V462" s="2" t="s">
        <v>86</v>
      </c>
      <c r="W462" s="3">
        <v>45553</v>
      </c>
      <c r="X462" s="2" t="b">
        <v>1</v>
      </c>
      <c r="Y462" s="2" t="b">
        <v>1</v>
      </c>
      <c r="Z462" s="2" t="s">
        <v>52</v>
      </c>
      <c r="AA462" s="2" t="s">
        <v>67</v>
      </c>
      <c r="AB462" s="2">
        <v>6</v>
      </c>
      <c r="AC462" s="2">
        <f>SUMIF(N:N,Ecommerce_Consumer_Behavior_Analysis_Data3[[#This Row],[Brand_Loyalty]],M:M)</f>
        <v>603</v>
      </c>
      <c r="AD462" s="2" t="e" cm="1" vm="1">
        <f t="array" aca="1" ref="AD462" ca="1">SUMIFS(Y:Y,Ecommerce_Consumer_Behavior_Analysis_Data3[[#This Row],[Payment_Method]],V:V)</f>
        <v>#VALUE!</v>
      </c>
      <c r="AE462" s="2">
        <f t="shared" si="11"/>
        <v>211.7</v>
      </c>
    </row>
    <row r="463" spans="1:31" x14ac:dyDescent="0.25">
      <c r="A463" s="2" t="s">
        <v>1005</v>
      </c>
      <c r="B463" s="2">
        <v>26</v>
      </c>
      <c r="C463" s="2" t="s">
        <v>88</v>
      </c>
      <c r="D463" s="2" t="s">
        <v>30</v>
      </c>
      <c r="E463" s="2" t="s">
        <v>31</v>
      </c>
      <c r="F463" s="2" t="s">
        <v>32</v>
      </c>
      <c r="G463" s="2" t="s">
        <v>44</v>
      </c>
      <c r="H463" s="2" t="s">
        <v>1006</v>
      </c>
      <c r="I463" s="2" t="s">
        <v>158</v>
      </c>
      <c r="J463" s="2">
        <v>339.32</v>
      </c>
      <c r="K463" s="2">
        <v>9</v>
      </c>
      <c r="L463" s="2" t="s">
        <v>48</v>
      </c>
      <c r="M463" s="2">
        <v>2</v>
      </c>
      <c r="N463" s="2">
        <v>4</v>
      </c>
      <c r="O463" s="2">
        <v>0</v>
      </c>
      <c r="P463" s="2" t="s">
        <v>49</v>
      </c>
      <c r="Q463" s="2" t="s">
        <v>85</v>
      </c>
      <c r="R463" s="2">
        <v>1</v>
      </c>
      <c r="S463" s="2">
        <v>4</v>
      </c>
      <c r="T463" s="2" t="s">
        <v>44</v>
      </c>
      <c r="U463" s="2" t="s">
        <v>38</v>
      </c>
      <c r="V463" s="2" t="s">
        <v>66</v>
      </c>
      <c r="W463" s="3">
        <v>45540</v>
      </c>
      <c r="X463" s="2" t="b">
        <v>0</v>
      </c>
      <c r="Y463" s="2" t="b">
        <v>0</v>
      </c>
      <c r="Z463" s="2" t="s">
        <v>40</v>
      </c>
      <c r="AA463" s="2" t="s">
        <v>41</v>
      </c>
      <c r="AB463" s="2">
        <v>7</v>
      </c>
      <c r="AC463" s="2">
        <f>SUMIF(N:N,Ecommerce_Consumer_Behavior_Analysis_Data3[[#This Row],[Brand_Loyalty]],M:M)</f>
        <v>582</v>
      </c>
      <c r="AD463" s="2" t="e" cm="1" vm="1">
        <f t="array" aca="1" ref="AD463" ca="1">SUMIFS(Y:Y,Ecommerce_Consumer_Behavior_Analysis_Data3[[#This Row],[Payment_Method]],V:V)</f>
        <v>#VALUE!</v>
      </c>
      <c r="AE463" s="2">
        <f t="shared" si="11"/>
        <v>211.7</v>
      </c>
    </row>
    <row r="464" spans="1:31" x14ac:dyDescent="0.25">
      <c r="A464" s="2" t="s">
        <v>1007</v>
      </c>
      <c r="B464" s="2">
        <v>34</v>
      </c>
      <c r="C464" s="2" t="s">
        <v>43</v>
      </c>
      <c r="D464" s="2" t="s">
        <v>44</v>
      </c>
      <c r="E464" s="2" t="s">
        <v>76</v>
      </c>
      <c r="F464" s="2" t="s">
        <v>32</v>
      </c>
      <c r="G464" s="2" t="s">
        <v>30</v>
      </c>
      <c r="H464" s="2" t="s">
        <v>1008</v>
      </c>
      <c r="I464" s="2" t="s">
        <v>183</v>
      </c>
      <c r="J464" s="2">
        <v>327.05</v>
      </c>
      <c r="K464" s="2">
        <v>9</v>
      </c>
      <c r="L464" s="2" t="s">
        <v>35</v>
      </c>
      <c r="M464" s="2">
        <v>5</v>
      </c>
      <c r="N464" s="2">
        <v>4</v>
      </c>
      <c r="O464" s="2">
        <v>0</v>
      </c>
      <c r="P464" s="2" t="s">
        <v>59</v>
      </c>
      <c r="Q464" s="2" t="s">
        <v>37</v>
      </c>
      <c r="R464" s="2">
        <v>2</v>
      </c>
      <c r="S464" s="2">
        <v>3</v>
      </c>
      <c r="T464" s="2" t="s">
        <v>44</v>
      </c>
      <c r="U464" s="2" t="s">
        <v>79</v>
      </c>
      <c r="V464" s="2" t="s">
        <v>86</v>
      </c>
      <c r="W464" s="3">
        <v>45510</v>
      </c>
      <c r="X464" s="2" t="b">
        <v>0</v>
      </c>
      <c r="Y464" s="2" t="b">
        <v>1</v>
      </c>
      <c r="Z464" s="2" t="s">
        <v>40</v>
      </c>
      <c r="AA464" s="2" t="s">
        <v>41</v>
      </c>
      <c r="AB464" s="2">
        <v>7</v>
      </c>
      <c r="AC464" s="2">
        <f>SUMIF(N:N,Ecommerce_Consumer_Behavior_Analysis_Data3[[#This Row],[Brand_Loyalty]],M:M)</f>
        <v>641</v>
      </c>
      <c r="AD464" s="2" t="e" cm="1" vm="1">
        <f t="array" aca="1" ref="AD464" ca="1">SUMIFS(Y:Y,Ecommerce_Consumer_Behavior_Analysis_Data3[[#This Row],[Payment_Method]],V:V)</f>
        <v>#VALUE!</v>
      </c>
      <c r="AE464" s="2">
        <f t="shared" si="11"/>
        <v>211.7</v>
      </c>
    </row>
    <row r="465" spans="1:31" x14ac:dyDescent="0.25">
      <c r="A465" s="2" t="s">
        <v>1009</v>
      </c>
      <c r="B465" s="2">
        <v>48</v>
      </c>
      <c r="C465" s="2" t="s">
        <v>43</v>
      </c>
      <c r="D465" s="2" t="s">
        <v>44</v>
      </c>
      <c r="E465" s="2" t="s">
        <v>76</v>
      </c>
      <c r="F465" s="2" t="s">
        <v>56</v>
      </c>
      <c r="G465" s="2" t="s">
        <v>30</v>
      </c>
      <c r="H465" s="2" t="s">
        <v>1010</v>
      </c>
      <c r="I465" s="2" t="s">
        <v>126</v>
      </c>
      <c r="J465" s="2">
        <v>334.45</v>
      </c>
      <c r="K465" s="2">
        <v>2</v>
      </c>
      <c r="L465" s="2" t="s">
        <v>48</v>
      </c>
      <c r="M465" s="2">
        <v>2</v>
      </c>
      <c r="N465" s="2">
        <v>5</v>
      </c>
      <c r="O465" s="2">
        <v>0</v>
      </c>
      <c r="P465" s="2" t="s">
        <v>49</v>
      </c>
      <c r="Q465" s="2" t="s">
        <v>50</v>
      </c>
      <c r="R465" s="2">
        <v>2</v>
      </c>
      <c r="S465" s="2">
        <v>9</v>
      </c>
      <c r="T465" s="2" t="s">
        <v>44</v>
      </c>
      <c r="U465" s="2" t="s">
        <v>38</v>
      </c>
      <c r="V465" s="2" t="s">
        <v>39</v>
      </c>
      <c r="W465" s="3">
        <v>45461</v>
      </c>
      <c r="X465" s="2" t="b">
        <v>1</v>
      </c>
      <c r="Y465" s="2" t="b">
        <v>0</v>
      </c>
      <c r="Z465" s="2" t="s">
        <v>62</v>
      </c>
      <c r="AA465" s="2" t="s">
        <v>41</v>
      </c>
      <c r="AB465" s="2">
        <v>6</v>
      </c>
      <c r="AC465" s="2">
        <f>SUMIF(N:N,Ecommerce_Consumer_Behavior_Analysis_Data3[[#This Row],[Brand_Loyalty]],M:M)</f>
        <v>582</v>
      </c>
      <c r="AD465" s="2" t="e" cm="1" vm="1">
        <f t="array" aca="1" ref="AD465" ca="1">SUMIFS(Y:Y,Ecommerce_Consumer_Behavior_Analysis_Data3[[#This Row],[Payment_Method]],V:V)</f>
        <v>#VALUE!</v>
      </c>
      <c r="AE465" s="2">
        <f t="shared" si="11"/>
        <v>333.8</v>
      </c>
    </row>
    <row r="466" spans="1:31" x14ac:dyDescent="0.25">
      <c r="A466" s="2" t="s">
        <v>1011</v>
      </c>
      <c r="B466" s="2">
        <v>19</v>
      </c>
      <c r="C466" s="2" t="s">
        <v>43</v>
      </c>
      <c r="D466" s="2" t="s">
        <v>44</v>
      </c>
      <c r="E466" s="2" t="s">
        <v>55</v>
      </c>
      <c r="F466" s="2" t="s">
        <v>32</v>
      </c>
      <c r="G466" s="2" t="s">
        <v>30</v>
      </c>
      <c r="H466" s="2" t="s">
        <v>1012</v>
      </c>
      <c r="I466" s="2" t="s">
        <v>47</v>
      </c>
      <c r="J466" s="2">
        <v>366.16</v>
      </c>
      <c r="K466" s="2">
        <v>12</v>
      </c>
      <c r="L466" s="2" t="s">
        <v>35</v>
      </c>
      <c r="M466" s="2">
        <v>4</v>
      </c>
      <c r="N466" s="2">
        <v>4</v>
      </c>
      <c r="O466" s="2">
        <v>2</v>
      </c>
      <c r="P466" s="2" t="s">
        <v>49</v>
      </c>
      <c r="Q466" s="2" t="s">
        <v>37</v>
      </c>
      <c r="R466" s="2">
        <v>1</v>
      </c>
      <c r="S466" s="2">
        <v>5</v>
      </c>
      <c r="T466" s="2" t="s">
        <v>59</v>
      </c>
      <c r="U466" s="2" t="s">
        <v>79</v>
      </c>
      <c r="V466" s="2" t="s">
        <v>39</v>
      </c>
      <c r="W466" s="3">
        <v>45530</v>
      </c>
      <c r="X466" s="2" t="b">
        <v>0</v>
      </c>
      <c r="Y466" s="2" t="b">
        <v>0</v>
      </c>
      <c r="Z466" s="2" t="s">
        <v>40</v>
      </c>
      <c r="AA466" s="2" t="s">
        <v>41</v>
      </c>
      <c r="AB466" s="2">
        <v>4</v>
      </c>
      <c r="AC466" s="2">
        <f>SUMIF(N:N,Ecommerce_Consumer_Behavior_Analysis_Data3[[#This Row],[Brand_Loyalty]],M:M)</f>
        <v>603</v>
      </c>
      <c r="AD466" s="2" t="e" cm="1" vm="1">
        <f t="array" aca="1" ref="AD466" ca="1">SUMIFS(Y:Y,Ecommerce_Consumer_Behavior_Analysis_Data3[[#This Row],[Payment_Method]],V:V)</f>
        <v>#VALUE!</v>
      </c>
      <c r="AE466" s="2">
        <f t="shared" si="11"/>
        <v>211.7</v>
      </c>
    </row>
    <row r="467" spans="1:31" x14ac:dyDescent="0.25">
      <c r="A467" s="2" t="s">
        <v>1013</v>
      </c>
      <c r="B467" s="2">
        <v>37</v>
      </c>
      <c r="C467" s="2" t="s">
        <v>29</v>
      </c>
      <c r="D467" s="2" t="s">
        <v>44</v>
      </c>
      <c r="E467" s="2" t="s">
        <v>69</v>
      </c>
      <c r="F467" s="2" t="s">
        <v>32</v>
      </c>
      <c r="G467" s="2" t="s">
        <v>30</v>
      </c>
      <c r="H467" s="2" t="s">
        <v>1014</v>
      </c>
      <c r="I467" s="2" t="s">
        <v>158</v>
      </c>
      <c r="J467" s="2">
        <v>481.78</v>
      </c>
      <c r="K467" s="2">
        <v>8</v>
      </c>
      <c r="L467" s="2" t="s">
        <v>48</v>
      </c>
      <c r="M467" s="2">
        <v>5</v>
      </c>
      <c r="N467" s="2">
        <v>2</v>
      </c>
      <c r="O467" s="2">
        <v>0</v>
      </c>
      <c r="P467" s="2" t="s">
        <v>49</v>
      </c>
      <c r="Q467" s="2" t="s">
        <v>85</v>
      </c>
      <c r="R467" s="2">
        <v>2</v>
      </c>
      <c r="S467" s="2">
        <v>4</v>
      </c>
      <c r="T467" s="2" t="s">
        <v>59</v>
      </c>
      <c r="U467" s="2" t="s">
        <v>38</v>
      </c>
      <c r="V467" s="2" t="s">
        <v>61</v>
      </c>
      <c r="W467" s="3">
        <v>45406</v>
      </c>
      <c r="X467" s="2" t="b">
        <v>1</v>
      </c>
      <c r="Y467" s="2" t="b">
        <v>1</v>
      </c>
      <c r="Z467" s="2" t="s">
        <v>52</v>
      </c>
      <c r="AA467" s="2" t="s">
        <v>67</v>
      </c>
      <c r="AB467" s="2">
        <v>1</v>
      </c>
      <c r="AC467" s="2">
        <f>SUMIF(N:N,Ecommerce_Consumer_Behavior_Analysis_Data3[[#This Row],[Brand_Loyalty]],M:M)</f>
        <v>641</v>
      </c>
      <c r="AD467" s="2" t="e" cm="1" vm="1">
        <f t="array" aca="1" ref="AD467" ca="1">SUMIFS(Y:Y,Ecommerce_Consumer_Behavior_Analysis_Data3[[#This Row],[Payment_Method]],V:V)</f>
        <v>#VALUE!</v>
      </c>
      <c r="AE467" s="2">
        <f t="shared" si="11"/>
        <v>211.7</v>
      </c>
    </row>
    <row r="468" spans="1:31" x14ac:dyDescent="0.25">
      <c r="A468" s="2" t="s">
        <v>1015</v>
      </c>
      <c r="B468" s="2">
        <v>23</v>
      </c>
      <c r="C468" s="2" t="s">
        <v>29</v>
      </c>
      <c r="D468" s="2" t="s">
        <v>44</v>
      </c>
      <c r="E468" s="2" t="s">
        <v>69</v>
      </c>
      <c r="F468" s="2" t="s">
        <v>32</v>
      </c>
      <c r="G468" s="2" t="s">
        <v>30</v>
      </c>
      <c r="H468" s="2" t="s">
        <v>1016</v>
      </c>
      <c r="I468" s="2" t="s">
        <v>34</v>
      </c>
      <c r="J468" s="2">
        <v>131.47999999999999</v>
      </c>
      <c r="K468" s="2">
        <v>8</v>
      </c>
      <c r="L468" s="2" t="s">
        <v>35</v>
      </c>
      <c r="M468" s="2">
        <v>3</v>
      </c>
      <c r="N468" s="2">
        <v>5</v>
      </c>
      <c r="O468" s="2">
        <v>0</v>
      </c>
      <c r="P468" s="2" t="s">
        <v>36</v>
      </c>
      <c r="Q468" s="2" t="s">
        <v>37</v>
      </c>
      <c r="R468" s="2">
        <v>2</v>
      </c>
      <c r="S468" s="2">
        <v>1</v>
      </c>
      <c r="T468" s="2" t="s">
        <v>59</v>
      </c>
      <c r="U468" s="2" t="s">
        <v>38</v>
      </c>
      <c r="V468" s="2" t="s">
        <v>39</v>
      </c>
      <c r="W468" s="3">
        <v>45512</v>
      </c>
      <c r="X468" s="2" t="b">
        <v>1</v>
      </c>
      <c r="Y468" s="2" t="b">
        <v>1</v>
      </c>
      <c r="Z468" s="2" t="s">
        <v>52</v>
      </c>
      <c r="AA468" s="2" t="s">
        <v>41</v>
      </c>
      <c r="AB468" s="2">
        <v>12</v>
      </c>
      <c r="AC468" s="2">
        <f>SUMIF(N:N,Ecommerce_Consumer_Behavior_Analysis_Data3[[#This Row],[Brand_Loyalty]],M:M)</f>
        <v>597</v>
      </c>
      <c r="AD468" s="2" t="e" cm="1" vm="1">
        <f t="array" aca="1" ref="AD468" ca="1">SUMIFS(Y:Y,Ecommerce_Consumer_Behavior_Analysis_Data3[[#This Row],[Payment_Method]],V:V)</f>
        <v>#VALUE!</v>
      </c>
      <c r="AE468" s="2">
        <f t="shared" si="11"/>
        <v>101.31</v>
      </c>
    </row>
    <row r="469" spans="1:31" x14ac:dyDescent="0.25">
      <c r="A469" s="2" t="s">
        <v>1017</v>
      </c>
      <c r="B469" s="2">
        <v>34</v>
      </c>
      <c r="C469" s="2" t="s">
        <v>29</v>
      </c>
      <c r="D469" s="2" t="s">
        <v>44</v>
      </c>
      <c r="E469" s="2" t="s">
        <v>69</v>
      </c>
      <c r="F469" s="2" t="s">
        <v>56</v>
      </c>
      <c r="G469" s="2" t="s">
        <v>44</v>
      </c>
      <c r="H469" s="2" t="s">
        <v>1018</v>
      </c>
      <c r="I469" s="2" t="s">
        <v>104</v>
      </c>
      <c r="J469" s="2">
        <v>402.86</v>
      </c>
      <c r="K469" s="2">
        <v>11</v>
      </c>
      <c r="L469" s="2" t="s">
        <v>48</v>
      </c>
      <c r="M469" s="2">
        <v>3</v>
      </c>
      <c r="N469" s="2">
        <v>5</v>
      </c>
      <c r="O469" s="2">
        <v>1</v>
      </c>
      <c r="P469" s="2" t="s">
        <v>44</v>
      </c>
      <c r="Q469" s="2" t="s">
        <v>50</v>
      </c>
      <c r="R469" s="2">
        <v>0</v>
      </c>
      <c r="S469" s="2">
        <v>2</v>
      </c>
      <c r="T469" s="2" t="s">
        <v>36</v>
      </c>
      <c r="U469" s="2" t="s">
        <v>79</v>
      </c>
      <c r="V469" s="2" t="s">
        <v>86</v>
      </c>
      <c r="W469" s="3">
        <v>45540</v>
      </c>
      <c r="X469" s="2" t="b">
        <v>0</v>
      </c>
      <c r="Y469" s="2" t="b">
        <v>0</v>
      </c>
      <c r="Z469" s="2" t="s">
        <v>62</v>
      </c>
      <c r="AA469" s="2" t="s">
        <v>53</v>
      </c>
      <c r="AB469" s="2">
        <v>8</v>
      </c>
      <c r="AC469" s="2">
        <f>SUMIF(N:N,Ecommerce_Consumer_Behavior_Analysis_Data3[[#This Row],[Brand_Loyalty]],M:M)</f>
        <v>597</v>
      </c>
      <c r="AD469" s="2" t="e" cm="1" vm="1">
        <f t="array" aca="1" ref="AD469" ca="1">SUMIFS(Y:Y,Ecommerce_Consumer_Behavior_Analysis_Data3[[#This Row],[Payment_Method]],V:V)</f>
        <v>#VALUE!</v>
      </c>
      <c r="AE469" s="2">
        <f t="shared" si="11"/>
        <v>211.7</v>
      </c>
    </row>
    <row r="470" spans="1:31" x14ac:dyDescent="0.25">
      <c r="A470" s="2" t="s">
        <v>1019</v>
      </c>
      <c r="B470" s="2">
        <v>42</v>
      </c>
      <c r="C470" s="2" t="s">
        <v>43</v>
      </c>
      <c r="D470" s="2" t="s">
        <v>44</v>
      </c>
      <c r="E470" s="2" t="s">
        <v>55</v>
      </c>
      <c r="F470" s="2" t="s">
        <v>32</v>
      </c>
      <c r="G470" s="2" t="s">
        <v>30</v>
      </c>
      <c r="H470" s="2" t="s">
        <v>1020</v>
      </c>
      <c r="I470" s="2" t="s">
        <v>34</v>
      </c>
      <c r="J470" s="2">
        <v>333.18</v>
      </c>
      <c r="K470" s="2">
        <v>6</v>
      </c>
      <c r="L470" s="2" t="s">
        <v>48</v>
      </c>
      <c r="M470" s="2">
        <v>1</v>
      </c>
      <c r="N470" s="2">
        <v>1</v>
      </c>
      <c r="O470" s="2">
        <v>0</v>
      </c>
      <c r="P470" s="2" t="s">
        <v>49</v>
      </c>
      <c r="Q470" s="2" t="s">
        <v>85</v>
      </c>
      <c r="R470" s="2">
        <v>2</v>
      </c>
      <c r="S470" s="2">
        <v>5</v>
      </c>
      <c r="T470" s="2" t="s">
        <v>59</v>
      </c>
      <c r="U470" s="2" t="s">
        <v>60</v>
      </c>
      <c r="V470" s="2" t="s">
        <v>66</v>
      </c>
      <c r="W470" s="3">
        <v>45398</v>
      </c>
      <c r="X470" s="2" t="b">
        <v>1</v>
      </c>
      <c r="Y470" s="2" t="b">
        <v>0</v>
      </c>
      <c r="Z470" s="2" t="s">
        <v>74</v>
      </c>
      <c r="AA470" s="2" t="s">
        <v>67</v>
      </c>
      <c r="AB470" s="2">
        <v>8</v>
      </c>
      <c r="AC470" s="2">
        <f>SUMIF(N:N,Ecommerce_Consumer_Behavior_Analysis_Data3[[#This Row],[Brand_Loyalty]],M:M)</f>
        <v>603</v>
      </c>
      <c r="AD470" s="2" t="e" cm="1" vm="1">
        <f t="array" aca="1" ref="AD470" ca="1">SUMIFS(Y:Y,Ecommerce_Consumer_Behavior_Analysis_Data3[[#This Row],[Payment_Method]],V:V)</f>
        <v>#VALUE!</v>
      </c>
      <c r="AE470" s="2">
        <f t="shared" si="11"/>
        <v>333.8</v>
      </c>
    </row>
    <row r="471" spans="1:31" x14ac:dyDescent="0.25">
      <c r="A471" s="2" t="s">
        <v>1021</v>
      </c>
      <c r="B471" s="2">
        <v>28</v>
      </c>
      <c r="C471" s="2" t="s">
        <v>29</v>
      </c>
      <c r="D471" s="2" t="s">
        <v>44</v>
      </c>
      <c r="E471" s="2" t="s">
        <v>69</v>
      </c>
      <c r="F471" s="2" t="s">
        <v>56</v>
      </c>
      <c r="G471" s="2" t="s">
        <v>30</v>
      </c>
      <c r="H471" s="2" t="s">
        <v>1022</v>
      </c>
      <c r="I471" s="2" t="s">
        <v>135</v>
      </c>
      <c r="J471" s="2">
        <v>73.23</v>
      </c>
      <c r="K471" s="2">
        <v>8</v>
      </c>
      <c r="L471" s="2" t="s">
        <v>78</v>
      </c>
      <c r="M471" s="2">
        <v>2</v>
      </c>
      <c r="N471" s="2">
        <v>2</v>
      </c>
      <c r="O471" s="2">
        <v>2</v>
      </c>
      <c r="P471" s="2" t="s">
        <v>59</v>
      </c>
      <c r="Q471" s="2" t="s">
        <v>85</v>
      </c>
      <c r="R471" s="2">
        <v>1</v>
      </c>
      <c r="S471" s="2">
        <v>2</v>
      </c>
      <c r="T471" s="2" t="s">
        <v>59</v>
      </c>
      <c r="U471" s="2" t="s">
        <v>60</v>
      </c>
      <c r="V471" s="2" t="s">
        <v>39</v>
      </c>
      <c r="W471" s="3">
        <v>45490</v>
      </c>
      <c r="X471" s="2" t="b">
        <v>1</v>
      </c>
      <c r="Y471" s="2" t="b">
        <v>1</v>
      </c>
      <c r="Z471" s="2" t="s">
        <v>40</v>
      </c>
      <c r="AA471" s="2" t="s">
        <v>41</v>
      </c>
      <c r="AB471" s="2">
        <v>6</v>
      </c>
      <c r="AC471" s="2">
        <f>SUMIF(N:N,Ecommerce_Consumer_Behavior_Analysis_Data3[[#This Row],[Brand_Loyalty]],M:M)</f>
        <v>582</v>
      </c>
      <c r="AD471" s="2" t="e" cm="1" vm="1">
        <f t="array" aca="1" ref="AD471" ca="1">SUMIFS(Y:Y,Ecommerce_Consumer_Behavior_Analysis_Data3[[#This Row],[Payment_Method]],V:V)</f>
        <v>#VALUE!</v>
      </c>
      <c r="AE471" s="2">
        <f t="shared" si="11"/>
        <v>333.8</v>
      </c>
    </row>
    <row r="472" spans="1:31" x14ac:dyDescent="0.25">
      <c r="A472" s="2" t="s">
        <v>1023</v>
      </c>
      <c r="B472" s="2">
        <v>28</v>
      </c>
      <c r="C472" s="2" t="s">
        <v>43</v>
      </c>
      <c r="D472" s="2" t="s">
        <v>44</v>
      </c>
      <c r="E472" s="2" t="s">
        <v>76</v>
      </c>
      <c r="F472" s="2" t="s">
        <v>56</v>
      </c>
      <c r="G472" s="2" t="s">
        <v>30</v>
      </c>
      <c r="H472" s="2" t="s">
        <v>1024</v>
      </c>
      <c r="I472" s="2" t="s">
        <v>71</v>
      </c>
      <c r="J472" s="2">
        <v>450.47</v>
      </c>
      <c r="K472" s="2">
        <v>11</v>
      </c>
      <c r="L472" s="2" t="s">
        <v>78</v>
      </c>
      <c r="M472" s="2">
        <v>5</v>
      </c>
      <c r="N472" s="2">
        <v>2</v>
      </c>
      <c r="O472" s="2">
        <v>2</v>
      </c>
      <c r="P472" s="2" t="s">
        <v>36</v>
      </c>
      <c r="Q472" s="2" t="s">
        <v>50</v>
      </c>
      <c r="R472" s="2">
        <v>2</v>
      </c>
      <c r="S472" s="2">
        <v>3</v>
      </c>
      <c r="T472" s="2" t="s">
        <v>36</v>
      </c>
      <c r="U472" s="2" t="s">
        <v>60</v>
      </c>
      <c r="V472" s="2" t="s">
        <v>39</v>
      </c>
      <c r="W472" s="3">
        <v>45369</v>
      </c>
      <c r="X472" s="2" t="b">
        <v>1</v>
      </c>
      <c r="Y472" s="2" t="b">
        <v>1</v>
      </c>
      <c r="Z472" s="2" t="s">
        <v>52</v>
      </c>
      <c r="AA472" s="2" t="s">
        <v>67</v>
      </c>
      <c r="AB472" s="2">
        <v>10</v>
      </c>
      <c r="AC472" s="2">
        <f>SUMIF(N:N,Ecommerce_Consumer_Behavior_Analysis_Data3[[#This Row],[Brand_Loyalty]],M:M)</f>
        <v>641</v>
      </c>
      <c r="AD472" s="2" t="e" cm="1" vm="1">
        <f t="array" aca="1" ref="AD472" ca="1">SUMIFS(Y:Y,Ecommerce_Consumer_Behavior_Analysis_Data3[[#This Row],[Payment_Method]],V:V)</f>
        <v>#VALUE!</v>
      </c>
      <c r="AE472" s="2">
        <f t="shared" si="11"/>
        <v>101.31</v>
      </c>
    </row>
    <row r="473" spans="1:31" x14ac:dyDescent="0.25">
      <c r="A473" s="2" t="s">
        <v>1025</v>
      </c>
      <c r="B473" s="2">
        <v>33</v>
      </c>
      <c r="C473" s="2" t="s">
        <v>43</v>
      </c>
      <c r="D473" s="2" t="s">
        <v>30</v>
      </c>
      <c r="E473" s="2" t="s">
        <v>55</v>
      </c>
      <c r="F473" s="2" t="s">
        <v>45</v>
      </c>
      <c r="G473" s="2" t="s">
        <v>44</v>
      </c>
      <c r="H473" s="2" t="s">
        <v>1026</v>
      </c>
      <c r="I473" s="2" t="s">
        <v>47</v>
      </c>
      <c r="J473" s="2">
        <v>175.74</v>
      </c>
      <c r="K473" s="2">
        <v>5</v>
      </c>
      <c r="L473" s="2" t="s">
        <v>78</v>
      </c>
      <c r="M473" s="2">
        <v>5</v>
      </c>
      <c r="N473" s="2">
        <v>4</v>
      </c>
      <c r="O473" s="2">
        <v>1</v>
      </c>
      <c r="P473" s="2" t="s">
        <v>49</v>
      </c>
      <c r="Q473" s="2" t="s">
        <v>50</v>
      </c>
      <c r="R473" s="2">
        <v>0</v>
      </c>
      <c r="S473" s="2">
        <v>6</v>
      </c>
      <c r="T473" s="2" t="s">
        <v>36</v>
      </c>
      <c r="U473" s="2" t="s">
        <v>38</v>
      </c>
      <c r="V473" s="2" t="s">
        <v>86</v>
      </c>
      <c r="W473" s="3">
        <v>45491</v>
      </c>
      <c r="X473" s="2" t="b">
        <v>0</v>
      </c>
      <c r="Y473" s="2" t="b">
        <v>1</v>
      </c>
      <c r="Z473" s="2" t="s">
        <v>62</v>
      </c>
      <c r="AA473" s="2" t="s">
        <v>41</v>
      </c>
      <c r="AB473" s="2">
        <v>6</v>
      </c>
      <c r="AC473" s="2">
        <f>SUMIF(N:N,Ecommerce_Consumer_Behavior_Analysis_Data3[[#This Row],[Brand_Loyalty]],M:M)</f>
        <v>641</v>
      </c>
      <c r="AD473" s="2" t="e" cm="1" vm="1">
        <f t="array" aca="1" ref="AD473" ca="1">SUMIFS(Y:Y,Ecommerce_Consumer_Behavior_Analysis_Data3[[#This Row],[Payment_Method]],V:V)</f>
        <v>#VALUE!</v>
      </c>
      <c r="AE473" s="2">
        <f t="shared" si="11"/>
        <v>426.22</v>
      </c>
    </row>
    <row r="474" spans="1:31" x14ac:dyDescent="0.25">
      <c r="A474" s="2" t="s">
        <v>1027</v>
      </c>
      <c r="B474" s="2">
        <v>31</v>
      </c>
      <c r="C474" s="2" t="s">
        <v>29</v>
      </c>
      <c r="D474" s="2" t="s">
        <v>30</v>
      </c>
      <c r="E474" s="2" t="s">
        <v>55</v>
      </c>
      <c r="F474" s="2" t="s">
        <v>56</v>
      </c>
      <c r="G474" s="2" t="s">
        <v>44</v>
      </c>
      <c r="H474" s="2" t="s">
        <v>1028</v>
      </c>
      <c r="I474" s="2" t="s">
        <v>107</v>
      </c>
      <c r="J474" s="2">
        <v>182.6</v>
      </c>
      <c r="K474" s="2">
        <v>4</v>
      </c>
      <c r="L474" s="2" t="s">
        <v>78</v>
      </c>
      <c r="M474" s="2">
        <v>5</v>
      </c>
      <c r="N474" s="2">
        <v>2</v>
      </c>
      <c r="O474" s="2">
        <v>0.3</v>
      </c>
      <c r="P474" s="2" t="s">
        <v>59</v>
      </c>
      <c r="Q474" s="2" t="s">
        <v>50</v>
      </c>
      <c r="R474" s="2">
        <v>2</v>
      </c>
      <c r="S474" s="2">
        <v>9</v>
      </c>
      <c r="T474" s="2" t="s">
        <v>44</v>
      </c>
      <c r="U474" s="2" t="s">
        <v>38</v>
      </c>
      <c r="V474" s="2" t="s">
        <v>51</v>
      </c>
      <c r="W474" s="3">
        <v>45443</v>
      </c>
      <c r="X474" s="2" t="b">
        <v>0</v>
      </c>
      <c r="Y474" s="2" t="b">
        <v>1</v>
      </c>
      <c r="Z474" s="2" t="s">
        <v>52</v>
      </c>
      <c r="AA474" s="2" t="s">
        <v>67</v>
      </c>
      <c r="AB474" s="2">
        <v>5</v>
      </c>
      <c r="AC474" s="2">
        <f>SUMIF(N:N,Ecommerce_Consumer_Behavior_Analysis_Data3[[#This Row],[Brand_Loyalty]],M:M)</f>
        <v>641</v>
      </c>
      <c r="AD474" s="2" t="e" cm="1" vm="1">
        <f t="array" aca="1" ref="AD474" ca="1">SUMIFS(Y:Y,Ecommerce_Consumer_Behavior_Analysis_Data3[[#This Row],[Payment_Method]],V:V)</f>
        <v>#VALUE!</v>
      </c>
      <c r="AE474" s="2">
        <f t="shared" si="11"/>
        <v>497.8</v>
      </c>
    </row>
    <row r="475" spans="1:31" x14ac:dyDescent="0.25">
      <c r="A475" s="2" t="s">
        <v>1029</v>
      </c>
      <c r="B475" s="2">
        <v>20</v>
      </c>
      <c r="C475" s="2" t="s">
        <v>29</v>
      </c>
      <c r="D475" s="2" t="s">
        <v>30</v>
      </c>
      <c r="E475" s="2" t="s">
        <v>69</v>
      </c>
      <c r="F475" s="2" t="s">
        <v>32</v>
      </c>
      <c r="G475" s="2" t="s">
        <v>44</v>
      </c>
      <c r="H475" s="2" t="s">
        <v>1030</v>
      </c>
      <c r="I475" s="2" t="s">
        <v>246</v>
      </c>
      <c r="J475" s="2">
        <v>497.8</v>
      </c>
      <c r="K475" s="2">
        <v>2</v>
      </c>
      <c r="L475" s="2" t="s">
        <v>78</v>
      </c>
      <c r="M475" s="2">
        <v>3</v>
      </c>
      <c r="N475" s="2">
        <v>5</v>
      </c>
      <c r="O475" s="2">
        <v>0.2</v>
      </c>
      <c r="P475" s="2" t="s">
        <v>44</v>
      </c>
      <c r="Q475" s="2" t="s">
        <v>37</v>
      </c>
      <c r="R475" s="2">
        <v>1</v>
      </c>
      <c r="S475" s="2">
        <v>2</v>
      </c>
      <c r="T475" s="2" t="s">
        <v>49</v>
      </c>
      <c r="U475" s="2" t="s">
        <v>60</v>
      </c>
      <c r="V475" s="2" t="s">
        <v>66</v>
      </c>
      <c r="W475" s="3">
        <v>45312</v>
      </c>
      <c r="X475" s="2" t="b">
        <v>1</v>
      </c>
      <c r="Y475" s="2" t="b">
        <v>0</v>
      </c>
      <c r="Z475" s="2" t="s">
        <v>52</v>
      </c>
      <c r="AA475" s="2" t="s">
        <v>41</v>
      </c>
      <c r="AB475" s="2">
        <v>9</v>
      </c>
      <c r="AC475" s="2">
        <f>SUMIF(N:N,Ecommerce_Consumer_Behavior_Analysis_Data3[[#This Row],[Brand_Loyalty]],M:M)</f>
        <v>597</v>
      </c>
      <c r="AD475" s="2" t="e" cm="1" vm="1">
        <f t="array" aca="1" ref="AD475" ca="1">SUMIFS(Y:Y,Ecommerce_Consumer_Behavior_Analysis_Data3[[#This Row],[Payment_Method]],V:V)</f>
        <v>#VALUE!</v>
      </c>
      <c r="AE475" s="2">
        <f t="shared" si="11"/>
        <v>211.7</v>
      </c>
    </row>
    <row r="476" spans="1:31" x14ac:dyDescent="0.25">
      <c r="A476" s="2" t="s">
        <v>1031</v>
      </c>
      <c r="B476" s="2">
        <v>32</v>
      </c>
      <c r="C476" s="2" t="s">
        <v>43</v>
      </c>
      <c r="D476" s="2" t="s">
        <v>44</v>
      </c>
      <c r="E476" s="2" t="s">
        <v>76</v>
      </c>
      <c r="F476" s="2" t="s">
        <v>45</v>
      </c>
      <c r="G476" s="2" t="s">
        <v>44</v>
      </c>
      <c r="H476" s="2" t="s">
        <v>1032</v>
      </c>
      <c r="I476" s="2" t="s">
        <v>47</v>
      </c>
      <c r="J476" s="2">
        <v>171.17</v>
      </c>
      <c r="K476" s="2">
        <v>4</v>
      </c>
      <c r="L476" s="2" t="s">
        <v>48</v>
      </c>
      <c r="M476" s="2">
        <v>1</v>
      </c>
      <c r="N476" s="2">
        <v>3</v>
      </c>
      <c r="O476" s="2">
        <v>0</v>
      </c>
      <c r="P476" s="2" t="s">
        <v>44</v>
      </c>
      <c r="Q476" s="2" t="s">
        <v>37</v>
      </c>
      <c r="R476" s="2">
        <v>0</v>
      </c>
      <c r="S476" s="2">
        <v>4</v>
      </c>
      <c r="T476" s="2" t="s">
        <v>49</v>
      </c>
      <c r="U476" s="2" t="s">
        <v>79</v>
      </c>
      <c r="V476" s="2" t="s">
        <v>61</v>
      </c>
      <c r="W476" s="3">
        <v>45458</v>
      </c>
      <c r="X476" s="2" t="b">
        <v>0</v>
      </c>
      <c r="Y476" s="2" t="b">
        <v>1</v>
      </c>
      <c r="Z476" s="2" t="s">
        <v>52</v>
      </c>
      <c r="AA476" s="2" t="s">
        <v>53</v>
      </c>
      <c r="AB476" s="2">
        <v>12</v>
      </c>
      <c r="AC476" s="2">
        <f>SUMIF(N:N,Ecommerce_Consumer_Behavior_Analysis_Data3[[#This Row],[Brand_Loyalty]],M:M)</f>
        <v>603</v>
      </c>
      <c r="AD476" s="2" t="e" cm="1" vm="1">
        <f t="array" aca="1" ref="AD476" ca="1">SUMIFS(Y:Y,Ecommerce_Consumer_Behavior_Analysis_Data3[[#This Row],[Payment_Method]],V:V)</f>
        <v>#VALUE!</v>
      </c>
      <c r="AE476" s="2">
        <f t="shared" si="11"/>
        <v>101.31</v>
      </c>
    </row>
    <row r="477" spans="1:31" x14ac:dyDescent="0.25">
      <c r="A477" s="2" t="s">
        <v>1033</v>
      </c>
      <c r="B477" s="2">
        <v>27</v>
      </c>
      <c r="C477" s="2" t="s">
        <v>29</v>
      </c>
      <c r="D477" s="2" t="s">
        <v>30</v>
      </c>
      <c r="E477" s="2" t="s">
        <v>55</v>
      </c>
      <c r="F477" s="2" t="s">
        <v>32</v>
      </c>
      <c r="G477" s="2" t="s">
        <v>44</v>
      </c>
      <c r="H477" s="2" t="s">
        <v>1034</v>
      </c>
      <c r="I477" s="2" t="s">
        <v>246</v>
      </c>
      <c r="J477" s="2">
        <v>425.82</v>
      </c>
      <c r="K477" s="2">
        <v>3</v>
      </c>
      <c r="L477" s="2" t="s">
        <v>48</v>
      </c>
      <c r="M477" s="2">
        <v>4</v>
      </c>
      <c r="N477" s="2">
        <v>5</v>
      </c>
      <c r="O477" s="2">
        <v>1</v>
      </c>
      <c r="P477" s="2" t="s">
        <v>59</v>
      </c>
      <c r="Q477" s="2" t="s">
        <v>50</v>
      </c>
      <c r="R477" s="2">
        <v>1</v>
      </c>
      <c r="S477" s="2">
        <v>6</v>
      </c>
      <c r="T477" s="2" t="s">
        <v>44</v>
      </c>
      <c r="U477" s="2" t="s">
        <v>60</v>
      </c>
      <c r="V477" s="2" t="s">
        <v>86</v>
      </c>
      <c r="W477" s="3">
        <v>45401</v>
      </c>
      <c r="X477" s="2" t="b">
        <v>1</v>
      </c>
      <c r="Y477" s="2" t="b">
        <v>1</v>
      </c>
      <c r="Z477" s="2" t="s">
        <v>52</v>
      </c>
      <c r="AA477" s="2" t="s">
        <v>53</v>
      </c>
      <c r="AB477" s="2">
        <v>11</v>
      </c>
      <c r="AC477" s="2">
        <f>SUMIF(N:N,Ecommerce_Consumer_Behavior_Analysis_Data3[[#This Row],[Brand_Loyalty]],M:M)</f>
        <v>603</v>
      </c>
      <c r="AD477" s="2" t="e" cm="1" vm="1">
        <f t="array" aca="1" ref="AD477" ca="1">SUMIFS(Y:Y,Ecommerce_Consumer_Behavior_Analysis_Data3[[#This Row],[Payment_Method]],V:V)</f>
        <v>#VALUE!</v>
      </c>
      <c r="AE477" s="2">
        <f t="shared" si="11"/>
        <v>333.8</v>
      </c>
    </row>
    <row r="478" spans="1:31" x14ac:dyDescent="0.25">
      <c r="A478" s="2" t="s">
        <v>1035</v>
      </c>
      <c r="B478" s="2">
        <v>19</v>
      </c>
      <c r="C478" s="2" t="s">
        <v>29</v>
      </c>
      <c r="D478" s="2" t="s">
        <v>30</v>
      </c>
      <c r="E478" s="2" t="s">
        <v>69</v>
      </c>
      <c r="F478" s="2" t="s">
        <v>32</v>
      </c>
      <c r="G478" s="2" t="s">
        <v>30</v>
      </c>
      <c r="H478" s="2" t="s">
        <v>1036</v>
      </c>
      <c r="I478" s="2" t="s">
        <v>90</v>
      </c>
      <c r="J478" s="2">
        <v>210.58</v>
      </c>
      <c r="K478" s="2">
        <v>10</v>
      </c>
      <c r="L478" s="2" t="s">
        <v>48</v>
      </c>
      <c r="M478" s="2">
        <v>5</v>
      </c>
      <c r="N478" s="2">
        <v>1</v>
      </c>
      <c r="O478" s="2">
        <v>2</v>
      </c>
      <c r="P478" s="2" t="s">
        <v>59</v>
      </c>
      <c r="Q478" s="2" t="s">
        <v>37</v>
      </c>
      <c r="R478" s="2">
        <v>1</v>
      </c>
      <c r="S478" s="2">
        <v>3</v>
      </c>
      <c r="T478" s="2" t="s">
        <v>59</v>
      </c>
      <c r="U478" s="2" t="s">
        <v>38</v>
      </c>
      <c r="V478" s="2" t="s">
        <v>61</v>
      </c>
      <c r="W478" s="3">
        <v>45547</v>
      </c>
      <c r="X478" s="2" t="b">
        <v>1</v>
      </c>
      <c r="Y478" s="2" t="b">
        <v>1</v>
      </c>
      <c r="Z478" s="2" t="s">
        <v>74</v>
      </c>
      <c r="AA478" s="2" t="s">
        <v>41</v>
      </c>
      <c r="AB478" s="2">
        <v>8</v>
      </c>
      <c r="AC478" s="2">
        <f>SUMIF(N:N,Ecommerce_Consumer_Behavior_Analysis_Data3[[#This Row],[Brand_Loyalty]],M:M)</f>
        <v>641</v>
      </c>
      <c r="AD478" s="2" t="e" cm="1" vm="1">
        <f t="array" aca="1" ref="AD478" ca="1">SUMIFS(Y:Y,Ecommerce_Consumer_Behavior_Analysis_Data3[[#This Row],[Payment_Method]],V:V)</f>
        <v>#VALUE!</v>
      </c>
      <c r="AE478" s="2">
        <f t="shared" si="11"/>
        <v>101.31</v>
      </c>
    </row>
    <row r="479" spans="1:31" x14ac:dyDescent="0.25">
      <c r="A479" s="2" t="s">
        <v>1037</v>
      </c>
      <c r="B479" s="2">
        <v>50</v>
      </c>
      <c r="C479" s="2" t="s">
        <v>43</v>
      </c>
      <c r="D479" s="2" t="s">
        <v>30</v>
      </c>
      <c r="E479" s="2" t="s">
        <v>55</v>
      </c>
      <c r="F479" s="2" t="s">
        <v>45</v>
      </c>
      <c r="G479" s="2" t="s">
        <v>30</v>
      </c>
      <c r="H479" s="2" t="s">
        <v>1038</v>
      </c>
      <c r="I479" s="2" t="s">
        <v>188</v>
      </c>
      <c r="J479" s="2">
        <v>199.64</v>
      </c>
      <c r="K479" s="2">
        <v>11</v>
      </c>
      <c r="L479" s="2" t="s">
        <v>78</v>
      </c>
      <c r="M479" s="2">
        <v>5</v>
      </c>
      <c r="N479" s="2">
        <v>4</v>
      </c>
      <c r="O479" s="2">
        <v>1</v>
      </c>
      <c r="P479" s="2" t="s">
        <v>44</v>
      </c>
      <c r="Q479" s="2" t="s">
        <v>37</v>
      </c>
      <c r="R479" s="2">
        <v>1</v>
      </c>
      <c r="S479" s="2">
        <v>5</v>
      </c>
      <c r="T479" s="2" t="s">
        <v>44</v>
      </c>
      <c r="U479" s="2" t="s">
        <v>79</v>
      </c>
      <c r="V479" s="2" t="s">
        <v>51</v>
      </c>
      <c r="W479" s="3">
        <v>45539</v>
      </c>
      <c r="X479" s="2" t="b">
        <v>0</v>
      </c>
      <c r="Y479" s="2" t="b">
        <v>1</v>
      </c>
      <c r="Z479" s="2" t="s">
        <v>74</v>
      </c>
      <c r="AA479" s="2" t="s">
        <v>67</v>
      </c>
      <c r="AB479" s="2">
        <v>8</v>
      </c>
      <c r="AC479" s="2">
        <f>SUMIF(N:N,Ecommerce_Consumer_Behavior_Analysis_Data3[[#This Row],[Brand_Loyalty]],M:M)</f>
        <v>641</v>
      </c>
      <c r="AD479" s="2" t="e" cm="1" vm="1">
        <f t="array" aca="1" ref="AD479" ca="1">SUMIFS(Y:Y,Ecommerce_Consumer_Behavior_Analysis_Data3[[#This Row],[Payment_Method]],V:V)</f>
        <v>#VALUE!</v>
      </c>
      <c r="AE479" s="2">
        <f t="shared" si="11"/>
        <v>497.8</v>
      </c>
    </row>
    <row r="480" spans="1:31" x14ac:dyDescent="0.25">
      <c r="A480" s="2" t="s">
        <v>1039</v>
      </c>
      <c r="B480" s="2">
        <v>40</v>
      </c>
      <c r="C480" s="2" t="s">
        <v>212</v>
      </c>
      <c r="D480" s="2" t="s">
        <v>44</v>
      </c>
      <c r="E480" s="2" t="s">
        <v>31</v>
      </c>
      <c r="F480" s="2" t="s">
        <v>32</v>
      </c>
      <c r="G480" s="2" t="s">
        <v>30</v>
      </c>
      <c r="H480" s="2" t="s">
        <v>1040</v>
      </c>
      <c r="I480" s="2" t="s">
        <v>114</v>
      </c>
      <c r="J480" s="2">
        <v>162.22</v>
      </c>
      <c r="K480" s="2">
        <v>10</v>
      </c>
      <c r="L480" s="2" t="s">
        <v>48</v>
      </c>
      <c r="M480" s="2">
        <v>5</v>
      </c>
      <c r="N480" s="2">
        <v>5</v>
      </c>
      <c r="O480" s="2">
        <v>0.2</v>
      </c>
      <c r="P480" s="2" t="s">
        <v>44</v>
      </c>
      <c r="Q480" s="2" t="s">
        <v>37</v>
      </c>
      <c r="R480" s="2">
        <v>1</v>
      </c>
      <c r="S480" s="2">
        <v>1</v>
      </c>
      <c r="T480" s="2" t="s">
        <v>49</v>
      </c>
      <c r="U480" s="2" t="s">
        <v>79</v>
      </c>
      <c r="V480" s="2" t="s">
        <v>66</v>
      </c>
      <c r="W480" s="3">
        <v>45410</v>
      </c>
      <c r="X480" s="2" t="b">
        <v>1</v>
      </c>
      <c r="Y480" s="2" t="b">
        <v>1</v>
      </c>
      <c r="Z480" s="2" t="s">
        <v>52</v>
      </c>
      <c r="AA480" s="2" t="s">
        <v>41</v>
      </c>
      <c r="AB480" s="2">
        <v>8</v>
      </c>
      <c r="AC480" s="2">
        <f>SUMIF(N:N,Ecommerce_Consumer_Behavior_Analysis_Data3[[#This Row],[Brand_Loyalty]],M:M)</f>
        <v>641</v>
      </c>
      <c r="AD480" s="2" t="e" cm="1" vm="1">
        <f t="array" aca="1" ref="AD480" ca="1">SUMIFS(Y:Y,Ecommerce_Consumer_Behavior_Analysis_Data3[[#This Row],[Payment_Method]],V:V)</f>
        <v>#VALUE!</v>
      </c>
      <c r="AE480" s="2">
        <f t="shared" si="11"/>
        <v>426.22</v>
      </c>
    </row>
    <row r="481" spans="1:31" x14ac:dyDescent="0.25">
      <c r="A481" s="2" t="s">
        <v>1041</v>
      </c>
      <c r="B481" s="2">
        <v>20</v>
      </c>
      <c r="C481" s="2" t="s">
        <v>43</v>
      </c>
      <c r="D481" s="2" t="s">
        <v>44</v>
      </c>
      <c r="E481" s="2" t="s">
        <v>31</v>
      </c>
      <c r="F481" s="2" t="s">
        <v>32</v>
      </c>
      <c r="G481" s="2" t="s">
        <v>44</v>
      </c>
      <c r="H481" s="2" t="s">
        <v>1042</v>
      </c>
      <c r="I481" s="2" t="s">
        <v>90</v>
      </c>
      <c r="J481" s="2">
        <v>401.75</v>
      </c>
      <c r="K481" s="2">
        <v>8</v>
      </c>
      <c r="L481" s="2" t="s">
        <v>78</v>
      </c>
      <c r="M481" s="2">
        <v>3</v>
      </c>
      <c r="N481" s="2">
        <v>4</v>
      </c>
      <c r="O481" s="2">
        <v>0.3</v>
      </c>
      <c r="P481" s="2" t="s">
        <v>36</v>
      </c>
      <c r="Q481" s="2" t="s">
        <v>37</v>
      </c>
      <c r="R481" s="2">
        <v>1</v>
      </c>
      <c r="S481" s="2">
        <v>8</v>
      </c>
      <c r="T481" s="2" t="s">
        <v>44</v>
      </c>
      <c r="U481" s="2" t="s">
        <v>60</v>
      </c>
      <c r="V481" s="2" t="s">
        <v>51</v>
      </c>
      <c r="W481" s="3">
        <v>45634</v>
      </c>
      <c r="X481" s="2" t="b">
        <v>0</v>
      </c>
      <c r="Y481" s="2" t="b">
        <v>1</v>
      </c>
      <c r="Z481" s="2" t="s">
        <v>52</v>
      </c>
      <c r="AA481" s="2" t="s">
        <v>53</v>
      </c>
      <c r="AB481" s="2">
        <v>6</v>
      </c>
      <c r="AC481" s="2">
        <f>SUMIF(N:N,Ecommerce_Consumer_Behavior_Analysis_Data3[[#This Row],[Brand_Loyalty]],M:M)</f>
        <v>597</v>
      </c>
      <c r="AD481" s="2" t="e" cm="1" vm="1">
        <f t="array" aca="1" ref="AD481" ca="1">SUMIFS(Y:Y,Ecommerce_Consumer_Behavior_Analysis_Data3[[#This Row],[Payment_Method]],V:V)</f>
        <v>#VALUE!</v>
      </c>
      <c r="AE481" s="2">
        <f t="shared" si="11"/>
        <v>333.8</v>
      </c>
    </row>
    <row r="482" spans="1:31" x14ac:dyDescent="0.25">
      <c r="A482" s="2" t="s">
        <v>1043</v>
      </c>
      <c r="B482" s="2">
        <v>24</v>
      </c>
      <c r="C482" s="2" t="s">
        <v>29</v>
      </c>
      <c r="D482" s="2" t="s">
        <v>30</v>
      </c>
      <c r="E482" s="2" t="s">
        <v>31</v>
      </c>
      <c r="F482" s="2" t="s">
        <v>56</v>
      </c>
      <c r="G482" s="2" t="s">
        <v>30</v>
      </c>
      <c r="H482" s="2" t="s">
        <v>1044</v>
      </c>
      <c r="I482" s="2" t="s">
        <v>98</v>
      </c>
      <c r="J482" s="2">
        <v>365.88</v>
      </c>
      <c r="K482" s="2">
        <v>12</v>
      </c>
      <c r="L482" s="2" t="s">
        <v>78</v>
      </c>
      <c r="M482" s="2">
        <v>3</v>
      </c>
      <c r="N482" s="2">
        <v>3</v>
      </c>
      <c r="O482" s="2">
        <v>2</v>
      </c>
      <c r="P482" s="2" t="s">
        <v>49</v>
      </c>
      <c r="Q482" s="2" t="s">
        <v>85</v>
      </c>
      <c r="R482" s="2">
        <v>0</v>
      </c>
      <c r="S482" s="2">
        <v>9</v>
      </c>
      <c r="T482" s="2" t="s">
        <v>44</v>
      </c>
      <c r="U482" s="2" t="s">
        <v>60</v>
      </c>
      <c r="V482" s="2" t="s">
        <v>66</v>
      </c>
      <c r="W482" s="3">
        <v>45601</v>
      </c>
      <c r="X482" s="2" t="b">
        <v>1</v>
      </c>
      <c r="Y482" s="2" t="b">
        <v>0</v>
      </c>
      <c r="Z482" s="2" t="s">
        <v>40</v>
      </c>
      <c r="AA482" s="2" t="s">
        <v>67</v>
      </c>
      <c r="AB482" s="2">
        <v>7</v>
      </c>
      <c r="AC482" s="2">
        <f>SUMIF(N:N,Ecommerce_Consumer_Behavior_Analysis_Data3[[#This Row],[Brand_Loyalty]],M:M)</f>
        <v>597</v>
      </c>
      <c r="AD482" s="2" t="e" cm="1" vm="1">
        <f t="array" aca="1" ref="AD482" ca="1">SUMIFS(Y:Y,Ecommerce_Consumer_Behavior_Analysis_Data3[[#This Row],[Payment_Method]],V:V)</f>
        <v>#VALUE!</v>
      </c>
      <c r="AE482" s="2">
        <f t="shared" si="11"/>
        <v>333.8</v>
      </c>
    </row>
    <row r="483" spans="1:31" x14ac:dyDescent="0.25">
      <c r="A483" s="2" t="s">
        <v>1045</v>
      </c>
      <c r="B483" s="2">
        <v>46</v>
      </c>
      <c r="C483" s="2" t="s">
        <v>43</v>
      </c>
      <c r="D483" s="2" t="s">
        <v>30</v>
      </c>
      <c r="E483" s="2" t="s">
        <v>55</v>
      </c>
      <c r="F483" s="2" t="s">
        <v>45</v>
      </c>
      <c r="G483" s="2" t="s">
        <v>30</v>
      </c>
      <c r="H483" s="2" t="s">
        <v>1046</v>
      </c>
      <c r="I483" s="2" t="s">
        <v>188</v>
      </c>
      <c r="J483" s="2">
        <v>58.29</v>
      </c>
      <c r="K483" s="2">
        <v>6</v>
      </c>
      <c r="L483" s="2" t="s">
        <v>35</v>
      </c>
      <c r="M483" s="2">
        <v>2</v>
      </c>
      <c r="N483" s="2">
        <v>3</v>
      </c>
      <c r="O483" s="2">
        <v>2</v>
      </c>
      <c r="P483" s="2" t="s">
        <v>49</v>
      </c>
      <c r="Q483" s="2" t="s">
        <v>37</v>
      </c>
      <c r="R483" s="2">
        <v>1</v>
      </c>
      <c r="S483" s="2">
        <v>7</v>
      </c>
      <c r="T483" s="2" t="s">
        <v>59</v>
      </c>
      <c r="U483" s="2" t="s">
        <v>38</v>
      </c>
      <c r="V483" s="2" t="s">
        <v>66</v>
      </c>
      <c r="W483" s="3">
        <v>45335</v>
      </c>
      <c r="X483" s="2" t="b">
        <v>0</v>
      </c>
      <c r="Y483" s="2" t="b">
        <v>1</v>
      </c>
      <c r="Z483" s="2" t="s">
        <v>62</v>
      </c>
      <c r="AA483" s="2" t="s">
        <v>53</v>
      </c>
      <c r="AB483" s="2">
        <v>14</v>
      </c>
      <c r="AC483" s="2">
        <f>SUMIF(N:N,Ecommerce_Consumer_Behavior_Analysis_Data3[[#This Row],[Brand_Loyalty]],M:M)</f>
        <v>582</v>
      </c>
      <c r="AD483" s="2" t="e" cm="1" vm="1">
        <f t="array" aca="1" ref="AD483" ca="1">SUMIFS(Y:Y,Ecommerce_Consumer_Behavior_Analysis_Data3[[#This Row],[Payment_Method]],V:V)</f>
        <v>#VALUE!</v>
      </c>
      <c r="AE483" s="2">
        <f t="shared" si="11"/>
        <v>101.31</v>
      </c>
    </row>
    <row r="484" spans="1:31" x14ac:dyDescent="0.25">
      <c r="A484" s="2" t="s">
        <v>1047</v>
      </c>
      <c r="B484" s="2">
        <v>50</v>
      </c>
      <c r="C484" s="2" t="s">
        <v>43</v>
      </c>
      <c r="D484" s="2" t="s">
        <v>44</v>
      </c>
      <c r="E484" s="2" t="s">
        <v>31</v>
      </c>
      <c r="F484" s="2" t="s">
        <v>56</v>
      </c>
      <c r="G484" s="2" t="s">
        <v>44</v>
      </c>
      <c r="H484" s="2" t="s">
        <v>64</v>
      </c>
      <c r="I484" s="2" t="s">
        <v>142</v>
      </c>
      <c r="J484" s="2">
        <v>66.86</v>
      </c>
      <c r="K484" s="2">
        <v>3</v>
      </c>
      <c r="L484" s="2" t="s">
        <v>35</v>
      </c>
      <c r="M484" s="2">
        <v>1</v>
      </c>
      <c r="N484" s="2">
        <v>1</v>
      </c>
      <c r="O484" s="2">
        <v>1</v>
      </c>
      <c r="P484" s="2" t="s">
        <v>49</v>
      </c>
      <c r="Q484" s="2" t="s">
        <v>85</v>
      </c>
      <c r="R484" s="2">
        <v>0</v>
      </c>
      <c r="S484" s="2">
        <v>10</v>
      </c>
      <c r="T484" s="2" t="s">
        <v>49</v>
      </c>
      <c r="U484" s="2" t="s">
        <v>79</v>
      </c>
      <c r="V484" s="2" t="s">
        <v>66</v>
      </c>
      <c r="W484" s="3">
        <v>45316</v>
      </c>
      <c r="X484" s="2" t="b">
        <v>1</v>
      </c>
      <c r="Y484" s="2" t="b">
        <v>1</v>
      </c>
      <c r="Z484" s="2" t="s">
        <v>52</v>
      </c>
      <c r="AA484" s="2" t="s">
        <v>67</v>
      </c>
      <c r="AB484" s="2">
        <v>9</v>
      </c>
      <c r="AC484" s="2">
        <f>SUMIF(N:N,Ecommerce_Consumer_Behavior_Analysis_Data3[[#This Row],[Brand_Loyalty]],M:M)</f>
        <v>603</v>
      </c>
      <c r="AD484" s="2" t="e" cm="1" vm="1">
        <f t="array" aca="1" ref="AD484" ca="1">SUMIFS(Y:Y,Ecommerce_Consumer_Behavior_Analysis_Data3[[#This Row],[Payment_Method]],V:V)</f>
        <v>#VALUE!</v>
      </c>
      <c r="AE484" s="2">
        <f t="shared" si="11"/>
        <v>211.7</v>
      </c>
    </row>
    <row r="485" spans="1:31" x14ac:dyDescent="0.25">
      <c r="A485" s="2" t="s">
        <v>1048</v>
      </c>
      <c r="B485" s="2">
        <v>29</v>
      </c>
      <c r="C485" s="2" t="s">
        <v>29</v>
      </c>
      <c r="D485" s="2" t="s">
        <v>44</v>
      </c>
      <c r="E485" s="2" t="s">
        <v>55</v>
      </c>
      <c r="F485" s="2" t="s">
        <v>32</v>
      </c>
      <c r="G485" s="2" t="s">
        <v>30</v>
      </c>
      <c r="H485" s="2" t="s">
        <v>1049</v>
      </c>
      <c r="I485" s="2" t="s">
        <v>158</v>
      </c>
      <c r="J485" s="2">
        <v>279.33999999999997</v>
      </c>
      <c r="K485" s="2">
        <v>5</v>
      </c>
      <c r="L485" s="2" t="s">
        <v>35</v>
      </c>
      <c r="M485" s="2">
        <v>3</v>
      </c>
      <c r="N485" s="2">
        <v>1</v>
      </c>
      <c r="O485" s="2">
        <v>0</v>
      </c>
      <c r="P485" s="2" t="s">
        <v>49</v>
      </c>
      <c r="Q485" s="2" t="s">
        <v>85</v>
      </c>
      <c r="R485" s="2">
        <v>2</v>
      </c>
      <c r="S485" s="2">
        <v>6</v>
      </c>
      <c r="T485" s="2" t="s">
        <v>59</v>
      </c>
      <c r="U485" s="2" t="s">
        <v>38</v>
      </c>
      <c r="V485" s="2" t="s">
        <v>51</v>
      </c>
      <c r="W485" s="3">
        <v>45526</v>
      </c>
      <c r="X485" s="2" t="b">
        <v>0</v>
      </c>
      <c r="Y485" s="2" t="b">
        <v>1</v>
      </c>
      <c r="Z485" s="2" t="s">
        <v>52</v>
      </c>
      <c r="AA485" s="2" t="s">
        <v>41</v>
      </c>
      <c r="AB485" s="2">
        <v>11</v>
      </c>
      <c r="AC485" s="2">
        <f>SUMIF(N:N,Ecommerce_Consumer_Behavior_Analysis_Data3[[#This Row],[Brand_Loyalty]],M:M)</f>
        <v>597</v>
      </c>
      <c r="AD485" s="2" t="e" cm="1" vm="1">
        <f t="array" aca="1" ref="AD485" ca="1">SUMIFS(Y:Y,Ecommerce_Consumer_Behavior_Analysis_Data3[[#This Row],[Payment_Method]],V:V)</f>
        <v>#VALUE!</v>
      </c>
      <c r="AE485" s="2">
        <f t="shared" si="11"/>
        <v>333.8</v>
      </c>
    </row>
    <row r="486" spans="1:31" x14ac:dyDescent="0.25">
      <c r="A486" s="2" t="s">
        <v>1050</v>
      </c>
      <c r="B486" s="2">
        <v>34</v>
      </c>
      <c r="C486" s="2" t="s">
        <v>148</v>
      </c>
      <c r="D486" s="2" t="s">
        <v>44</v>
      </c>
      <c r="E486" s="2" t="s">
        <v>76</v>
      </c>
      <c r="F486" s="2" t="s">
        <v>32</v>
      </c>
      <c r="G486" s="2" t="s">
        <v>44</v>
      </c>
      <c r="H486" s="2" t="s">
        <v>1051</v>
      </c>
      <c r="I486" s="2" t="s">
        <v>117</v>
      </c>
      <c r="J486" s="2">
        <v>358.5</v>
      </c>
      <c r="K486" s="2">
        <v>3</v>
      </c>
      <c r="L486" s="2" t="s">
        <v>78</v>
      </c>
      <c r="M486" s="2">
        <v>3</v>
      </c>
      <c r="N486" s="2">
        <v>4</v>
      </c>
      <c r="O486" s="2">
        <v>2</v>
      </c>
      <c r="P486" s="2" t="s">
        <v>49</v>
      </c>
      <c r="Q486" s="2" t="s">
        <v>85</v>
      </c>
      <c r="R486" s="2">
        <v>2</v>
      </c>
      <c r="S486" s="2">
        <v>3</v>
      </c>
      <c r="T486" s="2" t="s">
        <v>36</v>
      </c>
      <c r="U486" s="2" t="s">
        <v>38</v>
      </c>
      <c r="V486" s="2" t="s">
        <v>86</v>
      </c>
      <c r="W486" s="3">
        <v>45610</v>
      </c>
      <c r="X486" s="2" t="b">
        <v>0</v>
      </c>
      <c r="Y486" s="2" t="b">
        <v>1</v>
      </c>
      <c r="Z486" s="2" t="s">
        <v>62</v>
      </c>
      <c r="AA486" s="2" t="s">
        <v>53</v>
      </c>
      <c r="AB486" s="2">
        <v>8</v>
      </c>
      <c r="AC486" s="2">
        <f>SUMIF(N:N,Ecommerce_Consumer_Behavior_Analysis_Data3[[#This Row],[Brand_Loyalty]],M:M)</f>
        <v>597</v>
      </c>
      <c r="AD486" s="2" t="e" cm="1" vm="1">
        <f t="array" aca="1" ref="AD486" ca="1">SUMIFS(Y:Y,Ecommerce_Consumer_Behavior_Analysis_Data3[[#This Row],[Payment_Method]],V:V)</f>
        <v>#VALUE!</v>
      </c>
      <c r="AE486" s="2">
        <f t="shared" si="11"/>
        <v>333.8</v>
      </c>
    </row>
    <row r="487" spans="1:31" x14ac:dyDescent="0.25">
      <c r="A487" s="2" t="s">
        <v>1052</v>
      </c>
      <c r="B487" s="2">
        <v>44</v>
      </c>
      <c r="C487" s="2" t="s">
        <v>29</v>
      </c>
      <c r="D487" s="2" t="s">
        <v>44</v>
      </c>
      <c r="E487" s="2" t="s">
        <v>69</v>
      </c>
      <c r="F487" s="2" t="s">
        <v>32</v>
      </c>
      <c r="G487" s="2" t="s">
        <v>44</v>
      </c>
      <c r="H487" s="2" t="s">
        <v>1053</v>
      </c>
      <c r="I487" s="2" t="s">
        <v>246</v>
      </c>
      <c r="J487" s="2">
        <v>360.92</v>
      </c>
      <c r="K487" s="2">
        <v>7</v>
      </c>
      <c r="L487" s="2" t="s">
        <v>78</v>
      </c>
      <c r="M487" s="2">
        <v>2</v>
      </c>
      <c r="N487" s="2">
        <v>1</v>
      </c>
      <c r="O487" s="2">
        <v>2</v>
      </c>
      <c r="P487" s="2" t="s">
        <v>36</v>
      </c>
      <c r="Q487" s="2" t="s">
        <v>85</v>
      </c>
      <c r="R487" s="2">
        <v>0</v>
      </c>
      <c r="S487" s="2">
        <v>9</v>
      </c>
      <c r="T487" s="2" t="s">
        <v>59</v>
      </c>
      <c r="U487" s="2" t="s">
        <v>60</v>
      </c>
      <c r="V487" s="2" t="s">
        <v>51</v>
      </c>
      <c r="W487" s="3">
        <v>45606</v>
      </c>
      <c r="X487" s="2" t="b">
        <v>0</v>
      </c>
      <c r="Y487" s="2" t="b">
        <v>1</v>
      </c>
      <c r="Z487" s="2" t="s">
        <v>62</v>
      </c>
      <c r="AA487" s="2" t="s">
        <v>53</v>
      </c>
      <c r="AB487" s="2">
        <v>8</v>
      </c>
      <c r="AC487" s="2">
        <f>SUMIF(N:N,Ecommerce_Consumer_Behavior_Analysis_Data3[[#This Row],[Brand_Loyalty]],M:M)</f>
        <v>582</v>
      </c>
      <c r="AD487" s="2" t="e" cm="1" vm="1">
        <f t="array" aca="1" ref="AD487" ca="1">SUMIFS(Y:Y,Ecommerce_Consumer_Behavior_Analysis_Data3[[#This Row],[Payment_Method]],V:V)</f>
        <v>#VALUE!</v>
      </c>
      <c r="AE487" s="2">
        <f t="shared" si="11"/>
        <v>211.7</v>
      </c>
    </row>
    <row r="488" spans="1:31" x14ac:dyDescent="0.25">
      <c r="A488" s="2" t="s">
        <v>1054</v>
      </c>
      <c r="B488" s="2">
        <v>38</v>
      </c>
      <c r="C488" s="2" t="s">
        <v>352</v>
      </c>
      <c r="D488" s="2" t="s">
        <v>30</v>
      </c>
      <c r="E488" s="2" t="s">
        <v>31</v>
      </c>
      <c r="F488" s="2" t="s">
        <v>56</v>
      </c>
      <c r="G488" s="2" t="s">
        <v>44</v>
      </c>
      <c r="H488" s="2" t="s">
        <v>1055</v>
      </c>
      <c r="I488" s="2" t="s">
        <v>158</v>
      </c>
      <c r="J488" s="2">
        <v>374.36</v>
      </c>
      <c r="K488" s="2">
        <v>4</v>
      </c>
      <c r="L488" s="2" t="s">
        <v>78</v>
      </c>
      <c r="M488" s="2">
        <v>2</v>
      </c>
      <c r="N488" s="2">
        <v>2</v>
      </c>
      <c r="O488" s="2">
        <v>0</v>
      </c>
      <c r="P488" s="2" t="s">
        <v>36</v>
      </c>
      <c r="Q488" s="2" t="s">
        <v>37</v>
      </c>
      <c r="R488" s="2">
        <v>1</v>
      </c>
      <c r="S488" s="2">
        <v>9</v>
      </c>
      <c r="T488" s="2" t="s">
        <v>36</v>
      </c>
      <c r="U488" s="2" t="s">
        <v>60</v>
      </c>
      <c r="V488" s="2" t="s">
        <v>66</v>
      </c>
      <c r="W488" s="3">
        <v>45568</v>
      </c>
      <c r="X488" s="2" t="b">
        <v>0</v>
      </c>
      <c r="Y488" s="2" t="b">
        <v>0</v>
      </c>
      <c r="Z488" s="2" t="s">
        <v>52</v>
      </c>
      <c r="AA488" s="2" t="s">
        <v>53</v>
      </c>
      <c r="AB488" s="2">
        <v>1</v>
      </c>
      <c r="AC488" s="2">
        <f>SUMIF(N:N,Ecommerce_Consumer_Behavior_Analysis_Data3[[#This Row],[Brand_Loyalty]],M:M)</f>
        <v>582</v>
      </c>
      <c r="AD488" s="2" t="e" cm="1" vm="1">
        <f t="array" aca="1" ref="AD488" ca="1">SUMIFS(Y:Y,Ecommerce_Consumer_Behavior_Analysis_Data3[[#This Row],[Payment_Method]],V:V)</f>
        <v>#VALUE!</v>
      </c>
      <c r="AE488" s="2">
        <f t="shared" si="11"/>
        <v>101.31</v>
      </c>
    </row>
    <row r="489" spans="1:31" x14ac:dyDescent="0.25">
      <c r="A489" s="2" t="s">
        <v>1056</v>
      </c>
      <c r="B489" s="2">
        <v>22</v>
      </c>
      <c r="C489" s="2" t="s">
        <v>148</v>
      </c>
      <c r="D489" s="2" t="s">
        <v>44</v>
      </c>
      <c r="E489" s="2" t="s">
        <v>69</v>
      </c>
      <c r="F489" s="2" t="s">
        <v>45</v>
      </c>
      <c r="G489" s="2" t="s">
        <v>30</v>
      </c>
      <c r="H489" s="2" t="s">
        <v>1057</v>
      </c>
      <c r="I489" s="2" t="s">
        <v>123</v>
      </c>
      <c r="J489" s="2">
        <v>435.37</v>
      </c>
      <c r="K489" s="2">
        <v>11</v>
      </c>
      <c r="L489" s="2" t="s">
        <v>78</v>
      </c>
      <c r="M489" s="2">
        <v>4</v>
      </c>
      <c r="N489" s="2">
        <v>2</v>
      </c>
      <c r="O489" s="2">
        <v>1</v>
      </c>
      <c r="P489" s="2" t="s">
        <v>59</v>
      </c>
      <c r="Q489" s="2" t="s">
        <v>85</v>
      </c>
      <c r="R489" s="2">
        <v>0</v>
      </c>
      <c r="S489" s="2">
        <v>3</v>
      </c>
      <c r="T489" s="2" t="s">
        <v>44</v>
      </c>
      <c r="U489" s="2" t="s">
        <v>38</v>
      </c>
      <c r="V489" s="2" t="s">
        <v>39</v>
      </c>
      <c r="W489" s="3">
        <v>45534</v>
      </c>
      <c r="X489" s="2" t="b">
        <v>1</v>
      </c>
      <c r="Y489" s="2" t="b">
        <v>1</v>
      </c>
      <c r="Z489" s="2" t="s">
        <v>74</v>
      </c>
      <c r="AA489" s="2" t="s">
        <v>53</v>
      </c>
      <c r="AB489" s="2">
        <v>4</v>
      </c>
      <c r="AC489" s="2">
        <f>SUMIF(N:N,Ecommerce_Consumer_Behavior_Analysis_Data3[[#This Row],[Brand_Loyalty]],M:M)</f>
        <v>603</v>
      </c>
      <c r="AD489" s="2" t="e" cm="1" vm="1">
        <f t="array" aca="1" ref="AD489" ca="1">SUMIFS(Y:Y,Ecommerce_Consumer_Behavior_Analysis_Data3[[#This Row],[Payment_Method]],V:V)</f>
        <v>#VALUE!</v>
      </c>
      <c r="AE489" s="2">
        <f t="shared" si="11"/>
        <v>101.31</v>
      </c>
    </row>
    <row r="490" spans="1:31" x14ac:dyDescent="0.25">
      <c r="A490" s="2" t="s">
        <v>1058</v>
      </c>
      <c r="B490" s="2">
        <v>44</v>
      </c>
      <c r="C490" s="2" t="s">
        <v>43</v>
      </c>
      <c r="D490" s="2" t="s">
        <v>44</v>
      </c>
      <c r="E490" s="2" t="s">
        <v>55</v>
      </c>
      <c r="F490" s="2" t="s">
        <v>56</v>
      </c>
      <c r="G490" s="2" t="s">
        <v>44</v>
      </c>
      <c r="H490" s="2" t="s">
        <v>1059</v>
      </c>
      <c r="I490" s="2" t="s">
        <v>65</v>
      </c>
      <c r="J490" s="2">
        <v>459.3</v>
      </c>
      <c r="K490" s="2">
        <v>9</v>
      </c>
      <c r="L490" s="2" t="s">
        <v>78</v>
      </c>
      <c r="M490" s="2">
        <v>4</v>
      </c>
      <c r="N490" s="2">
        <v>4</v>
      </c>
      <c r="O490" s="2">
        <v>1</v>
      </c>
      <c r="P490" s="2" t="s">
        <v>36</v>
      </c>
      <c r="Q490" s="2" t="s">
        <v>37</v>
      </c>
      <c r="R490" s="2">
        <v>2</v>
      </c>
      <c r="S490" s="2">
        <v>5</v>
      </c>
      <c r="T490" s="2" t="s">
        <v>49</v>
      </c>
      <c r="U490" s="2" t="s">
        <v>79</v>
      </c>
      <c r="V490" s="2" t="s">
        <v>66</v>
      </c>
      <c r="W490" s="3">
        <v>45574</v>
      </c>
      <c r="X490" s="2" t="b">
        <v>0</v>
      </c>
      <c r="Y490" s="2" t="b">
        <v>1</v>
      </c>
      <c r="Z490" s="2" t="s">
        <v>74</v>
      </c>
      <c r="AA490" s="2" t="s">
        <v>41</v>
      </c>
      <c r="AB490" s="2">
        <v>1</v>
      </c>
      <c r="AC490" s="2">
        <f>SUMIF(N:N,Ecommerce_Consumer_Behavior_Analysis_Data3[[#This Row],[Brand_Loyalty]],M:M)</f>
        <v>603</v>
      </c>
      <c r="AD490" s="2" t="e" cm="1" vm="1">
        <f t="array" aca="1" ref="AD490" ca="1">SUMIFS(Y:Y,Ecommerce_Consumer_Behavior_Analysis_Data3[[#This Row],[Payment_Method]],V:V)</f>
        <v>#VALUE!</v>
      </c>
      <c r="AE490" s="2">
        <f t="shared" si="11"/>
        <v>101.31</v>
      </c>
    </row>
    <row r="491" spans="1:31" x14ac:dyDescent="0.25">
      <c r="A491" s="2" t="s">
        <v>1060</v>
      </c>
      <c r="B491" s="2">
        <v>43</v>
      </c>
      <c r="C491" s="2" t="s">
        <v>29</v>
      </c>
      <c r="D491" s="2" t="s">
        <v>44</v>
      </c>
      <c r="E491" s="2" t="s">
        <v>76</v>
      </c>
      <c r="F491" s="2" t="s">
        <v>56</v>
      </c>
      <c r="G491" s="2" t="s">
        <v>30</v>
      </c>
      <c r="H491" s="2" t="s">
        <v>1061</v>
      </c>
      <c r="I491" s="2" t="s">
        <v>246</v>
      </c>
      <c r="J491" s="2">
        <v>426.89</v>
      </c>
      <c r="K491" s="2">
        <v>2</v>
      </c>
      <c r="L491" s="2" t="s">
        <v>35</v>
      </c>
      <c r="M491" s="2">
        <v>5</v>
      </c>
      <c r="N491" s="2">
        <v>1</v>
      </c>
      <c r="O491" s="2">
        <v>1</v>
      </c>
      <c r="P491" s="2" t="s">
        <v>44</v>
      </c>
      <c r="Q491" s="2" t="s">
        <v>50</v>
      </c>
      <c r="R491" s="2">
        <v>1</v>
      </c>
      <c r="S491" s="2">
        <v>3</v>
      </c>
      <c r="T491" s="2" t="s">
        <v>59</v>
      </c>
      <c r="U491" s="2" t="s">
        <v>60</v>
      </c>
      <c r="V491" s="2" t="s">
        <v>51</v>
      </c>
      <c r="W491" s="3">
        <v>45598</v>
      </c>
      <c r="X491" s="2" t="b">
        <v>1</v>
      </c>
      <c r="Y491" s="2" t="b">
        <v>0</v>
      </c>
      <c r="Z491" s="2" t="s">
        <v>52</v>
      </c>
      <c r="AA491" s="2" t="s">
        <v>67</v>
      </c>
      <c r="AB491" s="2">
        <v>10</v>
      </c>
      <c r="AC491" s="2">
        <f>SUMIF(N:N,Ecommerce_Consumer_Behavior_Analysis_Data3[[#This Row],[Brand_Loyalty]],M:M)</f>
        <v>641</v>
      </c>
      <c r="AD491" s="2" t="e" cm="1" vm="1">
        <f t="array" aca="1" ref="AD491" ca="1">SUMIFS(Y:Y,Ecommerce_Consumer_Behavior_Analysis_Data3[[#This Row],[Payment_Method]],V:V)</f>
        <v>#VALUE!</v>
      </c>
      <c r="AE491" s="2">
        <f t="shared" si="11"/>
        <v>101.31</v>
      </c>
    </row>
    <row r="492" spans="1:31" x14ac:dyDescent="0.25">
      <c r="A492" s="2" t="s">
        <v>1062</v>
      </c>
      <c r="B492" s="2">
        <v>25</v>
      </c>
      <c r="C492" s="2" t="s">
        <v>43</v>
      </c>
      <c r="D492" s="2" t="s">
        <v>30</v>
      </c>
      <c r="E492" s="2" t="s">
        <v>76</v>
      </c>
      <c r="F492" s="2" t="s">
        <v>56</v>
      </c>
      <c r="G492" s="2" t="s">
        <v>44</v>
      </c>
      <c r="H492" s="2" t="s">
        <v>1063</v>
      </c>
      <c r="I492" s="2" t="s">
        <v>101</v>
      </c>
      <c r="J492" s="2">
        <v>365.37</v>
      </c>
      <c r="K492" s="2">
        <v>6</v>
      </c>
      <c r="L492" s="2" t="s">
        <v>35</v>
      </c>
      <c r="M492" s="2">
        <v>1</v>
      </c>
      <c r="N492" s="2">
        <v>2</v>
      </c>
      <c r="O492" s="2">
        <v>1</v>
      </c>
      <c r="P492" s="2" t="s">
        <v>59</v>
      </c>
      <c r="Q492" s="2" t="s">
        <v>85</v>
      </c>
      <c r="R492" s="2">
        <v>1</v>
      </c>
      <c r="S492" s="2">
        <v>5</v>
      </c>
      <c r="T492" s="2" t="s">
        <v>59</v>
      </c>
      <c r="U492" s="2" t="s">
        <v>60</v>
      </c>
      <c r="V492" s="2" t="s">
        <v>51</v>
      </c>
      <c r="W492" s="3">
        <v>45475</v>
      </c>
      <c r="X492" s="2" t="b">
        <v>1</v>
      </c>
      <c r="Y492" s="2" t="b">
        <v>1</v>
      </c>
      <c r="Z492" s="2" t="s">
        <v>52</v>
      </c>
      <c r="AA492" s="2" t="s">
        <v>67</v>
      </c>
      <c r="AB492" s="2">
        <v>7</v>
      </c>
      <c r="AC492" s="2">
        <f>SUMIF(N:N,Ecommerce_Consumer_Behavior_Analysis_Data3[[#This Row],[Brand_Loyalty]],M:M)</f>
        <v>603</v>
      </c>
      <c r="AD492" s="2" t="e" cm="1" vm="1">
        <f t="array" aca="1" ref="AD492" ca="1">SUMIFS(Y:Y,Ecommerce_Consumer_Behavior_Analysis_Data3[[#This Row],[Payment_Method]],V:V)</f>
        <v>#VALUE!</v>
      </c>
      <c r="AE492" s="2">
        <f t="shared" si="11"/>
        <v>101.31</v>
      </c>
    </row>
    <row r="493" spans="1:31" x14ac:dyDescent="0.25">
      <c r="A493" s="2" t="s">
        <v>1064</v>
      </c>
      <c r="B493" s="2">
        <v>21</v>
      </c>
      <c r="C493" s="2" t="s">
        <v>29</v>
      </c>
      <c r="D493" s="2" t="s">
        <v>30</v>
      </c>
      <c r="E493" s="2" t="s">
        <v>76</v>
      </c>
      <c r="F493" s="2" t="s">
        <v>56</v>
      </c>
      <c r="G493" s="2" t="s">
        <v>44</v>
      </c>
      <c r="H493" s="2" t="s">
        <v>1065</v>
      </c>
      <c r="I493" s="2" t="s">
        <v>93</v>
      </c>
      <c r="J493" s="2">
        <v>487.25</v>
      </c>
      <c r="K493" s="2">
        <v>4</v>
      </c>
      <c r="L493" s="2" t="s">
        <v>78</v>
      </c>
      <c r="M493" s="2">
        <v>3</v>
      </c>
      <c r="N493" s="2">
        <v>2</v>
      </c>
      <c r="O493" s="2">
        <v>1</v>
      </c>
      <c r="P493" s="2" t="s">
        <v>44</v>
      </c>
      <c r="Q493" s="2" t="s">
        <v>85</v>
      </c>
      <c r="R493" s="2">
        <v>0</v>
      </c>
      <c r="S493" s="2">
        <v>4</v>
      </c>
      <c r="T493" s="2" t="s">
        <v>44</v>
      </c>
      <c r="U493" s="2" t="s">
        <v>79</v>
      </c>
      <c r="V493" s="2" t="s">
        <v>86</v>
      </c>
      <c r="W493" s="3">
        <v>45573</v>
      </c>
      <c r="X493" s="2" t="b">
        <v>0</v>
      </c>
      <c r="Y493" s="2" t="b">
        <v>0</v>
      </c>
      <c r="Z493" s="2" t="s">
        <v>52</v>
      </c>
      <c r="AA493" s="2" t="s">
        <v>53</v>
      </c>
      <c r="AB493" s="2">
        <v>1</v>
      </c>
      <c r="AC493" s="2">
        <f>SUMIF(N:N,Ecommerce_Consumer_Behavior_Analysis_Data3[[#This Row],[Brand_Loyalty]],M:M)</f>
        <v>597</v>
      </c>
      <c r="AD493" s="2" t="e" cm="1" vm="1">
        <f t="array" aca="1" ref="AD493" ca="1">SUMIFS(Y:Y,Ecommerce_Consumer_Behavior_Analysis_Data3[[#This Row],[Payment_Method]],V:V)</f>
        <v>#VALUE!</v>
      </c>
      <c r="AE493" s="2">
        <f t="shared" si="11"/>
        <v>211.7</v>
      </c>
    </row>
    <row r="494" spans="1:31" x14ac:dyDescent="0.25">
      <c r="A494" s="2" t="s">
        <v>1066</v>
      </c>
      <c r="B494" s="2">
        <v>29</v>
      </c>
      <c r="C494" s="2" t="s">
        <v>29</v>
      </c>
      <c r="D494" s="2" t="s">
        <v>30</v>
      </c>
      <c r="E494" s="2" t="s">
        <v>31</v>
      </c>
      <c r="F494" s="2" t="s">
        <v>45</v>
      </c>
      <c r="G494" s="2" t="s">
        <v>44</v>
      </c>
      <c r="H494" s="2" t="s">
        <v>1067</v>
      </c>
      <c r="I494" s="2" t="s">
        <v>123</v>
      </c>
      <c r="J494" s="2">
        <v>187.22</v>
      </c>
      <c r="K494" s="2">
        <v>10</v>
      </c>
      <c r="L494" s="2" t="s">
        <v>78</v>
      </c>
      <c r="M494" s="2">
        <v>5</v>
      </c>
      <c r="N494" s="2">
        <v>3</v>
      </c>
      <c r="O494" s="2">
        <v>0</v>
      </c>
      <c r="P494" s="2" t="s">
        <v>49</v>
      </c>
      <c r="Q494" s="2" t="s">
        <v>85</v>
      </c>
      <c r="R494" s="2">
        <v>1</v>
      </c>
      <c r="S494" s="2">
        <v>4</v>
      </c>
      <c r="T494" s="2" t="s">
        <v>59</v>
      </c>
      <c r="U494" s="2" t="s">
        <v>79</v>
      </c>
      <c r="V494" s="2" t="s">
        <v>39</v>
      </c>
      <c r="W494" s="3">
        <v>45447</v>
      </c>
      <c r="X494" s="2" t="b">
        <v>0</v>
      </c>
      <c r="Y494" s="2" t="b">
        <v>0</v>
      </c>
      <c r="Z494" s="2" t="s">
        <v>52</v>
      </c>
      <c r="AA494" s="2" t="s">
        <v>53</v>
      </c>
      <c r="AB494" s="2">
        <v>4</v>
      </c>
      <c r="AC494" s="2">
        <f>SUMIF(N:N,Ecommerce_Consumer_Behavior_Analysis_Data3[[#This Row],[Brand_Loyalty]],M:M)</f>
        <v>641</v>
      </c>
      <c r="AD494" s="2" t="e" cm="1" vm="1">
        <f t="array" aca="1" ref="AD494" ca="1">SUMIFS(Y:Y,Ecommerce_Consumer_Behavior_Analysis_Data3[[#This Row],[Payment_Method]],V:V)</f>
        <v>#VALUE!</v>
      </c>
      <c r="AE494" s="2">
        <f t="shared" si="11"/>
        <v>101.31</v>
      </c>
    </row>
    <row r="495" spans="1:31" x14ac:dyDescent="0.25">
      <c r="A495" s="2" t="s">
        <v>1068</v>
      </c>
      <c r="B495" s="2">
        <v>41</v>
      </c>
      <c r="C495" s="2" t="s">
        <v>43</v>
      </c>
      <c r="D495" s="2" t="s">
        <v>44</v>
      </c>
      <c r="E495" s="2" t="s">
        <v>76</v>
      </c>
      <c r="F495" s="2" t="s">
        <v>56</v>
      </c>
      <c r="G495" s="2" t="s">
        <v>44</v>
      </c>
      <c r="H495" s="2" t="s">
        <v>1069</v>
      </c>
      <c r="I495" s="2" t="s">
        <v>126</v>
      </c>
      <c r="J495" s="2">
        <v>396.82</v>
      </c>
      <c r="K495" s="2">
        <v>7</v>
      </c>
      <c r="L495" s="2" t="s">
        <v>35</v>
      </c>
      <c r="M495" s="2">
        <v>3</v>
      </c>
      <c r="N495" s="2">
        <v>4</v>
      </c>
      <c r="O495" s="2">
        <v>1</v>
      </c>
      <c r="P495" s="2" t="s">
        <v>36</v>
      </c>
      <c r="Q495" s="2" t="s">
        <v>37</v>
      </c>
      <c r="R495" s="2">
        <v>1</v>
      </c>
      <c r="S495" s="2">
        <v>9</v>
      </c>
      <c r="T495" s="2" t="s">
        <v>44</v>
      </c>
      <c r="U495" s="2" t="s">
        <v>79</v>
      </c>
      <c r="V495" s="2" t="s">
        <v>39</v>
      </c>
      <c r="W495" s="3">
        <v>45517</v>
      </c>
      <c r="X495" s="2" t="b">
        <v>1</v>
      </c>
      <c r="Y495" s="2" t="b">
        <v>1</v>
      </c>
      <c r="Z495" s="2" t="s">
        <v>40</v>
      </c>
      <c r="AA495" s="2" t="s">
        <v>41</v>
      </c>
      <c r="AB495" s="2">
        <v>9</v>
      </c>
      <c r="AC495" s="2">
        <f>SUMIF(N:N,Ecommerce_Consumer_Behavior_Analysis_Data3[[#This Row],[Brand_Loyalty]],M:M)</f>
        <v>597</v>
      </c>
      <c r="AD495" s="2" t="e" cm="1" vm="1">
        <f t="array" aca="1" ref="AD495" ca="1">SUMIFS(Y:Y,Ecommerce_Consumer_Behavior_Analysis_Data3[[#This Row],[Payment_Method]],V:V)</f>
        <v>#VALUE!</v>
      </c>
      <c r="AE495" s="2">
        <f t="shared" si="11"/>
        <v>211.7</v>
      </c>
    </row>
    <row r="496" spans="1:31" x14ac:dyDescent="0.25">
      <c r="A496" s="2" t="s">
        <v>1070</v>
      </c>
      <c r="B496" s="2">
        <v>38</v>
      </c>
      <c r="C496" s="2" t="s">
        <v>148</v>
      </c>
      <c r="D496" s="2" t="s">
        <v>44</v>
      </c>
      <c r="E496" s="2" t="s">
        <v>76</v>
      </c>
      <c r="F496" s="2" t="s">
        <v>56</v>
      </c>
      <c r="G496" s="2" t="s">
        <v>44</v>
      </c>
      <c r="H496" s="2" t="s">
        <v>1071</v>
      </c>
      <c r="I496" s="2" t="s">
        <v>194</v>
      </c>
      <c r="J496" s="2">
        <v>246.74</v>
      </c>
      <c r="K496" s="2">
        <v>10</v>
      </c>
      <c r="L496" s="2" t="s">
        <v>78</v>
      </c>
      <c r="M496" s="2">
        <v>2</v>
      </c>
      <c r="N496" s="2">
        <v>3</v>
      </c>
      <c r="O496" s="2">
        <v>0</v>
      </c>
      <c r="P496" s="2" t="s">
        <v>49</v>
      </c>
      <c r="Q496" s="2" t="s">
        <v>50</v>
      </c>
      <c r="R496" s="2">
        <v>1</v>
      </c>
      <c r="S496" s="2">
        <v>6</v>
      </c>
      <c r="T496" s="2" t="s">
        <v>44</v>
      </c>
      <c r="U496" s="2" t="s">
        <v>79</v>
      </c>
      <c r="V496" s="2" t="s">
        <v>51</v>
      </c>
      <c r="W496" s="3">
        <v>45378</v>
      </c>
      <c r="X496" s="2" t="b">
        <v>0</v>
      </c>
      <c r="Y496" s="2" t="b">
        <v>0</v>
      </c>
      <c r="Z496" s="2" t="s">
        <v>40</v>
      </c>
      <c r="AA496" s="2" t="s">
        <v>67</v>
      </c>
      <c r="AB496" s="2">
        <v>8</v>
      </c>
      <c r="AC496" s="2">
        <f>SUMIF(N:N,Ecommerce_Consumer_Behavior_Analysis_Data3[[#This Row],[Brand_Loyalty]],M:M)</f>
        <v>582</v>
      </c>
      <c r="AD496" s="2" t="e" cm="1" vm="1">
        <f t="array" aca="1" ref="AD496" ca="1">SUMIFS(Y:Y,Ecommerce_Consumer_Behavior_Analysis_Data3[[#This Row],[Payment_Method]],V:V)</f>
        <v>#VALUE!</v>
      </c>
      <c r="AE496" s="2">
        <f t="shared" si="11"/>
        <v>101.31</v>
      </c>
    </row>
    <row r="497" spans="1:31" x14ac:dyDescent="0.25">
      <c r="A497" s="2" t="s">
        <v>1072</v>
      </c>
      <c r="B497" s="2">
        <v>26</v>
      </c>
      <c r="C497" s="2" t="s">
        <v>43</v>
      </c>
      <c r="D497" s="2" t="s">
        <v>44</v>
      </c>
      <c r="E497" s="2" t="s">
        <v>69</v>
      </c>
      <c r="F497" s="2" t="s">
        <v>32</v>
      </c>
      <c r="G497" s="2" t="s">
        <v>44</v>
      </c>
      <c r="H497" s="2" t="s">
        <v>1073</v>
      </c>
      <c r="I497" s="2" t="s">
        <v>98</v>
      </c>
      <c r="J497" s="2">
        <v>128.74</v>
      </c>
      <c r="K497" s="2">
        <v>12</v>
      </c>
      <c r="L497" s="2" t="s">
        <v>35</v>
      </c>
      <c r="M497" s="2">
        <v>5</v>
      </c>
      <c r="N497" s="2">
        <v>1</v>
      </c>
      <c r="O497" s="2">
        <v>1</v>
      </c>
      <c r="P497" s="2" t="s">
        <v>49</v>
      </c>
      <c r="Q497" s="2" t="s">
        <v>37</v>
      </c>
      <c r="R497" s="2">
        <v>1</v>
      </c>
      <c r="S497" s="2">
        <v>8</v>
      </c>
      <c r="T497" s="2" t="s">
        <v>44</v>
      </c>
      <c r="U497" s="2" t="s">
        <v>79</v>
      </c>
      <c r="V497" s="2" t="s">
        <v>51</v>
      </c>
      <c r="W497" s="3">
        <v>45297</v>
      </c>
      <c r="X497" s="2" t="b">
        <v>0</v>
      </c>
      <c r="Y497" s="2" t="b">
        <v>1</v>
      </c>
      <c r="Z497" s="2" t="s">
        <v>74</v>
      </c>
      <c r="AA497" s="2" t="s">
        <v>53</v>
      </c>
      <c r="AB497" s="2">
        <v>1</v>
      </c>
      <c r="AC497" s="2">
        <f>SUMIF(N:N,Ecommerce_Consumer_Behavior_Analysis_Data3[[#This Row],[Brand_Loyalty]],M:M)</f>
        <v>641</v>
      </c>
      <c r="AD497" s="2" t="e" cm="1" vm="1">
        <f t="array" aca="1" ref="AD497" ca="1">SUMIFS(Y:Y,Ecommerce_Consumer_Behavior_Analysis_Data3[[#This Row],[Payment_Method]],V:V)</f>
        <v>#VALUE!</v>
      </c>
      <c r="AE497" s="2">
        <f t="shared" si="11"/>
        <v>333.8</v>
      </c>
    </row>
    <row r="498" spans="1:31" x14ac:dyDescent="0.25">
      <c r="A498" s="2" t="s">
        <v>1074</v>
      </c>
      <c r="B498" s="2">
        <v>41</v>
      </c>
      <c r="C498" s="2" t="s">
        <v>29</v>
      </c>
      <c r="D498" s="2" t="s">
        <v>30</v>
      </c>
      <c r="E498" s="2" t="s">
        <v>69</v>
      </c>
      <c r="F498" s="2" t="s">
        <v>56</v>
      </c>
      <c r="G498" s="2" t="s">
        <v>30</v>
      </c>
      <c r="H498" s="2" t="s">
        <v>1075</v>
      </c>
      <c r="I498" s="2" t="s">
        <v>126</v>
      </c>
      <c r="J498" s="2">
        <v>339.63</v>
      </c>
      <c r="K498" s="2">
        <v>2</v>
      </c>
      <c r="L498" s="2" t="s">
        <v>48</v>
      </c>
      <c r="M498" s="2">
        <v>3</v>
      </c>
      <c r="N498" s="2">
        <v>3</v>
      </c>
      <c r="O498" s="2">
        <v>2</v>
      </c>
      <c r="P498" s="2" t="s">
        <v>49</v>
      </c>
      <c r="Q498" s="2" t="s">
        <v>85</v>
      </c>
      <c r="R498" s="2">
        <v>2</v>
      </c>
      <c r="S498" s="2">
        <v>1</v>
      </c>
      <c r="T498" s="2" t="s">
        <v>59</v>
      </c>
      <c r="U498" s="2" t="s">
        <v>38</v>
      </c>
      <c r="V498" s="2" t="s">
        <v>51</v>
      </c>
      <c r="W498" s="3">
        <v>45530</v>
      </c>
      <c r="X498" s="2" t="b">
        <v>1</v>
      </c>
      <c r="Y498" s="2" t="b">
        <v>0</v>
      </c>
      <c r="Z498" s="2" t="s">
        <v>62</v>
      </c>
      <c r="AA498" s="2" t="s">
        <v>41</v>
      </c>
      <c r="AB498" s="2">
        <v>6</v>
      </c>
      <c r="AC498" s="2">
        <f>SUMIF(N:N,Ecommerce_Consumer_Behavior_Analysis_Data3[[#This Row],[Brand_Loyalty]],M:M)</f>
        <v>597</v>
      </c>
      <c r="AD498" s="2" t="e" cm="1" vm="1">
        <f t="array" aca="1" ref="AD498" ca="1">SUMIFS(Y:Y,Ecommerce_Consumer_Behavior_Analysis_Data3[[#This Row],[Payment_Method]],V:V)</f>
        <v>#VALUE!</v>
      </c>
      <c r="AE498" s="2">
        <f t="shared" si="11"/>
        <v>211.7</v>
      </c>
    </row>
    <row r="499" spans="1:31" x14ac:dyDescent="0.25">
      <c r="A499" s="2" t="s">
        <v>1076</v>
      </c>
      <c r="B499" s="2">
        <v>46</v>
      </c>
      <c r="C499" s="2" t="s">
        <v>29</v>
      </c>
      <c r="D499" s="2" t="s">
        <v>44</v>
      </c>
      <c r="E499" s="2" t="s">
        <v>55</v>
      </c>
      <c r="F499" s="2" t="s">
        <v>32</v>
      </c>
      <c r="G499" s="2" t="s">
        <v>44</v>
      </c>
      <c r="H499" s="2" t="s">
        <v>1077</v>
      </c>
      <c r="I499" s="2" t="s">
        <v>90</v>
      </c>
      <c r="J499" s="2">
        <v>223.58</v>
      </c>
      <c r="K499" s="2">
        <v>11</v>
      </c>
      <c r="L499" s="2" t="s">
        <v>35</v>
      </c>
      <c r="M499" s="2">
        <v>4</v>
      </c>
      <c r="N499" s="2">
        <v>3</v>
      </c>
      <c r="O499" s="2">
        <v>0</v>
      </c>
      <c r="P499" s="2" t="s">
        <v>44</v>
      </c>
      <c r="Q499" s="2" t="s">
        <v>85</v>
      </c>
      <c r="R499" s="2">
        <v>0</v>
      </c>
      <c r="S499" s="2">
        <v>6</v>
      </c>
      <c r="T499" s="2" t="s">
        <v>36</v>
      </c>
      <c r="U499" s="2" t="s">
        <v>38</v>
      </c>
      <c r="V499" s="2" t="s">
        <v>51</v>
      </c>
      <c r="W499" s="3">
        <v>45432</v>
      </c>
      <c r="X499" s="2" t="b">
        <v>0</v>
      </c>
      <c r="Y499" s="2" t="b">
        <v>0</v>
      </c>
      <c r="Z499" s="2" t="s">
        <v>62</v>
      </c>
      <c r="AA499" s="2" t="s">
        <v>41</v>
      </c>
      <c r="AB499" s="2">
        <v>11</v>
      </c>
      <c r="AC499" s="2">
        <f>SUMIF(N:N,Ecommerce_Consumer_Behavior_Analysis_Data3[[#This Row],[Brand_Loyalty]],M:M)</f>
        <v>603</v>
      </c>
      <c r="AD499" s="2" t="e" cm="1" vm="1">
        <f t="array" aca="1" ref="AD499" ca="1">SUMIFS(Y:Y,Ecommerce_Consumer_Behavior_Analysis_Data3[[#This Row],[Payment_Method]],V:V)</f>
        <v>#VALUE!</v>
      </c>
      <c r="AE499" s="2">
        <f t="shared" si="11"/>
        <v>101.31</v>
      </c>
    </row>
    <row r="500" spans="1:31" x14ac:dyDescent="0.25">
      <c r="A500" s="2" t="s">
        <v>1078</v>
      </c>
      <c r="B500" s="2">
        <v>39</v>
      </c>
      <c r="C500" s="2" t="s">
        <v>352</v>
      </c>
      <c r="D500" s="2" t="s">
        <v>44</v>
      </c>
      <c r="E500" s="2" t="s">
        <v>69</v>
      </c>
      <c r="F500" s="2" t="s">
        <v>32</v>
      </c>
      <c r="G500" s="2" t="s">
        <v>30</v>
      </c>
      <c r="H500" s="2" t="s">
        <v>1079</v>
      </c>
      <c r="I500" s="2" t="s">
        <v>34</v>
      </c>
      <c r="J500" s="2">
        <v>446.92</v>
      </c>
      <c r="K500" s="2">
        <v>5</v>
      </c>
      <c r="L500" s="2" t="s">
        <v>35</v>
      </c>
      <c r="M500" s="2">
        <v>1</v>
      </c>
      <c r="N500" s="2">
        <v>1</v>
      </c>
      <c r="O500" s="2">
        <v>1</v>
      </c>
      <c r="P500" s="2" t="s">
        <v>49</v>
      </c>
      <c r="Q500" s="2" t="s">
        <v>85</v>
      </c>
      <c r="R500" s="2">
        <v>2</v>
      </c>
      <c r="S500" s="2">
        <v>6</v>
      </c>
      <c r="T500" s="2" t="s">
        <v>36</v>
      </c>
      <c r="U500" s="2" t="s">
        <v>60</v>
      </c>
      <c r="V500" s="2" t="s">
        <v>51</v>
      </c>
      <c r="W500" s="3">
        <v>45492</v>
      </c>
      <c r="X500" s="2" t="b">
        <v>1</v>
      </c>
      <c r="Y500" s="2" t="b">
        <v>0</v>
      </c>
      <c r="Z500" s="2" t="s">
        <v>74</v>
      </c>
      <c r="AA500" s="2" t="s">
        <v>67</v>
      </c>
      <c r="AB500" s="2">
        <v>10</v>
      </c>
      <c r="AC500" s="2">
        <f>SUMIF(N:N,Ecommerce_Consumer_Behavior_Analysis_Data3[[#This Row],[Brand_Loyalty]],M:M)</f>
        <v>603</v>
      </c>
      <c r="AD500" s="2" t="e" cm="1" vm="1">
        <f t="array" aca="1" ref="AD500" ca="1">SUMIFS(Y:Y,Ecommerce_Consumer_Behavior_Analysis_Data3[[#This Row],[Payment_Method]],V:V)</f>
        <v>#VALUE!</v>
      </c>
      <c r="AE500" s="2">
        <f t="shared" si="11"/>
        <v>333.8</v>
      </c>
    </row>
    <row r="501" spans="1:31" x14ac:dyDescent="0.25">
      <c r="A501" s="2" t="s">
        <v>1080</v>
      </c>
      <c r="B501" s="2">
        <v>43</v>
      </c>
      <c r="C501" s="2" t="s">
        <v>43</v>
      </c>
      <c r="D501" s="2" t="s">
        <v>30</v>
      </c>
      <c r="E501" s="2" t="s">
        <v>76</v>
      </c>
      <c r="F501" s="2" t="s">
        <v>32</v>
      </c>
      <c r="G501" s="2" t="s">
        <v>30</v>
      </c>
      <c r="H501" s="2" t="s">
        <v>1081</v>
      </c>
      <c r="I501" s="2" t="s">
        <v>117</v>
      </c>
      <c r="J501" s="2">
        <v>175.65</v>
      </c>
      <c r="K501" s="2">
        <v>11</v>
      </c>
      <c r="L501" s="2" t="s">
        <v>35</v>
      </c>
      <c r="M501" s="2">
        <v>4</v>
      </c>
      <c r="N501" s="2">
        <v>3</v>
      </c>
      <c r="O501" s="2">
        <v>2</v>
      </c>
      <c r="P501" s="2" t="s">
        <v>59</v>
      </c>
      <c r="Q501" s="2" t="s">
        <v>50</v>
      </c>
      <c r="R501" s="2">
        <v>1</v>
      </c>
      <c r="S501" s="2">
        <v>7</v>
      </c>
      <c r="T501" s="2" t="s">
        <v>36</v>
      </c>
      <c r="U501" s="2" t="s">
        <v>38</v>
      </c>
      <c r="V501" s="2" t="s">
        <v>66</v>
      </c>
      <c r="W501" s="3">
        <v>45634</v>
      </c>
      <c r="X501" s="2" t="b">
        <v>0</v>
      </c>
      <c r="Y501" s="2" t="b">
        <v>1</v>
      </c>
      <c r="Z501" s="2" t="s">
        <v>52</v>
      </c>
      <c r="AA501" s="2" t="s">
        <v>67</v>
      </c>
      <c r="AB501" s="2">
        <v>8</v>
      </c>
      <c r="AC501" s="2">
        <f>SUMIF(N:N,Ecommerce_Consumer_Behavior_Analysis_Data3[[#This Row],[Brand_Loyalty]],M:M)</f>
        <v>603</v>
      </c>
      <c r="AD501" s="2" t="e" cm="1" vm="1">
        <f t="array" aca="1" ref="AD501" ca="1">SUMIFS(Y:Y,Ecommerce_Consumer_Behavior_Analysis_Data3[[#This Row],[Payment_Method]],V:V)</f>
        <v>#VALUE!</v>
      </c>
      <c r="AE501" s="2">
        <f t="shared" si="11"/>
        <v>211.7</v>
      </c>
    </row>
    <row r="502" spans="1:31" x14ac:dyDescent="0.25">
      <c r="A502" s="2" t="s">
        <v>1082</v>
      </c>
      <c r="B502" s="2">
        <v>44</v>
      </c>
      <c r="C502" s="2" t="s">
        <v>148</v>
      </c>
      <c r="D502" s="2" t="s">
        <v>30</v>
      </c>
      <c r="E502" s="2" t="s">
        <v>31</v>
      </c>
      <c r="F502" s="2" t="s">
        <v>32</v>
      </c>
      <c r="G502" s="2" t="s">
        <v>30</v>
      </c>
      <c r="H502" s="2" t="s">
        <v>1083</v>
      </c>
      <c r="I502" s="2" t="s">
        <v>183</v>
      </c>
      <c r="J502" s="2">
        <v>491.49</v>
      </c>
      <c r="K502" s="2">
        <v>10</v>
      </c>
      <c r="L502" s="2" t="s">
        <v>35</v>
      </c>
      <c r="M502" s="2">
        <v>1</v>
      </c>
      <c r="N502" s="2">
        <v>1</v>
      </c>
      <c r="O502" s="2">
        <v>0</v>
      </c>
      <c r="P502" s="2" t="s">
        <v>59</v>
      </c>
      <c r="Q502" s="2" t="s">
        <v>37</v>
      </c>
      <c r="R502" s="2">
        <v>2</v>
      </c>
      <c r="S502" s="2">
        <v>7</v>
      </c>
      <c r="T502" s="2" t="s">
        <v>36</v>
      </c>
      <c r="U502" s="2" t="s">
        <v>79</v>
      </c>
      <c r="V502" s="2" t="s">
        <v>51</v>
      </c>
      <c r="W502" s="3">
        <v>45440</v>
      </c>
      <c r="X502" s="2" t="b">
        <v>0</v>
      </c>
      <c r="Y502" s="2" t="b">
        <v>0</v>
      </c>
      <c r="Z502" s="2" t="s">
        <v>74</v>
      </c>
      <c r="AA502" s="2" t="s">
        <v>53</v>
      </c>
      <c r="AB502" s="2">
        <v>1</v>
      </c>
      <c r="AC502" s="2">
        <f>SUMIF(N:N,Ecommerce_Consumer_Behavior_Analysis_Data3[[#This Row],[Brand_Loyalty]],M:M)</f>
        <v>603</v>
      </c>
      <c r="AD502" s="2" t="e" cm="1" vm="1">
        <f t="array" aca="1" ref="AD502" ca="1">SUMIFS(Y:Y,Ecommerce_Consumer_Behavior_Analysis_Data3[[#This Row],[Payment_Method]],V:V)</f>
        <v>#VALUE!</v>
      </c>
      <c r="AE502" s="2">
        <f t="shared" si="11"/>
        <v>211.7</v>
      </c>
    </row>
    <row r="503" spans="1:31" x14ac:dyDescent="0.25">
      <c r="A503" s="2" t="s">
        <v>1084</v>
      </c>
      <c r="B503" s="2">
        <v>26</v>
      </c>
      <c r="C503" s="2" t="s">
        <v>43</v>
      </c>
      <c r="D503" s="2" t="s">
        <v>30</v>
      </c>
      <c r="E503" s="2" t="s">
        <v>69</v>
      </c>
      <c r="F503" s="2" t="s">
        <v>32</v>
      </c>
      <c r="G503" s="2" t="s">
        <v>30</v>
      </c>
      <c r="H503" s="2" t="s">
        <v>1085</v>
      </c>
      <c r="I503" s="2" t="s">
        <v>188</v>
      </c>
      <c r="J503" s="2">
        <v>88.4</v>
      </c>
      <c r="K503" s="2">
        <v>5</v>
      </c>
      <c r="L503" s="2" t="s">
        <v>48</v>
      </c>
      <c r="M503" s="2">
        <v>5</v>
      </c>
      <c r="N503" s="2">
        <v>2</v>
      </c>
      <c r="O503" s="2">
        <v>0</v>
      </c>
      <c r="P503" s="2" t="s">
        <v>49</v>
      </c>
      <c r="Q503" s="2" t="s">
        <v>50</v>
      </c>
      <c r="R503" s="2">
        <v>0</v>
      </c>
      <c r="S503" s="2">
        <v>4</v>
      </c>
      <c r="T503" s="2" t="s">
        <v>49</v>
      </c>
      <c r="U503" s="2" t="s">
        <v>79</v>
      </c>
      <c r="V503" s="2" t="s">
        <v>86</v>
      </c>
      <c r="W503" s="3">
        <v>45438</v>
      </c>
      <c r="X503" s="2" t="b">
        <v>1</v>
      </c>
      <c r="Y503" s="2" t="b">
        <v>0</v>
      </c>
      <c r="Z503" s="2" t="s">
        <v>40</v>
      </c>
      <c r="AA503" s="2" t="s">
        <v>41</v>
      </c>
      <c r="AB503" s="2">
        <v>4</v>
      </c>
      <c r="AC503" s="2">
        <f>SUMIF(N:N,Ecommerce_Consumer_Behavior_Analysis_Data3[[#This Row],[Brand_Loyalty]],M:M)</f>
        <v>641</v>
      </c>
      <c r="AD503" s="2" t="e" cm="1" vm="1">
        <f t="array" aca="1" ref="AD503" ca="1">SUMIFS(Y:Y,Ecommerce_Consumer_Behavior_Analysis_Data3[[#This Row],[Payment_Method]],V:V)</f>
        <v>#VALUE!</v>
      </c>
      <c r="AE503" s="2">
        <f t="shared" si="11"/>
        <v>101.31</v>
      </c>
    </row>
    <row r="504" spans="1:31" x14ac:dyDescent="0.25">
      <c r="A504" s="2" t="s">
        <v>1086</v>
      </c>
      <c r="B504" s="2">
        <v>29</v>
      </c>
      <c r="C504" s="2" t="s">
        <v>43</v>
      </c>
      <c r="D504" s="2" t="s">
        <v>30</v>
      </c>
      <c r="E504" s="2" t="s">
        <v>69</v>
      </c>
      <c r="F504" s="2" t="s">
        <v>56</v>
      </c>
      <c r="G504" s="2" t="s">
        <v>44</v>
      </c>
      <c r="H504" s="2" t="s">
        <v>1087</v>
      </c>
      <c r="I504" s="2" t="s">
        <v>58</v>
      </c>
      <c r="J504" s="2">
        <v>430.9</v>
      </c>
      <c r="K504" s="2">
        <v>8</v>
      </c>
      <c r="L504" s="2" t="s">
        <v>78</v>
      </c>
      <c r="M504" s="2">
        <v>4</v>
      </c>
      <c r="N504" s="2">
        <v>5</v>
      </c>
      <c r="O504" s="2">
        <v>1</v>
      </c>
      <c r="P504" s="2" t="s">
        <v>44</v>
      </c>
      <c r="Q504" s="2" t="s">
        <v>50</v>
      </c>
      <c r="R504" s="2">
        <v>0</v>
      </c>
      <c r="S504" s="2">
        <v>6</v>
      </c>
      <c r="T504" s="2" t="s">
        <v>36</v>
      </c>
      <c r="U504" s="2" t="s">
        <v>38</v>
      </c>
      <c r="V504" s="2" t="s">
        <v>39</v>
      </c>
      <c r="W504" s="3">
        <v>45449</v>
      </c>
      <c r="X504" s="2" t="b">
        <v>0</v>
      </c>
      <c r="Y504" s="2" t="b">
        <v>0</v>
      </c>
      <c r="Z504" s="2" t="s">
        <v>52</v>
      </c>
      <c r="AA504" s="2" t="s">
        <v>53</v>
      </c>
      <c r="AB504" s="2">
        <v>11</v>
      </c>
      <c r="AC504" s="2">
        <f>SUMIF(N:N,Ecommerce_Consumer_Behavior_Analysis_Data3[[#This Row],[Brand_Loyalty]],M:M)</f>
        <v>603</v>
      </c>
      <c r="AD504" s="2" t="e" cm="1" vm="1">
        <f t="array" aca="1" ref="AD504" ca="1">SUMIFS(Y:Y,Ecommerce_Consumer_Behavior_Analysis_Data3[[#This Row],[Payment_Method]],V:V)</f>
        <v>#VALUE!</v>
      </c>
      <c r="AE504" s="2">
        <f t="shared" si="11"/>
        <v>211.7</v>
      </c>
    </row>
    <row r="505" spans="1:31" x14ac:dyDescent="0.25">
      <c r="A505" s="2" t="s">
        <v>1088</v>
      </c>
      <c r="B505" s="2">
        <v>50</v>
      </c>
      <c r="C505" s="2" t="s">
        <v>43</v>
      </c>
      <c r="D505" s="2" t="s">
        <v>44</v>
      </c>
      <c r="E505" s="2" t="s">
        <v>69</v>
      </c>
      <c r="F505" s="2" t="s">
        <v>45</v>
      </c>
      <c r="G505" s="2" t="s">
        <v>44</v>
      </c>
      <c r="H505" s="2" t="s">
        <v>1089</v>
      </c>
      <c r="I505" s="2" t="s">
        <v>93</v>
      </c>
      <c r="J505" s="2">
        <v>435.23</v>
      </c>
      <c r="K505" s="2">
        <v>2</v>
      </c>
      <c r="L505" s="2" t="s">
        <v>48</v>
      </c>
      <c r="M505" s="2">
        <v>2</v>
      </c>
      <c r="N505" s="2">
        <v>4</v>
      </c>
      <c r="O505" s="2">
        <v>0</v>
      </c>
      <c r="P505" s="2" t="s">
        <v>36</v>
      </c>
      <c r="Q505" s="2" t="s">
        <v>37</v>
      </c>
      <c r="R505" s="2">
        <v>2</v>
      </c>
      <c r="S505" s="2">
        <v>2</v>
      </c>
      <c r="T505" s="2" t="s">
        <v>49</v>
      </c>
      <c r="U505" s="2" t="s">
        <v>60</v>
      </c>
      <c r="V505" s="2" t="s">
        <v>86</v>
      </c>
      <c r="W505" s="3">
        <v>45349</v>
      </c>
      <c r="X505" s="2" t="b">
        <v>0</v>
      </c>
      <c r="Y505" s="2" t="b">
        <v>1</v>
      </c>
      <c r="Z505" s="2" t="s">
        <v>62</v>
      </c>
      <c r="AA505" s="2" t="s">
        <v>67</v>
      </c>
      <c r="AB505" s="2">
        <v>13</v>
      </c>
      <c r="AC505" s="2">
        <f>SUMIF(N:N,Ecommerce_Consumer_Behavior_Analysis_Data3[[#This Row],[Brand_Loyalty]],M:M)</f>
        <v>582</v>
      </c>
      <c r="AD505" s="2" t="e" cm="1" vm="1">
        <f t="array" aca="1" ref="AD505" ca="1">SUMIFS(Y:Y,Ecommerce_Consumer_Behavior_Analysis_Data3[[#This Row],[Payment_Method]],V:V)</f>
        <v>#VALUE!</v>
      </c>
      <c r="AE505" s="2">
        <f t="shared" si="11"/>
        <v>333.8</v>
      </c>
    </row>
    <row r="506" spans="1:31" x14ac:dyDescent="0.25">
      <c r="A506" s="2" t="s">
        <v>1090</v>
      </c>
      <c r="B506" s="2">
        <v>19</v>
      </c>
      <c r="C506" s="2" t="s">
        <v>29</v>
      </c>
      <c r="D506" s="2" t="s">
        <v>44</v>
      </c>
      <c r="E506" s="2" t="s">
        <v>76</v>
      </c>
      <c r="F506" s="2" t="s">
        <v>56</v>
      </c>
      <c r="G506" s="2" t="s">
        <v>30</v>
      </c>
      <c r="H506" s="2" t="s">
        <v>1091</v>
      </c>
      <c r="I506" s="2" t="s">
        <v>126</v>
      </c>
      <c r="J506" s="2">
        <v>218.65</v>
      </c>
      <c r="K506" s="2">
        <v>3</v>
      </c>
      <c r="L506" s="2" t="s">
        <v>78</v>
      </c>
      <c r="M506" s="2">
        <v>4</v>
      </c>
      <c r="N506" s="2">
        <v>2</v>
      </c>
      <c r="O506" s="2">
        <v>2</v>
      </c>
      <c r="P506" s="2" t="s">
        <v>59</v>
      </c>
      <c r="Q506" s="2" t="s">
        <v>85</v>
      </c>
      <c r="R506" s="2">
        <v>0</v>
      </c>
      <c r="S506" s="2">
        <v>9</v>
      </c>
      <c r="T506" s="2" t="s">
        <v>49</v>
      </c>
      <c r="U506" s="2" t="s">
        <v>60</v>
      </c>
      <c r="V506" s="2" t="s">
        <v>39</v>
      </c>
      <c r="W506" s="3">
        <v>45490</v>
      </c>
      <c r="X506" s="2" t="b">
        <v>1</v>
      </c>
      <c r="Y506" s="2" t="b">
        <v>1</v>
      </c>
      <c r="Z506" s="2" t="s">
        <v>62</v>
      </c>
      <c r="AA506" s="2" t="s">
        <v>53</v>
      </c>
      <c r="AB506" s="2">
        <v>4</v>
      </c>
      <c r="AC506" s="2">
        <f>SUMIF(N:N,Ecommerce_Consumer_Behavior_Analysis_Data3[[#This Row],[Brand_Loyalty]],M:M)</f>
        <v>603</v>
      </c>
      <c r="AD506" s="2" t="e" cm="1" vm="1">
        <f t="array" aca="1" ref="AD506" ca="1">SUMIFS(Y:Y,Ecommerce_Consumer_Behavior_Analysis_Data3[[#This Row],[Payment_Method]],V:V)</f>
        <v>#VALUE!</v>
      </c>
      <c r="AE506" s="2">
        <f t="shared" si="11"/>
        <v>101.31</v>
      </c>
    </row>
    <row r="507" spans="1:31" x14ac:dyDescent="0.25">
      <c r="A507" s="2" t="s">
        <v>1092</v>
      </c>
      <c r="B507" s="2">
        <v>27</v>
      </c>
      <c r="C507" s="2" t="s">
        <v>43</v>
      </c>
      <c r="D507" s="2" t="s">
        <v>44</v>
      </c>
      <c r="E507" s="2" t="s">
        <v>69</v>
      </c>
      <c r="F507" s="2" t="s">
        <v>45</v>
      </c>
      <c r="G507" s="2" t="s">
        <v>30</v>
      </c>
      <c r="H507" s="2" t="s">
        <v>1093</v>
      </c>
      <c r="I507" s="2" t="s">
        <v>142</v>
      </c>
      <c r="J507" s="2">
        <v>207.66</v>
      </c>
      <c r="K507" s="2">
        <v>10</v>
      </c>
      <c r="L507" s="2" t="s">
        <v>48</v>
      </c>
      <c r="M507" s="2">
        <v>2</v>
      </c>
      <c r="N507" s="2">
        <v>3</v>
      </c>
      <c r="O507" s="2">
        <v>1</v>
      </c>
      <c r="P507" s="2" t="s">
        <v>44</v>
      </c>
      <c r="Q507" s="2" t="s">
        <v>85</v>
      </c>
      <c r="R507" s="2">
        <v>2</v>
      </c>
      <c r="S507" s="2">
        <v>2</v>
      </c>
      <c r="T507" s="2" t="s">
        <v>49</v>
      </c>
      <c r="U507" s="2" t="s">
        <v>79</v>
      </c>
      <c r="V507" s="2" t="s">
        <v>66</v>
      </c>
      <c r="W507" s="3">
        <v>45481</v>
      </c>
      <c r="X507" s="2" t="b">
        <v>0</v>
      </c>
      <c r="Y507" s="2" t="b">
        <v>1</v>
      </c>
      <c r="Z507" s="2" t="s">
        <v>52</v>
      </c>
      <c r="AA507" s="2" t="s">
        <v>53</v>
      </c>
      <c r="AB507" s="2">
        <v>8</v>
      </c>
      <c r="AC507" s="2">
        <f>SUMIF(N:N,Ecommerce_Consumer_Behavior_Analysis_Data3[[#This Row],[Brand_Loyalty]],M:M)</f>
        <v>582</v>
      </c>
      <c r="AD507" s="2" t="e" cm="1" vm="1">
        <f t="array" aca="1" ref="AD507" ca="1">SUMIFS(Y:Y,Ecommerce_Consumer_Behavior_Analysis_Data3[[#This Row],[Payment_Method]],V:V)</f>
        <v>#VALUE!</v>
      </c>
      <c r="AE507" s="2">
        <f t="shared" si="11"/>
        <v>211.7</v>
      </c>
    </row>
    <row r="508" spans="1:31" x14ac:dyDescent="0.25">
      <c r="A508" s="2" t="s">
        <v>1094</v>
      </c>
      <c r="B508" s="2">
        <v>34</v>
      </c>
      <c r="C508" s="2" t="s">
        <v>29</v>
      </c>
      <c r="D508" s="2" t="s">
        <v>44</v>
      </c>
      <c r="E508" s="2" t="s">
        <v>31</v>
      </c>
      <c r="F508" s="2" t="s">
        <v>45</v>
      </c>
      <c r="G508" s="2" t="s">
        <v>44</v>
      </c>
      <c r="H508" s="2" t="s">
        <v>1095</v>
      </c>
      <c r="I508" s="2" t="s">
        <v>135</v>
      </c>
      <c r="J508" s="2">
        <v>141.09</v>
      </c>
      <c r="K508" s="2">
        <v>7</v>
      </c>
      <c r="L508" s="2" t="s">
        <v>48</v>
      </c>
      <c r="M508" s="2">
        <v>3</v>
      </c>
      <c r="N508" s="2">
        <v>4</v>
      </c>
      <c r="O508" s="2">
        <v>0</v>
      </c>
      <c r="P508" s="2" t="s">
        <v>44</v>
      </c>
      <c r="Q508" s="2" t="s">
        <v>85</v>
      </c>
      <c r="R508" s="2">
        <v>2</v>
      </c>
      <c r="S508" s="2">
        <v>3</v>
      </c>
      <c r="T508" s="2" t="s">
        <v>44</v>
      </c>
      <c r="U508" s="2" t="s">
        <v>79</v>
      </c>
      <c r="V508" s="2" t="s">
        <v>61</v>
      </c>
      <c r="W508" s="3">
        <v>45462</v>
      </c>
      <c r="X508" s="2" t="b">
        <v>0</v>
      </c>
      <c r="Y508" s="2" t="b">
        <v>1</v>
      </c>
      <c r="Z508" s="2" t="s">
        <v>52</v>
      </c>
      <c r="AA508" s="2" t="s">
        <v>67</v>
      </c>
      <c r="AB508" s="2">
        <v>1</v>
      </c>
      <c r="AC508" s="2">
        <f>SUMIF(N:N,Ecommerce_Consumer_Behavior_Analysis_Data3[[#This Row],[Brand_Loyalty]],M:M)</f>
        <v>597</v>
      </c>
      <c r="AD508" s="2" t="e" cm="1" vm="1">
        <f t="array" aca="1" ref="AD508" ca="1">SUMIFS(Y:Y,Ecommerce_Consumer_Behavior_Analysis_Data3[[#This Row],[Payment_Method]],V:V)</f>
        <v>#VALUE!</v>
      </c>
      <c r="AE508" s="2">
        <f t="shared" si="11"/>
        <v>101.31</v>
      </c>
    </row>
    <row r="509" spans="1:31" x14ac:dyDescent="0.25">
      <c r="A509" s="2" t="s">
        <v>1096</v>
      </c>
      <c r="B509" s="2">
        <v>39</v>
      </c>
      <c r="C509" s="2" t="s">
        <v>43</v>
      </c>
      <c r="D509" s="2" t="s">
        <v>44</v>
      </c>
      <c r="E509" s="2" t="s">
        <v>76</v>
      </c>
      <c r="F509" s="2" t="s">
        <v>32</v>
      </c>
      <c r="G509" s="2" t="s">
        <v>30</v>
      </c>
      <c r="H509" s="2" t="s">
        <v>1097</v>
      </c>
      <c r="I509" s="2" t="s">
        <v>114</v>
      </c>
      <c r="J509" s="2">
        <v>142.69999999999999</v>
      </c>
      <c r="K509" s="2">
        <v>6</v>
      </c>
      <c r="L509" s="2" t="s">
        <v>48</v>
      </c>
      <c r="M509" s="2">
        <v>3</v>
      </c>
      <c r="N509" s="2">
        <v>2</v>
      </c>
      <c r="O509" s="2">
        <v>1</v>
      </c>
      <c r="P509" s="2" t="s">
        <v>36</v>
      </c>
      <c r="Q509" s="2" t="s">
        <v>85</v>
      </c>
      <c r="R509" s="2">
        <v>0</v>
      </c>
      <c r="S509" s="2">
        <v>4</v>
      </c>
      <c r="T509" s="2" t="s">
        <v>36</v>
      </c>
      <c r="U509" s="2" t="s">
        <v>79</v>
      </c>
      <c r="V509" s="2" t="s">
        <v>39</v>
      </c>
      <c r="W509" s="3">
        <v>45429</v>
      </c>
      <c r="X509" s="2" t="b">
        <v>0</v>
      </c>
      <c r="Y509" s="2" t="b">
        <v>1</v>
      </c>
      <c r="Z509" s="2" t="s">
        <v>62</v>
      </c>
      <c r="AA509" s="2" t="s">
        <v>41</v>
      </c>
      <c r="AB509" s="2">
        <v>11</v>
      </c>
      <c r="AC509" s="2">
        <f>SUMIF(N:N,Ecommerce_Consumer_Behavior_Analysis_Data3[[#This Row],[Brand_Loyalty]],M:M)</f>
        <v>597</v>
      </c>
      <c r="AD509" s="2" t="e" cm="1" vm="1">
        <f t="array" aca="1" ref="AD509" ca="1">SUMIFS(Y:Y,Ecommerce_Consumer_Behavior_Analysis_Data3[[#This Row],[Payment_Method]],V:V)</f>
        <v>#VALUE!</v>
      </c>
      <c r="AE509" s="2">
        <f t="shared" si="11"/>
        <v>211.7</v>
      </c>
    </row>
    <row r="510" spans="1:31" x14ac:dyDescent="0.25">
      <c r="A510" s="2" t="s">
        <v>1098</v>
      </c>
      <c r="B510" s="2">
        <v>44</v>
      </c>
      <c r="C510" s="2" t="s">
        <v>43</v>
      </c>
      <c r="D510" s="2" t="s">
        <v>44</v>
      </c>
      <c r="E510" s="2" t="s">
        <v>76</v>
      </c>
      <c r="F510" s="2" t="s">
        <v>56</v>
      </c>
      <c r="G510" s="2" t="s">
        <v>44</v>
      </c>
      <c r="H510" s="2" t="s">
        <v>1099</v>
      </c>
      <c r="I510" s="2" t="s">
        <v>101</v>
      </c>
      <c r="J510" s="2">
        <v>64.09</v>
      </c>
      <c r="K510" s="2">
        <v>10</v>
      </c>
      <c r="L510" s="2" t="s">
        <v>78</v>
      </c>
      <c r="M510" s="2">
        <v>5</v>
      </c>
      <c r="N510" s="2">
        <v>5</v>
      </c>
      <c r="O510" s="2">
        <v>0</v>
      </c>
      <c r="P510" s="2" t="s">
        <v>36</v>
      </c>
      <c r="Q510" s="2" t="s">
        <v>37</v>
      </c>
      <c r="R510" s="2">
        <v>0</v>
      </c>
      <c r="S510" s="2">
        <v>6</v>
      </c>
      <c r="T510" s="2" t="s">
        <v>59</v>
      </c>
      <c r="U510" s="2" t="s">
        <v>79</v>
      </c>
      <c r="V510" s="2" t="s">
        <v>39</v>
      </c>
      <c r="W510" s="3">
        <v>45585</v>
      </c>
      <c r="X510" s="2" t="b">
        <v>1</v>
      </c>
      <c r="Y510" s="2" t="b">
        <v>0</v>
      </c>
      <c r="Z510" s="2" t="s">
        <v>40</v>
      </c>
      <c r="AA510" s="2" t="s">
        <v>67</v>
      </c>
      <c r="AB510" s="2">
        <v>7</v>
      </c>
      <c r="AC510" s="2">
        <f>SUMIF(N:N,Ecommerce_Consumer_Behavior_Analysis_Data3[[#This Row],[Brand_Loyalty]],M:M)</f>
        <v>641</v>
      </c>
      <c r="AD510" s="2" t="e" cm="1" vm="1">
        <f t="array" aca="1" ref="AD510" ca="1">SUMIFS(Y:Y,Ecommerce_Consumer_Behavior_Analysis_Data3[[#This Row],[Payment_Method]],V:V)</f>
        <v>#VALUE!</v>
      </c>
      <c r="AE510" s="2">
        <f t="shared" si="11"/>
        <v>101.31</v>
      </c>
    </row>
    <row r="511" spans="1:31" x14ac:dyDescent="0.25">
      <c r="A511" s="2" t="s">
        <v>1100</v>
      </c>
      <c r="B511" s="2">
        <v>20</v>
      </c>
      <c r="C511" s="2" t="s">
        <v>29</v>
      </c>
      <c r="D511" s="2" t="s">
        <v>30</v>
      </c>
      <c r="E511" s="2" t="s">
        <v>31</v>
      </c>
      <c r="F511" s="2" t="s">
        <v>45</v>
      </c>
      <c r="G511" s="2" t="s">
        <v>30</v>
      </c>
      <c r="H511" s="2" t="s">
        <v>820</v>
      </c>
      <c r="I511" s="2" t="s">
        <v>126</v>
      </c>
      <c r="J511" s="2">
        <v>126.26</v>
      </c>
      <c r="K511" s="2">
        <v>2</v>
      </c>
      <c r="L511" s="2" t="s">
        <v>78</v>
      </c>
      <c r="M511" s="2">
        <v>4</v>
      </c>
      <c r="N511" s="2">
        <v>5</v>
      </c>
      <c r="O511" s="2">
        <v>1</v>
      </c>
      <c r="P511" s="2" t="s">
        <v>36</v>
      </c>
      <c r="Q511" s="2" t="s">
        <v>37</v>
      </c>
      <c r="R511" s="2">
        <v>1</v>
      </c>
      <c r="S511" s="2">
        <v>6</v>
      </c>
      <c r="T511" s="2" t="s">
        <v>36</v>
      </c>
      <c r="U511" s="2" t="s">
        <v>60</v>
      </c>
      <c r="V511" s="2" t="s">
        <v>61</v>
      </c>
      <c r="W511" s="3">
        <v>45554</v>
      </c>
      <c r="X511" s="2" t="b">
        <v>1</v>
      </c>
      <c r="Y511" s="2" t="b">
        <v>0</v>
      </c>
      <c r="Z511" s="2" t="s">
        <v>74</v>
      </c>
      <c r="AA511" s="2" t="s">
        <v>53</v>
      </c>
      <c r="AB511" s="2">
        <v>13</v>
      </c>
      <c r="AC511" s="2">
        <f>SUMIF(N:N,Ecommerce_Consumer_Behavior_Analysis_Data3[[#This Row],[Brand_Loyalty]],M:M)</f>
        <v>603</v>
      </c>
      <c r="AD511" s="2" t="e" cm="1" vm="1">
        <f t="array" aca="1" ref="AD511" ca="1">SUMIFS(Y:Y,Ecommerce_Consumer_Behavior_Analysis_Data3[[#This Row],[Payment_Method]],V:V)</f>
        <v>#VALUE!</v>
      </c>
      <c r="AE511" s="2">
        <f t="shared" si="11"/>
        <v>333.8</v>
      </c>
    </row>
    <row r="512" spans="1:31" x14ac:dyDescent="0.25">
      <c r="A512" s="2" t="s">
        <v>1101</v>
      </c>
      <c r="B512" s="2">
        <v>42</v>
      </c>
      <c r="C512" s="2" t="s">
        <v>29</v>
      </c>
      <c r="D512" s="2" t="s">
        <v>30</v>
      </c>
      <c r="E512" s="2" t="s">
        <v>55</v>
      </c>
      <c r="F512" s="2" t="s">
        <v>45</v>
      </c>
      <c r="G512" s="2" t="s">
        <v>44</v>
      </c>
      <c r="H512" s="2" t="s">
        <v>1102</v>
      </c>
      <c r="I512" s="2" t="s">
        <v>107</v>
      </c>
      <c r="J512" s="2">
        <v>195.05</v>
      </c>
      <c r="K512" s="2">
        <v>5</v>
      </c>
      <c r="L512" s="2" t="s">
        <v>48</v>
      </c>
      <c r="M512" s="2">
        <v>2</v>
      </c>
      <c r="N512" s="2">
        <v>1</v>
      </c>
      <c r="O512" s="2">
        <v>2</v>
      </c>
      <c r="P512" s="2" t="s">
        <v>49</v>
      </c>
      <c r="Q512" s="2" t="s">
        <v>50</v>
      </c>
      <c r="R512" s="2">
        <v>0</v>
      </c>
      <c r="S512" s="2">
        <v>10</v>
      </c>
      <c r="T512" s="2" t="s">
        <v>44</v>
      </c>
      <c r="U512" s="2" t="s">
        <v>60</v>
      </c>
      <c r="V512" s="2" t="s">
        <v>66</v>
      </c>
      <c r="W512" s="3">
        <v>45433</v>
      </c>
      <c r="X512" s="2" t="b">
        <v>1</v>
      </c>
      <c r="Y512" s="2" t="b">
        <v>0</v>
      </c>
      <c r="Z512" s="2" t="s">
        <v>62</v>
      </c>
      <c r="AA512" s="2" t="s">
        <v>41</v>
      </c>
      <c r="AB512" s="2">
        <v>11</v>
      </c>
      <c r="AC512" s="2">
        <f>SUMIF(N:N,Ecommerce_Consumer_Behavior_Analysis_Data3[[#This Row],[Brand_Loyalty]],M:M)</f>
        <v>582</v>
      </c>
      <c r="AD512" s="2" t="e" cm="1" vm="1">
        <f t="array" aca="1" ref="AD512" ca="1">SUMIFS(Y:Y,Ecommerce_Consumer_Behavior_Analysis_Data3[[#This Row],[Payment_Method]],V:V)</f>
        <v>#VALUE!</v>
      </c>
      <c r="AE512" s="2">
        <f t="shared" si="11"/>
        <v>333.8</v>
      </c>
    </row>
    <row r="513" spans="1:31" x14ac:dyDescent="0.25">
      <c r="A513" s="2" t="s">
        <v>1103</v>
      </c>
      <c r="B513" s="2">
        <v>22</v>
      </c>
      <c r="C513" s="2" t="s">
        <v>29</v>
      </c>
      <c r="D513" s="2" t="s">
        <v>30</v>
      </c>
      <c r="E513" s="2" t="s">
        <v>31</v>
      </c>
      <c r="F513" s="2" t="s">
        <v>56</v>
      </c>
      <c r="G513" s="2" t="s">
        <v>44</v>
      </c>
      <c r="H513" s="2" t="s">
        <v>1104</v>
      </c>
      <c r="I513" s="2" t="s">
        <v>158</v>
      </c>
      <c r="J513" s="2">
        <v>432.84</v>
      </c>
      <c r="K513" s="2">
        <v>7</v>
      </c>
      <c r="L513" s="2" t="s">
        <v>35</v>
      </c>
      <c r="M513" s="2">
        <v>4</v>
      </c>
      <c r="N513" s="2">
        <v>5</v>
      </c>
      <c r="O513" s="2">
        <v>2</v>
      </c>
      <c r="P513" s="2" t="s">
        <v>44</v>
      </c>
      <c r="Q513" s="2" t="s">
        <v>85</v>
      </c>
      <c r="R513" s="2">
        <v>0</v>
      </c>
      <c r="S513" s="2">
        <v>1</v>
      </c>
      <c r="T513" s="2" t="s">
        <v>44</v>
      </c>
      <c r="U513" s="2" t="s">
        <v>38</v>
      </c>
      <c r="V513" s="2" t="s">
        <v>61</v>
      </c>
      <c r="W513" s="3">
        <v>45327</v>
      </c>
      <c r="X513" s="2" t="b">
        <v>0</v>
      </c>
      <c r="Y513" s="2" t="b">
        <v>0</v>
      </c>
      <c r="Z513" s="2" t="s">
        <v>52</v>
      </c>
      <c r="AA513" s="2" t="s">
        <v>41</v>
      </c>
      <c r="AB513" s="2">
        <v>4</v>
      </c>
      <c r="AC513" s="2">
        <f>SUMIF(N:N,Ecommerce_Consumer_Behavior_Analysis_Data3[[#This Row],[Brand_Loyalty]],M:M)</f>
        <v>603</v>
      </c>
      <c r="AD513" s="2" t="e" cm="1" vm="1">
        <f t="array" aca="1" ref="AD513" ca="1">SUMIFS(Y:Y,Ecommerce_Consumer_Behavior_Analysis_Data3[[#This Row],[Payment_Method]],V:V)</f>
        <v>#VALUE!</v>
      </c>
      <c r="AE513" s="2">
        <f t="shared" si="11"/>
        <v>101.31</v>
      </c>
    </row>
    <row r="514" spans="1:31" x14ac:dyDescent="0.25">
      <c r="A514" s="2" t="s">
        <v>1105</v>
      </c>
      <c r="B514" s="2">
        <v>30</v>
      </c>
      <c r="C514" s="2" t="s">
        <v>43</v>
      </c>
      <c r="D514" s="2" t="s">
        <v>44</v>
      </c>
      <c r="E514" s="2" t="s">
        <v>31</v>
      </c>
      <c r="F514" s="2" t="s">
        <v>32</v>
      </c>
      <c r="G514" s="2" t="s">
        <v>30</v>
      </c>
      <c r="H514" s="2" t="s">
        <v>1106</v>
      </c>
      <c r="I514" s="2" t="s">
        <v>246</v>
      </c>
      <c r="J514" s="2">
        <v>404.12</v>
      </c>
      <c r="K514" s="2">
        <v>6</v>
      </c>
      <c r="L514" s="2" t="s">
        <v>48</v>
      </c>
      <c r="M514" s="2">
        <v>1</v>
      </c>
      <c r="N514" s="2">
        <v>3</v>
      </c>
      <c r="O514" s="2">
        <v>1</v>
      </c>
      <c r="P514" s="2" t="s">
        <v>44</v>
      </c>
      <c r="Q514" s="2" t="s">
        <v>85</v>
      </c>
      <c r="R514" s="2">
        <v>0</v>
      </c>
      <c r="S514" s="2">
        <v>4</v>
      </c>
      <c r="T514" s="2" t="s">
        <v>59</v>
      </c>
      <c r="U514" s="2" t="s">
        <v>60</v>
      </c>
      <c r="V514" s="2" t="s">
        <v>61</v>
      </c>
      <c r="W514" s="3">
        <v>45351</v>
      </c>
      <c r="X514" s="2" t="b">
        <v>0</v>
      </c>
      <c r="Y514" s="2" t="b">
        <v>0</v>
      </c>
      <c r="Z514" s="2" t="s">
        <v>62</v>
      </c>
      <c r="AA514" s="2" t="s">
        <v>67</v>
      </c>
      <c r="AB514" s="2">
        <v>11</v>
      </c>
      <c r="AC514" s="2">
        <f>SUMIF(N:N,Ecommerce_Consumer_Behavior_Analysis_Data3[[#This Row],[Brand_Loyalty]],M:M)</f>
        <v>603</v>
      </c>
      <c r="AD514" s="2" t="e" cm="1" vm="1">
        <f t="array" aca="1" ref="AD514" ca="1">SUMIFS(Y:Y,Ecommerce_Consumer_Behavior_Analysis_Data3[[#This Row],[Payment_Method]],V:V)</f>
        <v>#VALUE!</v>
      </c>
      <c r="AE514" s="2">
        <f t="shared" ref="AE514:AE577" si="12">INDEX(J:J,MATCH(O515,O:O,0))</f>
        <v>101.31</v>
      </c>
    </row>
    <row r="515" spans="1:31" x14ac:dyDescent="0.25">
      <c r="A515" s="2" t="s">
        <v>1107</v>
      </c>
      <c r="B515" s="2">
        <v>39</v>
      </c>
      <c r="C515" s="2" t="s">
        <v>43</v>
      </c>
      <c r="D515" s="2" t="s">
        <v>44</v>
      </c>
      <c r="E515" s="2" t="s">
        <v>76</v>
      </c>
      <c r="F515" s="2" t="s">
        <v>56</v>
      </c>
      <c r="G515" s="2" t="s">
        <v>44</v>
      </c>
      <c r="H515" s="2" t="s">
        <v>1108</v>
      </c>
      <c r="I515" s="2" t="s">
        <v>158</v>
      </c>
      <c r="J515" s="2">
        <v>438.26</v>
      </c>
      <c r="K515" s="2">
        <v>10</v>
      </c>
      <c r="L515" s="2" t="s">
        <v>48</v>
      </c>
      <c r="M515" s="2">
        <v>3</v>
      </c>
      <c r="N515" s="2">
        <v>4</v>
      </c>
      <c r="O515" s="2">
        <v>1</v>
      </c>
      <c r="P515" s="2" t="s">
        <v>36</v>
      </c>
      <c r="Q515" s="2" t="s">
        <v>37</v>
      </c>
      <c r="R515" s="2">
        <v>1</v>
      </c>
      <c r="S515" s="2">
        <v>3</v>
      </c>
      <c r="T515" s="2" t="s">
        <v>49</v>
      </c>
      <c r="U515" s="2" t="s">
        <v>60</v>
      </c>
      <c r="V515" s="2" t="s">
        <v>61</v>
      </c>
      <c r="W515" s="3">
        <v>45477</v>
      </c>
      <c r="X515" s="2" t="b">
        <v>1</v>
      </c>
      <c r="Y515" s="2" t="b">
        <v>0</v>
      </c>
      <c r="Z515" s="2" t="s">
        <v>74</v>
      </c>
      <c r="AA515" s="2" t="s">
        <v>67</v>
      </c>
      <c r="AB515" s="2">
        <v>10</v>
      </c>
      <c r="AC515" s="2">
        <f>SUMIF(N:N,Ecommerce_Consumer_Behavior_Analysis_Data3[[#This Row],[Brand_Loyalty]],M:M)</f>
        <v>597</v>
      </c>
      <c r="AD515" s="2" t="e" cm="1" vm="1">
        <f t="array" aca="1" ref="AD515" ca="1">SUMIFS(Y:Y,Ecommerce_Consumer_Behavior_Analysis_Data3[[#This Row],[Payment_Method]],V:V)</f>
        <v>#VALUE!</v>
      </c>
      <c r="AE515" s="2">
        <f t="shared" si="12"/>
        <v>101.31</v>
      </c>
    </row>
    <row r="516" spans="1:31" x14ac:dyDescent="0.25">
      <c r="A516" s="2" t="s">
        <v>1109</v>
      </c>
      <c r="B516" s="2">
        <v>19</v>
      </c>
      <c r="C516" s="2" t="s">
        <v>29</v>
      </c>
      <c r="D516" s="2" t="s">
        <v>44</v>
      </c>
      <c r="E516" s="2" t="s">
        <v>55</v>
      </c>
      <c r="F516" s="2" t="s">
        <v>32</v>
      </c>
      <c r="G516" s="2" t="s">
        <v>44</v>
      </c>
      <c r="H516" s="2" t="s">
        <v>1110</v>
      </c>
      <c r="I516" s="2" t="s">
        <v>246</v>
      </c>
      <c r="J516" s="2">
        <v>233.02</v>
      </c>
      <c r="K516" s="2">
        <v>4</v>
      </c>
      <c r="L516" s="2" t="s">
        <v>35</v>
      </c>
      <c r="M516" s="2">
        <v>3</v>
      </c>
      <c r="N516" s="2">
        <v>3</v>
      </c>
      <c r="O516" s="2">
        <v>1</v>
      </c>
      <c r="P516" s="2" t="s">
        <v>49</v>
      </c>
      <c r="Q516" s="2" t="s">
        <v>50</v>
      </c>
      <c r="R516" s="2">
        <v>0</v>
      </c>
      <c r="S516" s="2">
        <v>3</v>
      </c>
      <c r="T516" s="2" t="s">
        <v>49</v>
      </c>
      <c r="U516" s="2" t="s">
        <v>60</v>
      </c>
      <c r="V516" s="2" t="s">
        <v>86</v>
      </c>
      <c r="W516" s="3">
        <v>45594</v>
      </c>
      <c r="X516" s="2" t="b">
        <v>0</v>
      </c>
      <c r="Y516" s="2" t="b">
        <v>0</v>
      </c>
      <c r="Z516" s="2" t="s">
        <v>62</v>
      </c>
      <c r="AA516" s="2" t="s">
        <v>53</v>
      </c>
      <c r="AB516" s="2">
        <v>8</v>
      </c>
      <c r="AC516" s="2">
        <f>SUMIF(N:N,Ecommerce_Consumer_Behavior_Analysis_Data3[[#This Row],[Brand_Loyalty]],M:M)</f>
        <v>597</v>
      </c>
      <c r="AD516" s="2" t="e" cm="1" vm="1">
        <f t="array" aca="1" ref="AD516" ca="1">SUMIFS(Y:Y,Ecommerce_Consumer_Behavior_Analysis_Data3[[#This Row],[Payment_Method]],V:V)</f>
        <v>#VALUE!</v>
      </c>
      <c r="AE516" s="2">
        <f t="shared" si="12"/>
        <v>333.8</v>
      </c>
    </row>
    <row r="517" spans="1:31" x14ac:dyDescent="0.25">
      <c r="A517" s="2" t="s">
        <v>1111</v>
      </c>
      <c r="B517" s="2">
        <v>26</v>
      </c>
      <c r="C517" s="2" t="s">
        <v>29</v>
      </c>
      <c r="D517" s="2" t="s">
        <v>30</v>
      </c>
      <c r="E517" s="2" t="s">
        <v>69</v>
      </c>
      <c r="F517" s="2" t="s">
        <v>32</v>
      </c>
      <c r="G517" s="2" t="s">
        <v>30</v>
      </c>
      <c r="H517" s="2" t="s">
        <v>1112</v>
      </c>
      <c r="I517" s="2" t="s">
        <v>114</v>
      </c>
      <c r="J517" s="2">
        <v>273.41000000000003</v>
      </c>
      <c r="K517" s="2">
        <v>7</v>
      </c>
      <c r="L517" s="2" t="s">
        <v>78</v>
      </c>
      <c r="M517" s="2">
        <v>3</v>
      </c>
      <c r="N517" s="2">
        <v>5</v>
      </c>
      <c r="O517" s="2">
        <v>2</v>
      </c>
      <c r="P517" s="2" t="s">
        <v>59</v>
      </c>
      <c r="Q517" s="2" t="s">
        <v>85</v>
      </c>
      <c r="R517" s="2">
        <v>0</v>
      </c>
      <c r="S517" s="2">
        <v>9</v>
      </c>
      <c r="T517" s="2" t="s">
        <v>49</v>
      </c>
      <c r="U517" s="2" t="s">
        <v>38</v>
      </c>
      <c r="V517" s="2" t="s">
        <v>66</v>
      </c>
      <c r="W517" s="3">
        <v>45582</v>
      </c>
      <c r="X517" s="2" t="b">
        <v>1</v>
      </c>
      <c r="Y517" s="2" t="b">
        <v>0</v>
      </c>
      <c r="Z517" s="2" t="s">
        <v>74</v>
      </c>
      <c r="AA517" s="2" t="s">
        <v>53</v>
      </c>
      <c r="AB517" s="2">
        <v>2</v>
      </c>
      <c r="AC517" s="2">
        <f>SUMIF(N:N,Ecommerce_Consumer_Behavior_Analysis_Data3[[#This Row],[Brand_Loyalty]],M:M)</f>
        <v>597</v>
      </c>
      <c r="AD517" s="2" t="e" cm="1" vm="1">
        <f t="array" aca="1" ref="AD517" ca="1">SUMIFS(Y:Y,Ecommerce_Consumer_Behavior_Analysis_Data3[[#This Row],[Payment_Method]],V:V)</f>
        <v>#VALUE!</v>
      </c>
      <c r="AE517" s="2">
        <f t="shared" si="12"/>
        <v>333.8</v>
      </c>
    </row>
    <row r="518" spans="1:31" x14ac:dyDescent="0.25">
      <c r="A518" s="2" t="s">
        <v>1113</v>
      </c>
      <c r="B518" s="2">
        <v>21</v>
      </c>
      <c r="C518" s="2" t="s">
        <v>29</v>
      </c>
      <c r="D518" s="2" t="s">
        <v>44</v>
      </c>
      <c r="E518" s="2" t="s">
        <v>31</v>
      </c>
      <c r="F518" s="2" t="s">
        <v>45</v>
      </c>
      <c r="G518" s="2" t="s">
        <v>30</v>
      </c>
      <c r="H518" s="2" t="s">
        <v>1114</v>
      </c>
      <c r="I518" s="2" t="s">
        <v>71</v>
      </c>
      <c r="J518" s="2">
        <v>338.96</v>
      </c>
      <c r="K518" s="2">
        <v>10</v>
      </c>
      <c r="L518" s="2" t="s">
        <v>78</v>
      </c>
      <c r="M518" s="2">
        <v>1</v>
      </c>
      <c r="N518" s="2">
        <v>4</v>
      </c>
      <c r="O518" s="2">
        <v>2</v>
      </c>
      <c r="P518" s="2" t="s">
        <v>44</v>
      </c>
      <c r="Q518" s="2" t="s">
        <v>37</v>
      </c>
      <c r="R518" s="2">
        <v>1</v>
      </c>
      <c r="S518" s="2">
        <v>9</v>
      </c>
      <c r="T518" s="2" t="s">
        <v>44</v>
      </c>
      <c r="U518" s="2" t="s">
        <v>79</v>
      </c>
      <c r="V518" s="2" t="s">
        <v>61</v>
      </c>
      <c r="W518" s="3">
        <v>45600</v>
      </c>
      <c r="X518" s="2" t="b">
        <v>1</v>
      </c>
      <c r="Y518" s="2" t="b">
        <v>1</v>
      </c>
      <c r="Z518" s="2" t="s">
        <v>52</v>
      </c>
      <c r="AA518" s="2" t="s">
        <v>53</v>
      </c>
      <c r="AB518" s="2">
        <v>4</v>
      </c>
      <c r="AC518" s="2">
        <f>SUMIF(N:N,Ecommerce_Consumer_Behavior_Analysis_Data3[[#This Row],[Brand_Loyalty]],M:M)</f>
        <v>603</v>
      </c>
      <c r="AD518" s="2" t="e" cm="1" vm="1">
        <f t="array" aca="1" ref="AD518" ca="1">SUMIFS(Y:Y,Ecommerce_Consumer_Behavior_Analysis_Data3[[#This Row],[Payment_Method]],V:V)</f>
        <v>#VALUE!</v>
      </c>
      <c r="AE518" s="2">
        <f t="shared" si="12"/>
        <v>333.8</v>
      </c>
    </row>
    <row r="519" spans="1:31" x14ac:dyDescent="0.25">
      <c r="A519" s="2" t="s">
        <v>1115</v>
      </c>
      <c r="B519" s="2">
        <v>37</v>
      </c>
      <c r="C519" s="2" t="s">
        <v>43</v>
      </c>
      <c r="D519" s="2" t="s">
        <v>30</v>
      </c>
      <c r="E519" s="2" t="s">
        <v>76</v>
      </c>
      <c r="F519" s="2" t="s">
        <v>56</v>
      </c>
      <c r="G519" s="2" t="s">
        <v>44</v>
      </c>
      <c r="H519" s="2" t="s">
        <v>1116</v>
      </c>
      <c r="I519" s="2" t="s">
        <v>98</v>
      </c>
      <c r="J519" s="2">
        <v>75.91</v>
      </c>
      <c r="K519" s="2">
        <v>12</v>
      </c>
      <c r="L519" s="2" t="s">
        <v>35</v>
      </c>
      <c r="M519" s="2">
        <v>3</v>
      </c>
      <c r="N519" s="2">
        <v>5</v>
      </c>
      <c r="O519" s="2">
        <v>2</v>
      </c>
      <c r="P519" s="2" t="s">
        <v>59</v>
      </c>
      <c r="Q519" s="2" t="s">
        <v>85</v>
      </c>
      <c r="R519" s="2">
        <v>0</v>
      </c>
      <c r="S519" s="2">
        <v>6</v>
      </c>
      <c r="T519" s="2" t="s">
        <v>36</v>
      </c>
      <c r="U519" s="2" t="s">
        <v>79</v>
      </c>
      <c r="V519" s="2" t="s">
        <v>51</v>
      </c>
      <c r="W519" s="3">
        <v>45617</v>
      </c>
      <c r="X519" s="2" t="b">
        <v>1</v>
      </c>
      <c r="Y519" s="2" t="b">
        <v>1</v>
      </c>
      <c r="Z519" s="2" t="s">
        <v>74</v>
      </c>
      <c r="AA519" s="2" t="s">
        <v>41</v>
      </c>
      <c r="AB519" s="2">
        <v>1</v>
      </c>
      <c r="AC519" s="2">
        <f>SUMIF(N:N,Ecommerce_Consumer_Behavior_Analysis_Data3[[#This Row],[Brand_Loyalty]],M:M)</f>
        <v>597</v>
      </c>
      <c r="AD519" s="2" t="e" cm="1" vm="1">
        <f t="array" aca="1" ref="AD519" ca="1">SUMIFS(Y:Y,Ecommerce_Consumer_Behavior_Analysis_Data3[[#This Row],[Payment_Method]],V:V)</f>
        <v>#VALUE!</v>
      </c>
      <c r="AE519" s="2">
        <f t="shared" si="12"/>
        <v>333.8</v>
      </c>
    </row>
    <row r="520" spans="1:31" x14ac:dyDescent="0.25">
      <c r="A520" s="2" t="s">
        <v>1117</v>
      </c>
      <c r="B520" s="2">
        <v>23</v>
      </c>
      <c r="C520" s="2" t="s">
        <v>43</v>
      </c>
      <c r="D520" s="2" t="s">
        <v>44</v>
      </c>
      <c r="E520" s="2" t="s">
        <v>31</v>
      </c>
      <c r="F520" s="2" t="s">
        <v>45</v>
      </c>
      <c r="G520" s="2" t="s">
        <v>44</v>
      </c>
      <c r="H520" s="2" t="s">
        <v>1118</v>
      </c>
      <c r="I520" s="2" t="s">
        <v>93</v>
      </c>
      <c r="J520" s="2">
        <v>425.21</v>
      </c>
      <c r="K520" s="2">
        <v>12</v>
      </c>
      <c r="L520" s="2" t="s">
        <v>78</v>
      </c>
      <c r="M520" s="2">
        <v>2</v>
      </c>
      <c r="N520" s="2">
        <v>4</v>
      </c>
      <c r="O520" s="2">
        <v>2</v>
      </c>
      <c r="P520" s="2" t="s">
        <v>59</v>
      </c>
      <c r="Q520" s="2" t="s">
        <v>37</v>
      </c>
      <c r="R520" s="2">
        <v>0</v>
      </c>
      <c r="S520" s="2">
        <v>4</v>
      </c>
      <c r="T520" s="2" t="s">
        <v>44</v>
      </c>
      <c r="U520" s="2" t="s">
        <v>79</v>
      </c>
      <c r="V520" s="2" t="s">
        <v>66</v>
      </c>
      <c r="W520" s="3">
        <v>45376</v>
      </c>
      <c r="X520" s="2" t="b">
        <v>1</v>
      </c>
      <c r="Y520" s="2" t="b">
        <v>1</v>
      </c>
      <c r="Z520" s="2" t="s">
        <v>74</v>
      </c>
      <c r="AA520" s="2" t="s">
        <v>67</v>
      </c>
      <c r="AB520" s="2">
        <v>12</v>
      </c>
      <c r="AC520" s="2">
        <f>SUMIF(N:N,Ecommerce_Consumer_Behavior_Analysis_Data3[[#This Row],[Brand_Loyalty]],M:M)</f>
        <v>582</v>
      </c>
      <c r="AD520" s="2" t="e" cm="1" vm="1">
        <f t="array" aca="1" ref="AD520" ca="1">SUMIFS(Y:Y,Ecommerce_Consumer_Behavior_Analysis_Data3[[#This Row],[Payment_Method]],V:V)</f>
        <v>#VALUE!</v>
      </c>
      <c r="AE520" s="2">
        <f t="shared" si="12"/>
        <v>211.7</v>
      </c>
    </row>
    <row r="521" spans="1:31" x14ac:dyDescent="0.25">
      <c r="A521" s="2" t="s">
        <v>1119</v>
      </c>
      <c r="B521" s="2">
        <v>46</v>
      </c>
      <c r="C521" s="2" t="s">
        <v>43</v>
      </c>
      <c r="D521" s="2" t="s">
        <v>30</v>
      </c>
      <c r="E521" s="2" t="s">
        <v>31</v>
      </c>
      <c r="F521" s="2" t="s">
        <v>56</v>
      </c>
      <c r="G521" s="2" t="s">
        <v>30</v>
      </c>
      <c r="H521" s="2" t="s">
        <v>1120</v>
      </c>
      <c r="I521" s="2" t="s">
        <v>120</v>
      </c>
      <c r="J521" s="2">
        <v>268.8</v>
      </c>
      <c r="K521" s="2">
        <v>2</v>
      </c>
      <c r="L521" s="2" t="s">
        <v>48</v>
      </c>
      <c r="M521" s="2">
        <v>1</v>
      </c>
      <c r="N521" s="2">
        <v>3</v>
      </c>
      <c r="O521" s="2">
        <v>0</v>
      </c>
      <c r="P521" s="2" t="s">
        <v>44</v>
      </c>
      <c r="Q521" s="2" t="s">
        <v>85</v>
      </c>
      <c r="R521" s="2">
        <v>1</v>
      </c>
      <c r="S521" s="2">
        <v>7</v>
      </c>
      <c r="T521" s="2" t="s">
        <v>36</v>
      </c>
      <c r="U521" s="2" t="s">
        <v>79</v>
      </c>
      <c r="V521" s="2" t="s">
        <v>61</v>
      </c>
      <c r="W521" s="3">
        <v>45402</v>
      </c>
      <c r="X521" s="2" t="b">
        <v>0</v>
      </c>
      <c r="Y521" s="2" t="b">
        <v>0</v>
      </c>
      <c r="Z521" s="2" t="s">
        <v>40</v>
      </c>
      <c r="AA521" s="2" t="s">
        <v>53</v>
      </c>
      <c r="AB521" s="2">
        <v>12</v>
      </c>
      <c r="AC521" s="2">
        <f>SUMIF(N:N,Ecommerce_Consumer_Behavior_Analysis_Data3[[#This Row],[Brand_Loyalty]],M:M)</f>
        <v>603</v>
      </c>
      <c r="AD521" s="2" t="e" cm="1" vm="1">
        <f t="array" aca="1" ref="AD521" ca="1">SUMIFS(Y:Y,Ecommerce_Consumer_Behavior_Analysis_Data3[[#This Row],[Payment_Method]],V:V)</f>
        <v>#VALUE!</v>
      </c>
      <c r="AE521" s="2">
        <f t="shared" si="12"/>
        <v>211.7</v>
      </c>
    </row>
    <row r="522" spans="1:31" x14ac:dyDescent="0.25">
      <c r="A522" s="2" t="s">
        <v>1121</v>
      </c>
      <c r="B522" s="2">
        <v>35</v>
      </c>
      <c r="C522" s="2" t="s">
        <v>29</v>
      </c>
      <c r="D522" s="2" t="s">
        <v>30</v>
      </c>
      <c r="E522" s="2" t="s">
        <v>76</v>
      </c>
      <c r="F522" s="2" t="s">
        <v>56</v>
      </c>
      <c r="G522" s="2" t="s">
        <v>44</v>
      </c>
      <c r="H522" s="2" t="s">
        <v>1122</v>
      </c>
      <c r="I522" s="2" t="s">
        <v>104</v>
      </c>
      <c r="J522" s="2">
        <v>170.71</v>
      </c>
      <c r="K522" s="2">
        <v>10</v>
      </c>
      <c r="L522" s="2" t="s">
        <v>35</v>
      </c>
      <c r="M522" s="2">
        <v>5</v>
      </c>
      <c r="N522" s="2">
        <v>3</v>
      </c>
      <c r="O522" s="2">
        <v>0</v>
      </c>
      <c r="P522" s="2" t="s">
        <v>59</v>
      </c>
      <c r="Q522" s="2" t="s">
        <v>37</v>
      </c>
      <c r="R522" s="2">
        <v>1</v>
      </c>
      <c r="S522" s="2">
        <v>9</v>
      </c>
      <c r="T522" s="2" t="s">
        <v>59</v>
      </c>
      <c r="U522" s="2" t="s">
        <v>79</v>
      </c>
      <c r="V522" s="2" t="s">
        <v>39</v>
      </c>
      <c r="W522" s="3">
        <v>45396</v>
      </c>
      <c r="X522" s="2" t="b">
        <v>1</v>
      </c>
      <c r="Y522" s="2" t="b">
        <v>1</v>
      </c>
      <c r="Z522" s="2" t="s">
        <v>74</v>
      </c>
      <c r="AA522" s="2" t="s">
        <v>41</v>
      </c>
      <c r="AB522" s="2">
        <v>7</v>
      </c>
      <c r="AC522" s="2">
        <f>SUMIF(N:N,Ecommerce_Consumer_Behavior_Analysis_Data3[[#This Row],[Brand_Loyalty]],M:M)</f>
        <v>641</v>
      </c>
      <c r="AD522" s="2" t="e" cm="1" vm="1">
        <f t="array" aca="1" ref="AD522" ca="1">SUMIFS(Y:Y,Ecommerce_Consumer_Behavior_Analysis_Data3[[#This Row],[Payment_Method]],V:V)</f>
        <v>#VALUE!</v>
      </c>
      <c r="AE522" s="2">
        <f t="shared" si="12"/>
        <v>211.7</v>
      </c>
    </row>
    <row r="523" spans="1:31" x14ac:dyDescent="0.25">
      <c r="A523" s="2" t="s">
        <v>1123</v>
      </c>
      <c r="B523" s="2">
        <v>33</v>
      </c>
      <c r="C523" s="2" t="s">
        <v>190</v>
      </c>
      <c r="D523" s="2" t="s">
        <v>30</v>
      </c>
      <c r="E523" s="2" t="s">
        <v>69</v>
      </c>
      <c r="F523" s="2" t="s">
        <v>45</v>
      </c>
      <c r="G523" s="2" t="s">
        <v>30</v>
      </c>
      <c r="H523" s="2" t="s">
        <v>1124</v>
      </c>
      <c r="I523" s="2" t="s">
        <v>101</v>
      </c>
      <c r="J523" s="2">
        <v>444.05</v>
      </c>
      <c r="K523" s="2">
        <v>10</v>
      </c>
      <c r="L523" s="2" t="s">
        <v>78</v>
      </c>
      <c r="M523" s="2">
        <v>5</v>
      </c>
      <c r="N523" s="2">
        <v>4</v>
      </c>
      <c r="O523" s="2">
        <v>0</v>
      </c>
      <c r="P523" s="2" t="s">
        <v>59</v>
      </c>
      <c r="Q523" s="2" t="s">
        <v>50</v>
      </c>
      <c r="R523" s="2">
        <v>1</v>
      </c>
      <c r="S523" s="2">
        <v>8</v>
      </c>
      <c r="T523" s="2" t="s">
        <v>49</v>
      </c>
      <c r="U523" s="2" t="s">
        <v>79</v>
      </c>
      <c r="V523" s="2" t="s">
        <v>51</v>
      </c>
      <c r="W523" s="3">
        <v>45447</v>
      </c>
      <c r="X523" s="2" t="b">
        <v>1</v>
      </c>
      <c r="Y523" s="2" t="b">
        <v>1</v>
      </c>
      <c r="Z523" s="2" t="s">
        <v>52</v>
      </c>
      <c r="AA523" s="2" t="s">
        <v>53</v>
      </c>
      <c r="AB523" s="2">
        <v>8</v>
      </c>
      <c r="AC523" s="2">
        <f>SUMIF(N:N,Ecommerce_Consumer_Behavior_Analysis_Data3[[#This Row],[Brand_Loyalty]],M:M)</f>
        <v>641</v>
      </c>
      <c r="AD523" s="2" t="e" cm="1" vm="1">
        <f t="array" aca="1" ref="AD523" ca="1">SUMIFS(Y:Y,Ecommerce_Consumer_Behavior_Analysis_Data3[[#This Row],[Payment_Method]],V:V)</f>
        <v>#VALUE!</v>
      </c>
      <c r="AE523" s="2">
        <f t="shared" si="12"/>
        <v>333.8</v>
      </c>
    </row>
    <row r="524" spans="1:31" x14ac:dyDescent="0.25">
      <c r="A524" s="2" t="s">
        <v>1125</v>
      </c>
      <c r="B524" s="2">
        <v>47</v>
      </c>
      <c r="C524" s="2" t="s">
        <v>43</v>
      </c>
      <c r="D524" s="2" t="s">
        <v>30</v>
      </c>
      <c r="E524" s="2" t="s">
        <v>76</v>
      </c>
      <c r="F524" s="2" t="s">
        <v>45</v>
      </c>
      <c r="G524" s="2" t="s">
        <v>30</v>
      </c>
      <c r="H524" s="2" t="s">
        <v>1126</v>
      </c>
      <c r="I524" s="2" t="s">
        <v>34</v>
      </c>
      <c r="J524" s="2">
        <v>255.1</v>
      </c>
      <c r="K524" s="2">
        <v>5</v>
      </c>
      <c r="L524" s="2" t="s">
        <v>35</v>
      </c>
      <c r="M524" s="2">
        <v>5</v>
      </c>
      <c r="N524" s="2">
        <v>1</v>
      </c>
      <c r="O524" s="2">
        <v>2</v>
      </c>
      <c r="P524" s="2" t="s">
        <v>44</v>
      </c>
      <c r="Q524" s="2" t="s">
        <v>85</v>
      </c>
      <c r="R524" s="2">
        <v>1</v>
      </c>
      <c r="S524" s="2">
        <v>1</v>
      </c>
      <c r="T524" s="2" t="s">
        <v>59</v>
      </c>
      <c r="U524" s="2" t="s">
        <v>79</v>
      </c>
      <c r="V524" s="2" t="s">
        <v>51</v>
      </c>
      <c r="W524" s="3">
        <v>45319</v>
      </c>
      <c r="X524" s="2" t="b">
        <v>1</v>
      </c>
      <c r="Y524" s="2" t="b">
        <v>0</v>
      </c>
      <c r="Z524" s="2" t="s">
        <v>74</v>
      </c>
      <c r="AA524" s="2" t="s">
        <v>41</v>
      </c>
      <c r="AB524" s="2">
        <v>14</v>
      </c>
      <c r="AC524" s="2">
        <f>SUMIF(N:N,Ecommerce_Consumer_Behavior_Analysis_Data3[[#This Row],[Brand_Loyalty]],M:M)</f>
        <v>641</v>
      </c>
      <c r="AD524" s="2" t="e" cm="1" vm="1">
        <f t="array" aca="1" ref="AD524" ca="1">SUMIFS(Y:Y,Ecommerce_Consumer_Behavior_Analysis_Data3[[#This Row],[Payment_Method]],V:V)</f>
        <v>#VALUE!</v>
      </c>
      <c r="AE524" s="2">
        <f t="shared" si="12"/>
        <v>211.7</v>
      </c>
    </row>
    <row r="525" spans="1:31" x14ac:dyDescent="0.25">
      <c r="A525" s="2" t="s">
        <v>1127</v>
      </c>
      <c r="B525" s="2">
        <v>32</v>
      </c>
      <c r="C525" s="2" t="s">
        <v>43</v>
      </c>
      <c r="D525" s="2" t="s">
        <v>44</v>
      </c>
      <c r="E525" s="2" t="s">
        <v>69</v>
      </c>
      <c r="F525" s="2" t="s">
        <v>32</v>
      </c>
      <c r="G525" s="2" t="s">
        <v>44</v>
      </c>
      <c r="H525" s="2" t="s">
        <v>1128</v>
      </c>
      <c r="I525" s="2" t="s">
        <v>142</v>
      </c>
      <c r="J525" s="2">
        <v>236.44</v>
      </c>
      <c r="K525" s="2">
        <v>6</v>
      </c>
      <c r="L525" s="2" t="s">
        <v>35</v>
      </c>
      <c r="M525" s="2">
        <v>4</v>
      </c>
      <c r="N525" s="2">
        <v>4</v>
      </c>
      <c r="O525" s="2">
        <v>0</v>
      </c>
      <c r="P525" s="2" t="s">
        <v>49</v>
      </c>
      <c r="Q525" s="2" t="s">
        <v>85</v>
      </c>
      <c r="R525" s="2">
        <v>2</v>
      </c>
      <c r="S525" s="2">
        <v>2</v>
      </c>
      <c r="T525" s="2" t="s">
        <v>36</v>
      </c>
      <c r="U525" s="2" t="s">
        <v>60</v>
      </c>
      <c r="V525" s="2" t="s">
        <v>51</v>
      </c>
      <c r="W525" s="3">
        <v>45427</v>
      </c>
      <c r="X525" s="2" t="b">
        <v>0</v>
      </c>
      <c r="Y525" s="2" t="b">
        <v>0</v>
      </c>
      <c r="Z525" s="2" t="s">
        <v>62</v>
      </c>
      <c r="AA525" s="2" t="s">
        <v>53</v>
      </c>
      <c r="AB525" s="2">
        <v>6</v>
      </c>
      <c r="AC525" s="2">
        <f>SUMIF(N:N,Ecommerce_Consumer_Behavior_Analysis_Data3[[#This Row],[Brand_Loyalty]],M:M)</f>
        <v>603</v>
      </c>
      <c r="AD525" s="2" t="e" cm="1" vm="1">
        <f t="array" aca="1" ref="AD525" ca="1">SUMIFS(Y:Y,Ecommerce_Consumer_Behavior_Analysis_Data3[[#This Row],[Payment_Method]],V:V)</f>
        <v>#VALUE!</v>
      </c>
      <c r="AE525" s="2">
        <f t="shared" si="12"/>
        <v>211.7</v>
      </c>
    </row>
    <row r="526" spans="1:31" x14ac:dyDescent="0.25">
      <c r="A526" s="2" t="s">
        <v>1129</v>
      </c>
      <c r="B526" s="2">
        <v>20</v>
      </c>
      <c r="C526" s="2" t="s">
        <v>43</v>
      </c>
      <c r="D526" s="2" t="s">
        <v>30</v>
      </c>
      <c r="E526" s="2" t="s">
        <v>69</v>
      </c>
      <c r="F526" s="2" t="s">
        <v>32</v>
      </c>
      <c r="G526" s="2" t="s">
        <v>44</v>
      </c>
      <c r="H526" s="2" t="s">
        <v>1130</v>
      </c>
      <c r="I526" s="2" t="s">
        <v>71</v>
      </c>
      <c r="J526" s="2">
        <v>201.69</v>
      </c>
      <c r="K526" s="2">
        <v>11</v>
      </c>
      <c r="L526" s="2" t="s">
        <v>35</v>
      </c>
      <c r="M526" s="2">
        <v>4</v>
      </c>
      <c r="N526" s="2">
        <v>5</v>
      </c>
      <c r="O526" s="2">
        <v>0</v>
      </c>
      <c r="P526" s="2" t="s">
        <v>44</v>
      </c>
      <c r="Q526" s="2" t="s">
        <v>85</v>
      </c>
      <c r="R526" s="2">
        <v>2</v>
      </c>
      <c r="S526" s="2">
        <v>8</v>
      </c>
      <c r="T526" s="2" t="s">
        <v>59</v>
      </c>
      <c r="U526" s="2" t="s">
        <v>38</v>
      </c>
      <c r="V526" s="2" t="s">
        <v>66</v>
      </c>
      <c r="W526" s="3">
        <v>45492</v>
      </c>
      <c r="X526" s="2" t="b">
        <v>1</v>
      </c>
      <c r="Y526" s="2" t="b">
        <v>0</v>
      </c>
      <c r="Z526" s="2" t="s">
        <v>74</v>
      </c>
      <c r="AA526" s="2" t="s">
        <v>41</v>
      </c>
      <c r="AB526" s="2">
        <v>3</v>
      </c>
      <c r="AC526" s="2">
        <f>SUMIF(N:N,Ecommerce_Consumer_Behavior_Analysis_Data3[[#This Row],[Brand_Loyalty]],M:M)</f>
        <v>603</v>
      </c>
      <c r="AD526" s="2" t="e" cm="1" vm="1">
        <f t="array" aca="1" ref="AD526" ca="1">SUMIFS(Y:Y,Ecommerce_Consumer_Behavior_Analysis_Data3[[#This Row],[Payment_Method]],V:V)</f>
        <v>#VALUE!</v>
      </c>
      <c r="AE526" s="2">
        <f t="shared" si="12"/>
        <v>211.7</v>
      </c>
    </row>
    <row r="527" spans="1:31" x14ac:dyDescent="0.25">
      <c r="A527" s="2" t="s">
        <v>1131</v>
      </c>
      <c r="B527" s="2">
        <v>37</v>
      </c>
      <c r="C527" s="2" t="s">
        <v>29</v>
      </c>
      <c r="D527" s="2" t="s">
        <v>44</v>
      </c>
      <c r="E527" s="2" t="s">
        <v>55</v>
      </c>
      <c r="F527" s="2" t="s">
        <v>32</v>
      </c>
      <c r="G527" s="2" t="s">
        <v>30</v>
      </c>
      <c r="H527" s="2" t="s">
        <v>1132</v>
      </c>
      <c r="I527" s="2" t="s">
        <v>135</v>
      </c>
      <c r="J527" s="2">
        <v>390.51</v>
      </c>
      <c r="K527" s="2">
        <v>6</v>
      </c>
      <c r="L527" s="2" t="s">
        <v>78</v>
      </c>
      <c r="M527" s="2">
        <v>3</v>
      </c>
      <c r="N527" s="2">
        <v>2</v>
      </c>
      <c r="O527" s="2">
        <v>0</v>
      </c>
      <c r="P527" s="2" t="s">
        <v>49</v>
      </c>
      <c r="Q527" s="2" t="s">
        <v>85</v>
      </c>
      <c r="R527" s="2">
        <v>0</v>
      </c>
      <c r="S527" s="2">
        <v>2</v>
      </c>
      <c r="T527" s="2" t="s">
        <v>44</v>
      </c>
      <c r="U527" s="2" t="s">
        <v>79</v>
      </c>
      <c r="V527" s="2" t="s">
        <v>86</v>
      </c>
      <c r="W527" s="3">
        <v>45397</v>
      </c>
      <c r="X527" s="2" t="b">
        <v>0</v>
      </c>
      <c r="Y527" s="2" t="b">
        <v>0</v>
      </c>
      <c r="Z527" s="2" t="s">
        <v>52</v>
      </c>
      <c r="AA527" s="2" t="s">
        <v>67</v>
      </c>
      <c r="AB527" s="2">
        <v>6</v>
      </c>
      <c r="AC527" s="2">
        <f>SUMIF(N:N,Ecommerce_Consumer_Behavior_Analysis_Data3[[#This Row],[Brand_Loyalty]],M:M)</f>
        <v>597</v>
      </c>
      <c r="AD527" s="2" t="e" cm="1" vm="1">
        <f t="array" aca="1" ref="AD527" ca="1">SUMIFS(Y:Y,Ecommerce_Consumer_Behavior_Analysis_Data3[[#This Row],[Payment_Method]],V:V)</f>
        <v>#VALUE!</v>
      </c>
      <c r="AE527" s="2">
        <f t="shared" si="12"/>
        <v>211.7</v>
      </c>
    </row>
    <row r="528" spans="1:31" x14ac:dyDescent="0.25">
      <c r="A528" s="2" t="s">
        <v>1133</v>
      </c>
      <c r="B528" s="2">
        <v>35</v>
      </c>
      <c r="C528" s="2" t="s">
        <v>190</v>
      </c>
      <c r="D528" s="2" t="s">
        <v>44</v>
      </c>
      <c r="E528" s="2" t="s">
        <v>76</v>
      </c>
      <c r="F528" s="2" t="s">
        <v>56</v>
      </c>
      <c r="G528" s="2" t="s">
        <v>44</v>
      </c>
      <c r="H528" s="2" t="s">
        <v>1134</v>
      </c>
      <c r="I528" s="2" t="s">
        <v>183</v>
      </c>
      <c r="J528" s="2">
        <v>442.29</v>
      </c>
      <c r="K528" s="2">
        <v>9</v>
      </c>
      <c r="L528" s="2" t="s">
        <v>35</v>
      </c>
      <c r="M528" s="2">
        <v>1</v>
      </c>
      <c r="N528" s="2">
        <v>2</v>
      </c>
      <c r="O528" s="2">
        <v>0</v>
      </c>
      <c r="P528" s="2" t="s">
        <v>49</v>
      </c>
      <c r="Q528" s="2" t="s">
        <v>37</v>
      </c>
      <c r="R528" s="2">
        <v>1</v>
      </c>
      <c r="S528" s="2">
        <v>2</v>
      </c>
      <c r="T528" s="2" t="s">
        <v>59</v>
      </c>
      <c r="U528" s="2" t="s">
        <v>38</v>
      </c>
      <c r="V528" s="2" t="s">
        <v>51</v>
      </c>
      <c r="W528" s="3">
        <v>45546</v>
      </c>
      <c r="X528" s="2" t="b">
        <v>0</v>
      </c>
      <c r="Y528" s="2" t="b">
        <v>0</v>
      </c>
      <c r="Z528" s="2" t="s">
        <v>74</v>
      </c>
      <c r="AA528" s="2" t="s">
        <v>67</v>
      </c>
      <c r="AB528" s="2">
        <v>13</v>
      </c>
      <c r="AC528" s="2">
        <f>SUMIF(N:N,Ecommerce_Consumer_Behavior_Analysis_Data3[[#This Row],[Brand_Loyalty]],M:M)</f>
        <v>603</v>
      </c>
      <c r="AD528" s="2" t="e" cm="1" vm="1">
        <f t="array" aca="1" ref="AD528" ca="1">SUMIFS(Y:Y,Ecommerce_Consumer_Behavior_Analysis_Data3[[#This Row],[Payment_Method]],V:V)</f>
        <v>#VALUE!</v>
      </c>
      <c r="AE528" s="2">
        <f t="shared" si="12"/>
        <v>333.8</v>
      </c>
    </row>
    <row r="529" spans="1:31" x14ac:dyDescent="0.25">
      <c r="A529" s="2" t="s">
        <v>1135</v>
      </c>
      <c r="B529" s="2">
        <v>18</v>
      </c>
      <c r="C529" s="2" t="s">
        <v>29</v>
      </c>
      <c r="D529" s="2" t="s">
        <v>30</v>
      </c>
      <c r="E529" s="2" t="s">
        <v>55</v>
      </c>
      <c r="F529" s="2" t="s">
        <v>45</v>
      </c>
      <c r="G529" s="2" t="s">
        <v>44</v>
      </c>
      <c r="H529" s="2" t="s">
        <v>1136</v>
      </c>
      <c r="I529" s="2" t="s">
        <v>71</v>
      </c>
      <c r="J529" s="2">
        <v>89.6</v>
      </c>
      <c r="K529" s="2">
        <v>7</v>
      </c>
      <c r="L529" s="2" t="s">
        <v>48</v>
      </c>
      <c r="M529" s="2">
        <v>5</v>
      </c>
      <c r="N529" s="2">
        <v>3</v>
      </c>
      <c r="O529" s="2">
        <v>2</v>
      </c>
      <c r="P529" s="2" t="s">
        <v>36</v>
      </c>
      <c r="Q529" s="2" t="s">
        <v>50</v>
      </c>
      <c r="R529" s="2">
        <v>1</v>
      </c>
      <c r="S529" s="2">
        <v>5</v>
      </c>
      <c r="T529" s="2" t="s">
        <v>59</v>
      </c>
      <c r="U529" s="2" t="s">
        <v>79</v>
      </c>
      <c r="V529" s="2" t="s">
        <v>86</v>
      </c>
      <c r="W529" s="3">
        <v>45361</v>
      </c>
      <c r="X529" s="2" t="b">
        <v>0</v>
      </c>
      <c r="Y529" s="2" t="b">
        <v>0</v>
      </c>
      <c r="Z529" s="2" t="s">
        <v>74</v>
      </c>
      <c r="AA529" s="2" t="s">
        <v>53</v>
      </c>
      <c r="AB529" s="2">
        <v>8</v>
      </c>
      <c r="AC529" s="2">
        <f>SUMIF(N:N,Ecommerce_Consumer_Behavior_Analysis_Data3[[#This Row],[Brand_Loyalty]],M:M)</f>
        <v>641</v>
      </c>
      <c r="AD529" s="2" t="e" cm="1" vm="1">
        <f t="array" aca="1" ref="AD529" ca="1">SUMIFS(Y:Y,Ecommerce_Consumer_Behavior_Analysis_Data3[[#This Row],[Payment_Method]],V:V)</f>
        <v>#VALUE!</v>
      </c>
      <c r="AE529" s="2">
        <f t="shared" si="12"/>
        <v>211.7</v>
      </c>
    </row>
    <row r="530" spans="1:31" x14ac:dyDescent="0.25">
      <c r="A530" s="2" t="s">
        <v>1137</v>
      </c>
      <c r="B530" s="2">
        <v>27</v>
      </c>
      <c r="C530" s="2" t="s">
        <v>43</v>
      </c>
      <c r="D530" s="2" t="s">
        <v>30</v>
      </c>
      <c r="E530" s="2" t="s">
        <v>69</v>
      </c>
      <c r="F530" s="2" t="s">
        <v>45</v>
      </c>
      <c r="G530" s="2" t="s">
        <v>44</v>
      </c>
      <c r="H530" s="2" t="s">
        <v>1138</v>
      </c>
      <c r="I530" s="2" t="s">
        <v>90</v>
      </c>
      <c r="J530" s="2">
        <v>166.74</v>
      </c>
      <c r="K530" s="2">
        <v>6</v>
      </c>
      <c r="L530" s="2" t="s">
        <v>35</v>
      </c>
      <c r="M530" s="2">
        <v>2</v>
      </c>
      <c r="N530" s="2">
        <v>5</v>
      </c>
      <c r="O530" s="2">
        <v>0</v>
      </c>
      <c r="P530" s="2" t="s">
        <v>44</v>
      </c>
      <c r="Q530" s="2" t="s">
        <v>50</v>
      </c>
      <c r="R530" s="2">
        <v>0</v>
      </c>
      <c r="S530" s="2">
        <v>6</v>
      </c>
      <c r="T530" s="2" t="s">
        <v>59</v>
      </c>
      <c r="U530" s="2" t="s">
        <v>79</v>
      </c>
      <c r="V530" s="2" t="s">
        <v>66</v>
      </c>
      <c r="W530" s="3">
        <v>45305</v>
      </c>
      <c r="X530" s="2" t="b">
        <v>0</v>
      </c>
      <c r="Y530" s="2" t="b">
        <v>0</v>
      </c>
      <c r="Z530" s="2" t="s">
        <v>62</v>
      </c>
      <c r="AA530" s="2" t="s">
        <v>41</v>
      </c>
      <c r="AB530" s="2">
        <v>1</v>
      </c>
      <c r="AC530" s="2">
        <f>SUMIF(N:N,Ecommerce_Consumer_Behavior_Analysis_Data3[[#This Row],[Brand_Loyalty]],M:M)</f>
        <v>582</v>
      </c>
      <c r="AD530" s="2" t="e" cm="1" vm="1">
        <f t="array" aca="1" ref="AD530" ca="1">SUMIFS(Y:Y,Ecommerce_Consumer_Behavior_Analysis_Data3[[#This Row],[Payment_Method]],V:V)</f>
        <v>#VALUE!</v>
      </c>
      <c r="AE530" s="2">
        <f t="shared" si="12"/>
        <v>101.31</v>
      </c>
    </row>
    <row r="531" spans="1:31" x14ac:dyDescent="0.25">
      <c r="A531" s="2" t="s">
        <v>1139</v>
      </c>
      <c r="B531" s="2">
        <v>29</v>
      </c>
      <c r="C531" s="2" t="s">
        <v>29</v>
      </c>
      <c r="D531" s="2" t="s">
        <v>44</v>
      </c>
      <c r="E531" s="2" t="s">
        <v>31</v>
      </c>
      <c r="F531" s="2" t="s">
        <v>32</v>
      </c>
      <c r="G531" s="2" t="s">
        <v>30</v>
      </c>
      <c r="H531" s="2" t="s">
        <v>1140</v>
      </c>
      <c r="I531" s="2" t="s">
        <v>93</v>
      </c>
      <c r="J531" s="2">
        <v>299.27999999999997</v>
      </c>
      <c r="K531" s="2">
        <v>12</v>
      </c>
      <c r="L531" s="2" t="s">
        <v>35</v>
      </c>
      <c r="M531" s="2">
        <v>4</v>
      </c>
      <c r="N531" s="2">
        <v>5</v>
      </c>
      <c r="O531" s="2">
        <v>1</v>
      </c>
      <c r="P531" s="2" t="s">
        <v>44</v>
      </c>
      <c r="Q531" s="2" t="s">
        <v>37</v>
      </c>
      <c r="R531" s="2">
        <v>0</v>
      </c>
      <c r="S531" s="2">
        <v>9</v>
      </c>
      <c r="T531" s="2" t="s">
        <v>44</v>
      </c>
      <c r="U531" s="2" t="s">
        <v>60</v>
      </c>
      <c r="V531" s="2" t="s">
        <v>61</v>
      </c>
      <c r="W531" s="3">
        <v>45441</v>
      </c>
      <c r="X531" s="2" t="b">
        <v>0</v>
      </c>
      <c r="Y531" s="2" t="b">
        <v>0</v>
      </c>
      <c r="Z531" s="2" t="s">
        <v>52</v>
      </c>
      <c r="AA531" s="2" t="s">
        <v>53</v>
      </c>
      <c r="AB531" s="2">
        <v>3</v>
      </c>
      <c r="AC531" s="2">
        <f>SUMIF(N:N,Ecommerce_Consumer_Behavior_Analysis_Data3[[#This Row],[Brand_Loyalty]],M:M)</f>
        <v>603</v>
      </c>
      <c r="AD531" s="2" t="e" cm="1" vm="1">
        <f t="array" aca="1" ref="AD531" ca="1">SUMIFS(Y:Y,Ecommerce_Consumer_Behavior_Analysis_Data3[[#This Row],[Payment_Method]],V:V)</f>
        <v>#VALUE!</v>
      </c>
      <c r="AE531" s="2">
        <f t="shared" si="12"/>
        <v>211.7</v>
      </c>
    </row>
    <row r="532" spans="1:31" x14ac:dyDescent="0.25">
      <c r="A532" s="2" t="s">
        <v>1141</v>
      </c>
      <c r="B532" s="2">
        <v>24</v>
      </c>
      <c r="C532" s="2" t="s">
        <v>43</v>
      </c>
      <c r="D532" s="2" t="s">
        <v>44</v>
      </c>
      <c r="E532" s="2" t="s">
        <v>69</v>
      </c>
      <c r="F532" s="2" t="s">
        <v>56</v>
      </c>
      <c r="G532" s="2" t="s">
        <v>44</v>
      </c>
      <c r="H532" s="2" t="s">
        <v>1142</v>
      </c>
      <c r="I532" s="2" t="s">
        <v>90</v>
      </c>
      <c r="J532" s="2">
        <v>404.57</v>
      </c>
      <c r="K532" s="2">
        <v>5</v>
      </c>
      <c r="L532" s="2" t="s">
        <v>35</v>
      </c>
      <c r="M532" s="2">
        <v>4</v>
      </c>
      <c r="N532" s="2">
        <v>3</v>
      </c>
      <c r="O532" s="2">
        <v>0</v>
      </c>
      <c r="P532" s="2" t="s">
        <v>49</v>
      </c>
      <c r="Q532" s="2" t="s">
        <v>50</v>
      </c>
      <c r="R532" s="2">
        <v>2</v>
      </c>
      <c r="S532" s="2">
        <v>7</v>
      </c>
      <c r="T532" s="2" t="s">
        <v>36</v>
      </c>
      <c r="U532" s="2" t="s">
        <v>60</v>
      </c>
      <c r="V532" s="2" t="s">
        <v>61</v>
      </c>
      <c r="W532" s="3">
        <v>45535</v>
      </c>
      <c r="X532" s="2" t="b">
        <v>0</v>
      </c>
      <c r="Y532" s="2" t="b">
        <v>1</v>
      </c>
      <c r="Z532" s="2" t="s">
        <v>40</v>
      </c>
      <c r="AA532" s="2" t="s">
        <v>67</v>
      </c>
      <c r="AB532" s="2">
        <v>14</v>
      </c>
      <c r="AC532" s="2">
        <f>SUMIF(N:N,Ecommerce_Consumer_Behavior_Analysis_Data3[[#This Row],[Brand_Loyalty]],M:M)</f>
        <v>603</v>
      </c>
      <c r="AD532" s="2" t="e" cm="1" vm="1">
        <f t="array" aca="1" ref="AD532" ca="1">SUMIFS(Y:Y,Ecommerce_Consumer_Behavior_Analysis_Data3[[#This Row],[Payment_Method]],V:V)</f>
        <v>#VALUE!</v>
      </c>
      <c r="AE532" s="2">
        <f t="shared" si="12"/>
        <v>333.8</v>
      </c>
    </row>
    <row r="533" spans="1:31" x14ac:dyDescent="0.25">
      <c r="A533" s="2" t="s">
        <v>1143</v>
      </c>
      <c r="B533" s="2">
        <v>27</v>
      </c>
      <c r="C533" s="2" t="s">
        <v>43</v>
      </c>
      <c r="D533" s="2" t="s">
        <v>44</v>
      </c>
      <c r="E533" s="2" t="s">
        <v>55</v>
      </c>
      <c r="F533" s="2" t="s">
        <v>32</v>
      </c>
      <c r="G533" s="2" t="s">
        <v>44</v>
      </c>
      <c r="H533" s="2" t="s">
        <v>1144</v>
      </c>
      <c r="I533" s="2" t="s">
        <v>120</v>
      </c>
      <c r="J533" s="2">
        <v>344.81</v>
      </c>
      <c r="K533" s="2">
        <v>10</v>
      </c>
      <c r="L533" s="2" t="s">
        <v>48</v>
      </c>
      <c r="M533" s="2">
        <v>3</v>
      </c>
      <c r="N533" s="2">
        <v>1</v>
      </c>
      <c r="O533" s="2">
        <v>2</v>
      </c>
      <c r="P533" s="2" t="s">
        <v>59</v>
      </c>
      <c r="Q533" s="2" t="s">
        <v>37</v>
      </c>
      <c r="R533" s="2">
        <v>1</v>
      </c>
      <c r="S533" s="2">
        <v>9</v>
      </c>
      <c r="T533" s="2" t="s">
        <v>44</v>
      </c>
      <c r="U533" s="2" t="s">
        <v>79</v>
      </c>
      <c r="V533" s="2" t="s">
        <v>66</v>
      </c>
      <c r="W533" s="3">
        <v>45649</v>
      </c>
      <c r="X533" s="2" t="b">
        <v>1</v>
      </c>
      <c r="Y533" s="2" t="b">
        <v>1</v>
      </c>
      <c r="Z533" s="2" t="s">
        <v>52</v>
      </c>
      <c r="AA533" s="2" t="s">
        <v>67</v>
      </c>
      <c r="AB533" s="2">
        <v>14</v>
      </c>
      <c r="AC533" s="2">
        <f>SUMIF(N:N,Ecommerce_Consumer_Behavior_Analysis_Data3[[#This Row],[Brand_Loyalty]],M:M)</f>
        <v>597</v>
      </c>
      <c r="AD533" s="2" t="e" cm="1" vm="1">
        <f t="array" aca="1" ref="AD533" ca="1">SUMIFS(Y:Y,Ecommerce_Consumer_Behavior_Analysis_Data3[[#This Row],[Payment_Method]],V:V)</f>
        <v>#VALUE!</v>
      </c>
      <c r="AE533" s="2">
        <f t="shared" si="12"/>
        <v>333.8</v>
      </c>
    </row>
    <row r="534" spans="1:31" x14ac:dyDescent="0.25">
      <c r="A534" s="2" t="s">
        <v>1145</v>
      </c>
      <c r="B534" s="2">
        <v>34</v>
      </c>
      <c r="C534" s="2" t="s">
        <v>43</v>
      </c>
      <c r="D534" s="2" t="s">
        <v>44</v>
      </c>
      <c r="E534" s="2" t="s">
        <v>55</v>
      </c>
      <c r="F534" s="2" t="s">
        <v>56</v>
      </c>
      <c r="G534" s="2" t="s">
        <v>44</v>
      </c>
      <c r="H534" s="2" t="s">
        <v>1146</v>
      </c>
      <c r="I534" s="2" t="s">
        <v>104</v>
      </c>
      <c r="J534" s="2">
        <v>217.84</v>
      </c>
      <c r="K534" s="2">
        <v>10</v>
      </c>
      <c r="L534" s="2" t="s">
        <v>78</v>
      </c>
      <c r="M534" s="2">
        <v>2</v>
      </c>
      <c r="N534" s="2">
        <v>2</v>
      </c>
      <c r="O534" s="2">
        <v>2</v>
      </c>
      <c r="P534" s="2" t="s">
        <v>36</v>
      </c>
      <c r="Q534" s="2" t="s">
        <v>85</v>
      </c>
      <c r="R534" s="2">
        <v>0</v>
      </c>
      <c r="S534" s="2">
        <v>8</v>
      </c>
      <c r="T534" s="2" t="s">
        <v>44</v>
      </c>
      <c r="U534" s="2" t="s">
        <v>38</v>
      </c>
      <c r="V534" s="2" t="s">
        <v>86</v>
      </c>
      <c r="W534" s="3">
        <v>45307</v>
      </c>
      <c r="X534" s="2" t="b">
        <v>1</v>
      </c>
      <c r="Y534" s="2" t="b">
        <v>1</v>
      </c>
      <c r="Z534" s="2" t="s">
        <v>52</v>
      </c>
      <c r="AA534" s="2" t="s">
        <v>53</v>
      </c>
      <c r="AB534" s="2">
        <v>11</v>
      </c>
      <c r="AC534" s="2">
        <f>SUMIF(N:N,Ecommerce_Consumer_Behavior_Analysis_Data3[[#This Row],[Brand_Loyalty]],M:M)</f>
        <v>582</v>
      </c>
      <c r="AD534" s="2" t="e" cm="1" vm="1">
        <f t="array" aca="1" ref="AD534" ca="1">SUMIFS(Y:Y,Ecommerce_Consumer_Behavior_Analysis_Data3[[#This Row],[Payment_Method]],V:V)</f>
        <v>#VALUE!</v>
      </c>
      <c r="AE534" s="2">
        <f t="shared" si="12"/>
        <v>101.31</v>
      </c>
    </row>
    <row r="535" spans="1:31" x14ac:dyDescent="0.25">
      <c r="A535" s="2" t="s">
        <v>1147</v>
      </c>
      <c r="B535" s="2">
        <v>21</v>
      </c>
      <c r="C535" s="2" t="s">
        <v>43</v>
      </c>
      <c r="D535" s="2" t="s">
        <v>30</v>
      </c>
      <c r="E535" s="2" t="s">
        <v>76</v>
      </c>
      <c r="F535" s="2" t="s">
        <v>32</v>
      </c>
      <c r="G535" s="2" t="s">
        <v>30</v>
      </c>
      <c r="H535" s="2" t="s">
        <v>1148</v>
      </c>
      <c r="I535" s="2" t="s">
        <v>90</v>
      </c>
      <c r="J535" s="2">
        <v>445.34</v>
      </c>
      <c r="K535" s="2">
        <v>9</v>
      </c>
      <c r="L535" s="2" t="s">
        <v>48</v>
      </c>
      <c r="M535" s="2">
        <v>5</v>
      </c>
      <c r="N535" s="2">
        <v>2</v>
      </c>
      <c r="O535" s="2">
        <v>1</v>
      </c>
      <c r="P535" s="2" t="s">
        <v>59</v>
      </c>
      <c r="Q535" s="2" t="s">
        <v>37</v>
      </c>
      <c r="R535" s="2">
        <v>1</v>
      </c>
      <c r="S535" s="2">
        <v>3</v>
      </c>
      <c r="T535" s="2" t="s">
        <v>44</v>
      </c>
      <c r="U535" s="2" t="s">
        <v>38</v>
      </c>
      <c r="V535" s="2" t="s">
        <v>86</v>
      </c>
      <c r="W535" s="3">
        <v>45355</v>
      </c>
      <c r="X535" s="2" t="b">
        <v>1</v>
      </c>
      <c r="Y535" s="2" t="b">
        <v>1</v>
      </c>
      <c r="Z535" s="2" t="s">
        <v>62</v>
      </c>
      <c r="AA535" s="2" t="s">
        <v>41</v>
      </c>
      <c r="AB535" s="2">
        <v>3</v>
      </c>
      <c r="AC535" s="2">
        <f>SUMIF(N:N,Ecommerce_Consumer_Behavior_Analysis_Data3[[#This Row],[Brand_Loyalty]],M:M)</f>
        <v>641</v>
      </c>
      <c r="AD535" s="2" t="e" cm="1" vm="1">
        <f t="array" aca="1" ref="AD535" ca="1">SUMIFS(Y:Y,Ecommerce_Consumer_Behavior_Analysis_Data3[[#This Row],[Payment_Method]],V:V)</f>
        <v>#VALUE!</v>
      </c>
      <c r="AE535" s="2">
        <f t="shared" si="12"/>
        <v>101.31</v>
      </c>
    </row>
    <row r="536" spans="1:31" x14ac:dyDescent="0.25">
      <c r="A536" s="2" t="s">
        <v>1149</v>
      </c>
      <c r="B536" s="2">
        <v>18</v>
      </c>
      <c r="C536" s="2" t="s">
        <v>43</v>
      </c>
      <c r="D536" s="2" t="s">
        <v>44</v>
      </c>
      <c r="E536" s="2" t="s">
        <v>69</v>
      </c>
      <c r="F536" s="2" t="s">
        <v>45</v>
      </c>
      <c r="G536" s="2" t="s">
        <v>44</v>
      </c>
      <c r="H536" s="2" t="s">
        <v>1150</v>
      </c>
      <c r="I536" s="2" t="s">
        <v>65</v>
      </c>
      <c r="J536" s="2">
        <v>151.72999999999999</v>
      </c>
      <c r="K536" s="2">
        <v>3</v>
      </c>
      <c r="L536" s="2" t="s">
        <v>48</v>
      </c>
      <c r="M536" s="2">
        <v>2</v>
      </c>
      <c r="N536" s="2">
        <v>4</v>
      </c>
      <c r="O536" s="2">
        <v>1</v>
      </c>
      <c r="P536" s="2" t="s">
        <v>49</v>
      </c>
      <c r="Q536" s="2" t="s">
        <v>85</v>
      </c>
      <c r="R536" s="2">
        <v>1</v>
      </c>
      <c r="S536" s="2">
        <v>3</v>
      </c>
      <c r="T536" s="2" t="s">
        <v>36</v>
      </c>
      <c r="U536" s="2" t="s">
        <v>60</v>
      </c>
      <c r="V536" s="2" t="s">
        <v>66</v>
      </c>
      <c r="W536" s="3">
        <v>45559</v>
      </c>
      <c r="X536" s="2" t="b">
        <v>0</v>
      </c>
      <c r="Y536" s="2" t="b">
        <v>1</v>
      </c>
      <c r="Z536" s="2" t="s">
        <v>52</v>
      </c>
      <c r="AA536" s="2" t="s">
        <v>67</v>
      </c>
      <c r="AB536" s="2">
        <v>11</v>
      </c>
      <c r="AC536" s="2">
        <f>SUMIF(N:N,Ecommerce_Consumer_Behavior_Analysis_Data3[[#This Row],[Brand_Loyalty]],M:M)</f>
        <v>582</v>
      </c>
      <c r="AD536" s="2" t="e" cm="1" vm="1">
        <f t="array" aca="1" ref="AD536" ca="1">SUMIFS(Y:Y,Ecommerce_Consumer_Behavior_Analysis_Data3[[#This Row],[Payment_Method]],V:V)</f>
        <v>#VALUE!</v>
      </c>
      <c r="AE536" s="2">
        <f t="shared" si="12"/>
        <v>211.7</v>
      </c>
    </row>
    <row r="537" spans="1:31" x14ac:dyDescent="0.25">
      <c r="A537" s="2" t="s">
        <v>1151</v>
      </c>
      <c r="B537" s="2">
        <v>50</v>
      </c>
      <c r="C537" s="2" t="s">
        <v>88</v>
      </c>
      <c r="D537" s="2" t="s">
        <v>44</v>
      </c>
      <c r="E537" s="2" t="s">
        <v>31</v>
      </c>
      <c r="F537" s="2" t="s">
        <v>45</v>
      </c>
      <c r="G537" s="2" t="s">
        <v>44</v>
      </c>
      <c r="H537" s="2" t="s">
        <v>1152</v>
      </c>
      <c r="I537" s="2" t="s">
        <v>117</v>
      </c>
      <c r="J537" s="2">
        <v>123.73</v>
      </c>
      <c r="K537" s="2">
        <v>9</v>
      </c>
      <c r="L537" s="2" t="s">
        <v>78</v>
      </c>
      <c r="M537" s="2">
        <v>1</v>
      </c>
      <c r="N537" s="2">
        <v>4</v>
      </c>
      <c r="O537" s="2">
        <v>0</v>
      </c>
      <c r="P537" s="2" t="s">
        <v>44</v>
      </c>
      <c r="Q537" s="2" t="s">
        <v>50</v>
      </c>
      <c r="R537" s="2">
        <v>2</v>
      </c>
      <c r="S537" s="2">
        <v>5</v>
      </c>
      <c r="T537" s="2" t="s">
        <v>44</v>
      </c>
      <c r="U537" s="2" t="s">
        <v>60</v>
      </c>
      <c r="V537" s="2" t="s">
        <v>39</v>
      </c>
      <c r="W537" s="3">
        <v>45572</v>
      </c>
      <c r="X537" s="2" t="b">
        <v>0</v>
      </c>
      <c r="Y537" s="2" t="b">
        <v>1</v>
      </c>
      <c r="Z537" s="2" t="s">
        <v>40</v>
      </c>
      <c r="AA537" s="2" t="s">
        <v>41</v>
      </c>
      <c r="AB537" s="2">
        <v>10</v>
      </c>
      <c r="AC537" s="2">
        <f>SUMIF(N:N,Ecommerce_Consumer_Behavior_Analysis_Data3[[#This Row],[Brand_Loyalty]],M:M)</f>
        <v>603</v>
      </c>
      <c r="AD537" s="2" t="e" cm="1" vm="1">
        <f t="array" aca="1" ref="AD537" ca="1">SUMIFS(Y:Y,Ecommerce_Consumer_Behavior_Analysis_Data3[[#This Row],[Payment_Method]],V:V)</f>
        <v>#VALUE!</v>
      </c>
      <c r="AE537" s="2">
        <f t="shared" si="12"/>
        <v>211.7</v>
      </c>
    </row>
    <row r="538" spans="1:31" x14ac:dyDescent="0.25">
      <c r="A538" s="2" t="s">
        <v>1153</v>
      </c>
      <c r="B538" s="2">
        <v>31</v>
      </c>
      <c r="C538" s="2" t="s">
        <v>43</v>
      </c>
      <c r="D538" s="2" t="s">
        <v>30</v>
      </c>
      <c r="E538" s="2" t="s">
        <v>55</v>
      </c>
      <c r="F538" s="2" t="s">
        <v>56</v>
      </c>
      <c r="G538" s="2" t="s">
        <v>44</v>
      </c>
      <c r="H538" s="2" t="s">
        <v>1154</v>
      </c>
      <c r="I538" s="2" t="s">
        <v>194</v>
      </c>
      <c r="J538" s="2">
        <v>370.54</v>
      </c>
      <c r="K538" s="2">
        <v>2</v>
      </c>
      <c r="L538" s="2" t="s">
        <v>48</v>
      </c>
      <c r="M538" s="2">
        <v>3</v>
      </c>
      <c r="N538" s="2">
        <v>3</v>
      </c>
      <c r="O538" s="2">
        <v>0</v>
      </c>
      <c r="P538" s="2" t="s">
        <v>59</v>
      </c>
      <c r="Q538" s="2" t="s">
        <v>85</v>
      </c>
      <c r="R538" s="2">
        <v>1</v>
      </c>
      <c r="S538" s="2">
        <v>9</v>
      </c>
      <c r="T538" s="2" t="s">
        <v>59</v>
      </c>
      <c r="U538" s="2" t="s">
        <v>60</v>
      </c>
      <c r="V538" s="2" t="s">
        <v>39</v>
      </c>
      <c r="W538" s="3">
        <v>45376</v>
      </c>
      <c r="X538" s="2" t="b">
        <v>1</v>
      </c>
      <c r="Y538" s="2" t="b">
        <v>0</v>
      </c>
      <c r="Z538" s="2" t="s">
        <v>62</v>
      </c>
      <c r="AA538" s="2" t="s">
        <v>41</v>
      </c>
      <c r="AB538" s="2">
        <v>7</v>
      </c>
      <c r="AC538" s="2">
        <f>SUMIF(N:N,Ecommerce_Consumer_Behavior_Analysis_Data3[[#This Row],[Brand_Loyalty]],M:M)</f>
        <v>597</v>
      </c>
      <c r="AD538" s="2" t="e" cm="1" vm="1">
        <f t="array" aca="1" ref="AD538" ca="1">SUMIFS(Y:Y,Ecommerce_Consumer_Behavior_Analysis_Data3[[#This Row],[Payment_Method]],V:V)</f>
        <v>#VALUE!</v>
      </c>
      <c r="AE538" s="2">
        <f t="shared" si="12"/>
        <v>333.8</v>
      </c>
    </row>
    <row r="539" spans="1:31" x14ac:dyDescent="0.25">
      <c r="A539" s="2" t="s">
        <v>1155</v>
      </c>
      <c r="B539" s="2">
        <v>45</v>
      </c>
      <c r="C539" s="2" t="s">
        <v>43</v>
      </c>
      <c r="D539" s="2" t="s">
        <v>44</v>
      </c>
      <c r="E539" s="2" t="s">
        <v>31</v>
      </c>
      <c r="F539" s="2" t="s">
        <v>56</v>
      </c>
      <c r="G539" s="2" t="s">
        <v>44</v>
      </c>
      <c r="H539" s="2" t="s">
        <v>1156</v>
      </c>
      <c r="I539" s="2" t="s">
        <v>123</v>
      </c>
      <c r="J539" s="2">
        <v>152.87</v>
      </c>
      <c r="K539" s="2">
        <v>3</v>
      </c>
      <c r="L539" s="2" t="s">
        <v>48</v>
      </c>
      <c r="M539" s="2">
        <v>1</v>
      </c>
      <c r="N539" s="2">
        <v>5</v>
      </c>
      <c r="O539" s="2">
        <v>2</v>
      </c>
      <c r="P539" s="2" t="s">
        <v>44</v>
      </c>
      <c r="Q539" s="2" t="s">
        <v>85</v>
      </c>
      <c r="R539" s="2">
        <v>1</v>
      </c>
      <c r="S539" s="2">
        <v>8</v>
      </c>
      <c r="T539" s="2" t="s">
        <v>36</v>
      </c>
      <c r="U539" s="2" t="s">
        <v>38</v>
      </c>
      <c r="V539" s="2" t="s">
        <v>61</v>
      </c>
      <c r="W539" s="3">
        <v>45524</v>
      </c>
      <c r="X539" s="2" t="b">
        <v>0</v>
      </c>
      <c r="Y539" s="2" t="b">
        <v>0</v>
      </c>
      <c r="Z539" s="2" t="s">
        <v>62</v>
      </c>
      <c r="AA539" s="2" t="s">
        <v>67</v>
      </c>
      <c r="AB539" s="2">
        <v>11</v>
      </c>
      <c r="AC539" s="2">
        <f>SUMIF(N:N,Ecommerce_Consumer_Behavior_Analysis_Data3[[#This Row],[Brand_Loyalty]],M:M)</f>
        <v>603</v>
      </c>
      <c r="AD539" s="2" t="e" cm="1" vm="1">
        <f t="array" aca="1" ref="AD539" ca="1">SUMIFS(Y:Y,Ecommerce_Consumer_Behavior_Analysis_Data3[[#This Row],[Payment_Method]],V:V)</f>
        <v>#VALUE!</v>
      </c>
      <c r="AE539" s="2">
        <f t="shared" si="12"/>
        <v>211.7</v>
      </c>
    </row>
    <row r="540" spans="1:31" x14ac:dyDescent="0.25">
      <c r="A540" s="2" t="s">
        <v>1157</v>
      </c>
      <c r="B540" s="2">
        <v>29</v>
      </c>
      <c r="C540" s="2" t="s">
        <v>43</v>
      </c>
      <c r="D540" s="2" t="s">
        <v>30</v>
      </c>
      <c r="E540" s="2" t="s">
        <v>55</v>
      </c>
      <c r="F540" s="2" t="s">
        <v>56</v>
      </c>
      <c r="G540" s="2" t="s">
        <v>30</v>
      </c>
      <c r="H540" s="2" t="s">
        <v>1158</v>
      </c>
      <c r="I540" s="2" t="s">
        <v>142</v>
      </c>
      <c r="J540" s="2">
        <v>295.75</v>
      </c>
      <c r="K540" s="2">
        <v>4</v>
      </c>
      <c r="L540" s="2" t="s">
        <v>35</v>
      </c>
      <c r="M540" s="2">
        <v>1</v>
      </c>
      <c r="N540" s="2">
        <v>1</v>
      </c>
      <c r="O540" s="2">
        <v>0</v>
      </c>
      <c r="P540" s="2" t="s">
        <v>44</v>
      </c>
      <c r="Q540" s="2" t="s">
        <v>37</v>
      </c>
      <c r="R540" s="2">
        <v>1</v>
      </c>
      <c r="S540" s="2">
        <v>10</v>
      </c>
      <c r="T540" s="2" t="s">
        <v>59</v>
      </c>
      <c r="U540" s="2" t="s">
        <v>38</v>
      </c>
      <c r="V540" s="2" t="s">
        <v>39</v>
      </c>
      <c r="W540" s="3">
        <v>45633</v>
      </c>
      <c r="X540" s="2" t="b">
        <v>1</v>
      </c>
      <c r="Y540" s="2" t="b">
        <v>1</v>
      </c>
      <c r="Z540" s="2" t="s">
        <v>40</v>
      </c>
      <c r="AA540" s="2" t="s">
        <v>53</v>
      </c>
      <c r="AB540" s="2">
        <v>8</v>
      </c>
      <c r="AC540" s="2">
        <f>SUMIF(N:N,Ecommerce_Consumer_Behavior_Analysis_Data3[[#This Row],[Brand_Loyalty]],M:M)</f>
        <v>603</v>
      </c>
      <c r="AD540" s="2" t="e" cm="1" vm="1">
        <f t="array" aca="1" ref="AD540" ca="1">SUMIFS(Y:Y,Ecommerce_Consumer_Behavior_Analysis_Data3[[#This Row],[Payment_Method]],V:V)</f>
        <v>#VALUE!</v>
      </c>
      <c r="AE540" s="2">
        <f t="shared" si="12"/>
        <v>211.7</v>
      </c>
    </row>
    <row r="541" spans="1:31" x14ac:dyDescent="0.25">
      <c r="A541" s="2" t="s">
        <v>1159</v>
      </c>
      <c r="B541" s="2">
        <v>36</v>
      </c>
      <c r="C541" s="2" t="s">
        <v>43</v>
      </c>
      <c r="D541" s="2" t="s">
        <v>44</v>
      </c>
      <c r="E541" s="2" t="s">
        <v>69</v>
      </c>
      <c r="F541" s="2" t="s">
        <v>45</v>
      </c>
      <c r="G541" s="2" t="s">
        <v>30</v>
      </c>
      <c r="H541" s="2" t="s">
        <v>1160</v>
      </c>
      <c r="I541" s="2" t="s">
        <v>58</v>
      </c>
      <c r="J541" s="2">
        <v>358.11</v>
      </c>
      <c r="K541" s="2">
        <v>11</v>
      </c>
      <c r="L541" s="2" t="s">
        <v>35</v>
      </c>
      <c r="M541" s="2">
        <v>5</v>
      </c>
      <c r="N541" s="2">
        <v>1</v>
      </c>
      <c r="O541" s="2">
        <v>0</v>
      </c>
      <c r="P541" s="2" t="s">
        <v>44</v>
      </c>
      <c r="Q541" s="2" t="s">
        <v>85</v>
      </c>
      <c r="R541" s="2">
        <v>0</v>
      </c>
      <c r="S541" s="2">
        <v>3</v>
      </c>
      <c r="T541" s="2" t="s">
        <v>44</v>
      </c>
      <c r="U541" s="2" t="s">
        <v>79</v>
      </c>
      <c r="V541" s="2" t="s">
        <v>39</v>
      </c>
      <c r="W541" s="3">
        <v>45538</v>
      </c>
      <c r="X541" s="2" t="b">
        <v>0</v>
      </c>
      <c r="Y541" s="2" t="b">
        <v>0</v>
      </c>
      <c r="Z541" s="2" t="s">
        <v>40</v>
      </c>
      <c r="AA541" s="2" t="s">
        <v>53</v>
      </c>
      <c r="AB541" s="2">
        <v>11</v>
      </c>
      <c r="AC541" s="2">
        <f>SUMIF(N:N,Ecommerce_Consumer_Behavior_Analysis_Data3[[#This Row],[Brand_Loyalty]],M:M)</f>
        <v>641</v>
      </c>
      <c r="AD541" s="2" t="e" cm="1" vm="1">
        <f t="array" aca="1" ref="AD541" ca="1">SUMIFS(Y:Y,Ecommerce_Consumer_Behavior_Analysis_Data3[[#This Row],[Payment_Method]],V:V)</f>
        <v>#VALUE!</v>
      </c>
      <c r="AE541" s="2">
        <f t="shared" si="12"/>
        <v>211.7</v>
      </c>
    </row>
    <row r="542" spans="1:31" x14ac:dyDescent="0.25">
      <c r="A542" s="2" t="s">
        <v>1161</v>
      </c>
      <c r="B542" s="2">
        <v>27</v>
      </c>
      <c r="C542" s="2" t="s">
        <v>29</v>
      </c>
      <c r="D542" s="2" t="s">
        <v>44</v>
      </c>
      <c r="E542" s="2" t="s">
        <v>69</v>
      </c>
      <c r="F542" s="2" t="s">
        <v>56</v>
      </c>
      <c r="G542" s="2" t="s">
        <v>44</v>
      </c>
      <c r="H542" s="2" t="s">
        <v>1162</v>
      </c>
      <c r="I542" s="2" t="s">
        <v>246</v>
      </c>
      <c r="J542" s="2">
        <v>63.6</v>
      </c>
      <c r="K542" s="2">
        <v>12</v>
      </c>
      <c r="L542" s="2" t="s">
        <v>35</v>
      </c>
      <c r="M542" s="2">
        <v>5</v>
      </c>
      <c r="N542" s="2">
        <v>1</v>
      </c>
      <c r="O542" s="2">
        <v>0</v>
      </c>
      <c r="P542" s="2" t="s">
        <v>44</v>
      </c>
      <c r="Q542" s="2" t="s">
        <v>50</v>
      </c>
      <c r="R542" s="2">
        <v>2</v>
      </c>
      <c r="S542" s="2">
        <v>1</v>
      </c>
      <c r="T542" s="2" t="s">
        <v>36</v>
      </c>
      <c r="U542" s="2" t="s">
        <v>79</v>
      </c>
      <c r="V542" s="2" t="s">
        <v>51</v>
      </c>
      <c r="W542" s="3">
        <v>45331</v>
      </c>
      <c r="X542" s="2" t="b">
        <v>0</v>
      </c>
      <c r="Y542" s="2" t="b">
        <v>1</v>
      </c>
      <c r="Z542" s="2" t="s">
        <v>52</v>
      </c>
      <c r="AA542" s="2" t="s">
        <v>41</v>
      </c>
      <c r="AB542" s="2">
        <v>6</v>
      </c>
      <c r="AC542" s="2">
        <f>SUMIF(N:N,Ecommerce_Consumer_Behavior_Analysis_Data3[[#This Row],[Brand_Loyalty]],M:M)</f>
        <v>641</v>
      </c>
      <c r="AD542" s="2" t="e" cm="1" vm="1">
        <f t="array" aca="1" ref="AD542" ca="1">SUMIFS(Y:Y,Ecommerce_Consumer_Behavior_Analysis_Data3[[#This Row],[Payment_Method]],V:V)</f>
        <v>#VALUE!</v>
      </c>
      <c r="AE542" s="2">
        <f t="shared" si="12"/>
        <v>333.8</v>
      </c>
    </row>
    <row r="543" spans="1:31" x14ac:dyDescent="0.25">
      <c r="A543" s="2" t="s">
        <v>1163</v>
      </c>
      <c r="B543" s="2">
        <v>24</v>
      </c>
      <c r="C543" s="2" t="s">
        <v>43</v>
      </c>
      <c r="D543" s="2" t="s">
        <v>44</v>
      </c>
      <c r="E543" s="2" t="s">
        <v>55</v>
      </c>
      <c r="F543" s="2" t="s">
        <v>45</v>
      </c>
      <c r="G543" s="2" t="s">
        <v>30</v>
      </c>
      <c r="H543" s="2" t="s">
        <v>1164</v>
      </c>
      <c r="I543" s="2" t="s">
        <v>82</v>
      </c>
      <c r="J543" s="2">
        <v>419.53</v>
      </c>
      <c r="K543" s="2">
        <v>3</v>
      </c>
      <c r="L543" s="2" t="s">
        <v>35</v>
      </c>
      <c r="M543" s="2">
        <v>1</v>
      </c>
      <c r="N543" s="2">
        <v>5</v>
      </c>
      <c r="O543" s="2">
        <v>2</v>
      </c>
      <c r="P543" s="2" t="s">
        <v>44</v>
      </c>
      <c r="Q543" s="2" t="s">
        <v>50</v>
      </c>
      <c r="R543" s="2">
        <v>2</v>
      </c>
      <c r="S543" s="2">
        <v>10</v>
      </c>
      <c r="T543" s="2" t="s">
        <v>49</v>
      </c>
      <c r="U543" s="2" t="s">
        <v>38</v>
      </c>
      <c r="V543" s="2" t="s">
        <v>66</v>
      </c>
      <c r="W543" s="3">
        <v>45378</v>
      </c>
      <c r="X543" s="2" t="b">
        <v>0</v>
      </c>
      <c r="Y543" s="2" t="b">
        <v>0</v>
      </c>
      <c r="Z543" s="2" t="s">
        <v>52</v>
      </c>
      <c r="AA543" s="2" t="s">
        <v>67</v>
      </c>
      <c r="AB543" s="2">
        <v>6</v>
      </c>
      <c r="AC543" s="2">
        <f>SUMIF(N:N,Ecommerce_Consumer_Behavior_Analysis_Data3[[#This Row],[Brand_Loyalty]],M:M)</f>
        <v>603</v>
      </c>
      <c r="AD543" s="2" t="e" cm="1" vm="1">
        <f t="array" aca="1" ref="AD543" ca="1">SUMIFS(Y:Y,Ecommerce_Consumer_Behavior_Analysis_Data3[[#This Row],[Payment_Method]],V:V)</f>
        <v>#VALUE!</v>
      </c>
      <c r="AE543" s="2">
        <f t="shared" si="12"/>
        <v>211.7</v>
      </c>
    </row>
    <row r="544" spans="1:31" x14ac:dyDescent="0.25">
      <c r="A544" s="2" t="s">
        <v>1165</v>
      </c>
      <c r="B544" s="2">
        <v>49</v>
      </c>
      <c r="C544" s="2" t="s">
        <v>274</v>
      </c>
      <c r="D544" s="2" t="s">
        <v>44</v>
      </c>
      <c r="E544" s="2" t="s">
        <v>69</v>
      </c>
      <c r="F544" s="2" t="s">
        <v>45</v>
      </c>
      <c r="G544" s="2" t="s">
        <v>30</v>
      </c>
      <c r="H544" s="2" t="s">
        <v>1166</v>
      </c>
      <c r="I544" s="2" t="s">
        <v>158</v>
      </c>
      <c r="J544" s="2">
        <v>491.92</v>
      </c>
      <c r="K544" s="2">
        <v>10</v>
      </c>
      <c r="L544" s="2" t="s">
        <v>48</v>
      </c>
      <c r="M544" s="2">
        <v>5</v>
      </c>
      <c r="N544" s="2">
        <v>3</v>
      </c>
      <c r="O544" s="2">
        <v>0</v>
      </c>
      <c r="P544" s="2" t="s">
        <v>49</v>
      </c>
      <c r="Q544" s="2" t="s">
        <v>85</v>
      </c>
      <c r="R544" s="2">
        <v>1</v>
      </c>
      <c r="S544" s="2">
        <v>1</v>
      </c>
      <c r="T544" s="2" t="s">
        <v>59</v>
      </c>
      <c r="U544" s="2" t="s">
        <v>79</v>
      </c>
      <c r="V544" s="2" t="s">
        <v>39</v>
      </c>
      <c r="W544" s="3">
        <v>45655</v>
      </c>
      <c r="X544" s="2" t="b">
        <v>0</v>
      </c>
      <c r="Y544" s="2" t="b">
        <v>0</v>
      </c>
      <c r="Z544" s="2" t="s">
        <v>52</v>
      </c>
      <c r="AA544" s="2" t="s">
        <v>53</v>
      </c>
      <c r="AB544" s="2">
        <v>2</v>
      </c>
      <c r="AC544" s="2">
        <f>SUMIF(N:N,Ecommerce_Consumer_Behavior_Analysis_Data3[[#This Row],[Brand_Loyalty]],M:M)</f>
        <v>641</v>
      </c>
      <c r="AD544" s="2" t="e" cm="1" vm="1">
        <f t="array" aca="1" ref="AD544" ca="1">SUMIFS(Y:Y,Ecommerce_Consumer_Behavior_Analysis_Data3[[#This Row],[Payment_Method]],V:V)</f>
        <v>#VALUE!</v>
      </c>
      <c r="AE544" s="2">
        <f t="shared" si="12"/>
        <v>333.8</v>
      </c>
    </row>
    <row r="545" spans="1:31" x14ac:dyDescent="0.25">
      <c r="A545" s="2" t="s">
        <v>1167</v>
      </c>
      <c r="B545" s="2">
        <v>21</v>
      </c>
      <c r="C545" s="2" t="s">
        <v>88</v>
      </c>
      <c r="D545" s="2" t="s">
        <v>30</v>
      </c>
      <c r="E545" s="2" t="s">
        <v>76</v>
      </c>
      <c r="F545" s="2" t="s">
        <v>45</v>
      </c>
      <c r="G545" s="2" t="s">
        <v>44</v>
      </c>
      <c r="H545" s="2" t="s">
        <v>1168</v>
      </c>
      <c r="I545" s="2" t="s">
        <v>90</v>
      </c>
      <c r="J545" s="2">
        <v>114.44</v>
      </c>
      <c r="K545" s="2">
        <v>4</v>
      </c>
      <c r="L545" s="2" t="s">
        <v>78</v>
      </c>
      <c r="M545" s="2">
        <v>5</v>
      </c>
      <c r="N545" s="2">
        <v>3</v>
      </c>
      <c r="O545" s="2">
        <v>2</v>
      </c>
      <c r="P545" s="2" t="s">
        <v>59</v>
      </c>
      <c r="Q545" s="2" t="s">
        <v>50</v>
      </c>
      <c r="R545" s="2">
        <v>1</v>
      </c>
      <c r="S545" s="2">
        <v>9</v>
      </c>
      <c r="T545" s="2" t="s">
        <v>36</v>
      </c>
      <c r="U545" s="2" t="s">
        <v>79</v>
      </c>
      <c r="V545" s="2" t="s">
        <v>39</v>
      </c>
      <c r="W545" s="3">
        <v>45585</v>
      </c>
      <c r="X545" s="2" t="b">
        <v>0</v>
      </c>
      <c r="Y545" s="2" t="b">
        <v>0</v>
      </c>
      <c r="Z545" s="2" t="s">
        <v>74</v>
      </c>
      <c r="AA545" s="2" t="s">
        <v>67</v>
      </c>
      <c r="AB545" s="2">
        <v>1</v>
      </c>
      <c r="AC545" s="2">
        <f>SUMIF(N:N,Ecommerce_Consumer_Behavior_Analysis_Data3[[#This Row],[Brand_Loyalty]],M:M)</f>
        <v>641</v>
      </c>
      <c r="AD545" s="2" t="e" cm="1" vm="1">
        <f t="array" aca="1" ref="AD545" ca="1">SUMIFS(Y:Y,Ecommerce_Consumer_Behavior_Analysis_Data3[[#This Row],[Payment_Method]],V:V)</f>
        <v>#VALUE!</v>
      </c>
      <c r="AE545" s="2">
        <f t="shared" si="12"/>
        <v>211.7</v>
      </c>
    </row>
    <row r="546" spans="1:31" x14ac:dyDescent="0.25">
      <c r="A546" s="2" t="s">
        <v>1169</v>
      </c>
      <c r="B546" s="2">
        <v>19</v>
      </c>
      <c r="C546" s="2" t="s">
        <v>29</v>
      </c>
      <c r="D546" s="2" t="s">
        <v>30</v>
      </c>
      <c r="E546" s="2" t="s">
        <v>31</v>
      </c>
      <c r="F546" s="2" t="s">
        <v>56</v>
      </c>
      <c r="G546" s="2" t="s">
        <v>44</v>
      </c>
      <c r="H546" s="2" t="s">
        <v>1170</v>
      </c>
      <c r="I546" s="2" t="s">
        <v>93</v>
      </c>
      <c r="J546" s="2">
        <v>388.82</v>
      </c>
      <c r="K546" s="2">
        <v>10</v>
      </c>
      <c r="L546" s="2" t="s">
        <v>35</v>
      </c>
      <c r="M546" s="2">
        <v>2</v>
      </c>
      <c r="N546" s="2">
        <v>3</v>
      </c>
      <c r="O546" s="2">
        <v>0</v>
      </c>
      <c r="P546" s="2" t="s">
        <v>59</v>
      </c>
      <c r="Q546" s="2" t="s">
        <v>85</v>
      </c>
      <c r="R546" s="2">
        <v>0</v>
      </c>
      <c r="S546" s="2">
        <v>8</v>
      </c>
      <c r="T546" s="2" t="s">
        <v>59</v>
      </c>
      <c r="U546" s="2" t="s">
        <v>79</v>
      </c>
      <c r="V546" s="2" t="s">
        <v>66</v>
      </c>
      <c r="W546" s="3">
        <v>45538</v>
      </c>
      <c r="X546" s="2" t="b">
        <v>0</v>
      </c>
      <c r="Y546" s="2" t="b">
        <v>0</v>
      </c>
      <c r="Z546" s="2" t="s">
        <v>40</v>
      </c>
      <c r="AA546" s="2" t="s">
        <v>41</v>
      </c>
      <c r="AB546" s="2">
        <v>6</v>
      </c>
      <c r="AC546" s="2">
        <f>SUMIF(N:N,Ecommerce_Consumer_Behavior_Analysis_Data3[[#This Row],[Brand_Loyalty]],M:M)</f>
        <v>582</v>
      </c>
      <c r="AD546" s="2" t="e" cm="1" vm="1">
        <f t="array" aca="1" ref="AD546" ca="1">SUMIFS(Y:Y,Ecommerce_Consumer_Behavior_Analysis_Data3[[#This Row],[Payment_Method]],V:V)</f>
        <v>#VALUE!</v>
      </c>
      <c r="AE546" s="2">
        <f t="shared" si="12"/>
        <v>211.7</v>
      </c>
    </row>
    <row r="547" spans="1:31" x14ac:dyDescent="0.25">
      <c r="A547" s="2" t="s">
        <v>1171</v>
      </c>
      <c r="B547" s="2">
        <v>23</v>
      </c>
      <c r="C547" s="2" t="s">
        <v>29</v>
      </c>
      <c r="D547" s="2" t="s">
        <v>30</v>
      </c>
      <c r="E547" s="2" t="s">
        <v>31</v>
      </c>
      <c r="F547" s="2" t="s">
        <v>32</v>
      </c>
      <c r="G547" s="2" t="s">
        <v>44</v>
      </c>
      <c r="H547" s="2" t="s">
        <v>1172</v>
      </c>
      <c r="I547" s="2" t="s">
        <v>93</v>
      </c>
      <c r="J547" s="2">
        <v>58.32</v>
      </c>
      <c r="K547" s="2">
        <v>7</v>
      </c>
      <c r="L547" s="2" t="s">
        <v>48</v>
      </c>
      <c r="M547" s="2">
        <v>1</v>
      </c>
      <c r="N547" s="2">
        <v>5</v>
      </c>
      <c r="O547" s="2">
        <v>0</v>
      </c>
      <c r="P547" s="2" t="s">
        <v>59</v>
      </c>
      <c r="Q547" s="2" t="s">
        <v>50</v>
      </c>
      <c r="R547" s="2">
        <v>1</v>
      </c>
      <c r="S547" s="2">
        <v>6</v>
      </c>
      <c r="T547" s="2" t="s">
        <v>59</v>
      </c>
      <c r="U547" s="2" t="s">
        <v>60</v>
      </c>
      <c r="V547" s="2" t="s">
        <v>51</v>
      </c>
      <c r="W547" s="3">
        <v>45364</v>
      </c>
      <c r="X547" s="2" t="b">
        <v>1</v>
      </c>
      <c r="Y547" s="2" t="b">
        <v>1</v>
      </c>
      <c r="Z547" s="2" t="s">
        <v>40</v>
      </c>
      <c r="AA547" s="2" t="s">
        <v>53</v>
      </c>
      <c r="AB547" s="2">
        <v>8</v>
      </c>
      <c r="AC547" s="2">
        <f>SUMIF(N:N,Ecommerce_Consumer_Behavior_Analysis_Data3[[#This Row],[Brand_Loyalty]],M:M)</f>
        <v>603</v>
      </c>
      <c r="AD547" s="2" t="e" cm="1" vm="1">
        <f t="array" aca="1" ref="AD547" ca="1">SUMIFS(Y:Y,Ecommerce_Consumer_Behavior_Analysis_Data3[[#This Row],[Payment_Method]],V:V)</f>
        <v>#VALUE!</v>
      </c>
      <c r="AE547" s="2">
        <f t="shared" si="12"/>
        <v>211.7</v>
      </c>
    </row>
    <row r="548" spans="1:31" x14ac:dyDescent="0.25">
      <c r="A548" s="2" t="s">
        <v>1173</v>
      </c>
      <c r="B548" s="2">
        <v>28</v>
      </c>
      <c r="C548" s="2" t="s">
        <v>29</v>
      </c>
      <c r="D548" s="2" t="s">
        <v>44</v>
      </c>
      <c r="E548" s="2" t="s">
        <v>76</v>
      </c>
      <c r="F548" s="2" t="s">
        <v>56</v>
      </c>
      <c r="G548" s="2" t="s">
        <v>44</v>
      </c>
      <c r="H548" s="2" t="s">
        <v>1174</v>
      </c>
      <c r="I548" s="2" t="s">
        <v>158</v>
      </c>
      <c r="J548" s="2">
        <v>464.76</v>
      </c>
      <c r="K548" s="2">
        <v>2</v>
      </c>
      <c r="L548" s="2" t="s">
        <v>35</v>
      </c>
      <c r="M548" s="2">
        <v>5</v>
      </c>
      <c r="N548" s="2">
        <v>1</v>
      </c>
      <c r="O548" s="2">
        <v>0</v>
      </c>
      <c r="P548" s="2" t="s">
        <v>59</v>
      </c>
      <c r="Q548" s="2" t="s">
        <v>85</v>
      </c>
      <c r="R548" s="2">
        <v>0</v>
      </c>
      <c r="S548" s="2">
        <v>3</v>
      </c>
      <c r="T548" s="2" t="s">
        <v>59</v>
      </c>
      <c r="U548" s="2" t="s">
        <v>79</v>
      </c>
      <c r="V548" s="2" t="s">
        <v>61</v>
      </c>
      <c r="W548" s="3">
        <v>45326</v>
      </c>
      <c r="X548" s="2" t="b">
        <v>0</v>
      </c>
      <c r="Y548" s="2" t="b">
        <v>1</v>
      </c>
      <c r="Z548" s="2" t="s">
        <v>40</v>
      </c>
      <c r="AA548" s="2" t="s">
        <v>41</v>
      </c>
      <c r="AB548" s="2">
        <v>3</v>
      </c>
      <c r="AC548" s="2">
        <f>SUMIF(N:N,Ecommerce_Consumer_Behavior_Analysis_Data3[[#This Row],[Brand_Loyalty]],M:M)</f>
        <v>641</v>
      </c>
      <c r="AD548" s="2" t="e" cm="1" vm="1">
        <f t="array" aca="1" ref="AD548" ca="1">SUMIFS(Y:Y,Ecommerce_Consumer_Behavior_Analysis_Data3[[#This Row],[Payment_Method]],V:V)</f>
        <v>#VALUE!</v>
      </c>
      <c r="AE548" s="2">
        <f t="shared" si="12"/>
        <v>333.8</v>
      </c>
    </row>
    <row r="549" spans="1:31" x14ac:dyDescent="0.25">
      <c r="A549" s="2" t="s">
        <v>1175</v>
      </c>
      <c r="B549" s="2">
        <v>27</v>
      </c>
      <c r="C549" s="2" t="s">
        <v>29</v>
      </c>
      <c r="D549" s="2" t="s">
        <v>44</v>
      </c>
      <c r="E549" s="2" t="s">
        <v>76</v>
      </c>
      <c r="F549" s="2" t="s">
        <v>56</v>
      </c>
      <c r="G549" s="2" t="s">
        <v>44</v>
      </c>
      <c r="H549" s="2" t="s">
        <v>1176</v>
      </c>
      <c r="I549" s="2" t="s">
        <v>65</v>
      </c>
      <c r="J549" s="2">
        <v>116.92</v>
      </c>
      <c r="K549" s="2">
        <v>7</v>
      </c>
      <c r="L549" s="2" t="s">
        <v>35</v>
      </c>
      <c r="M549" s="2">
        <v>2</v>
      </c>
      <c r="N549" s="2">
        <v>3</v>
      </c>
      <c r="O549" s="2">
        <v>2</v>
      </c>
      <c r="P549" s="2" t="s">
        <v>36</v>
      </c>
      <c r="Q549" s="2" t="s">
        <v>85</v>
      </c>
      <c r="R549" s="2">
        <v>2</v>
      </c>
      <c r="S549" s="2">
        <v>3</v>
      </c>
      <c r="T549" s="2" t="s">
        <v>59</v>
      </c>
      <c r="U549" s="2" t="s">
        <v>79</v>
      </c>
      <c r="V549" s="2" t="s">
        <v>61</v>
      </c>
      <c r="W549" s="3">
        <v>45382</v>
      </c>
      <c r="X549" s="2" t="b">
        <v>1</v>
      </c>
      <c r="Y549" s="2" t="b">
        <v>0</v>
      </c>
      <c r="Z549" s="2" t="s">
        <v>62</v>
      </c>
      <c r="AA549" s="2" t="s">
        <v>41</v>
      </c>
      <c r="AB549" s="2">
        <v>14</v>
      </c>
      <c r="AC549" s="2">
        <f>SUMIF(N:N,Ecommerce_Consumer_Behavior_Analysis_Data3[[#This Row],[Brand_Loyalty]],M:M)</f>
        <v>582</v>
      </c>
      <c r="AD549" s="2" t="e" cm="1" vm="1">
        <f t="array" aca="1" ref="AD549" ca="1">SUMIFS(Y:Y,Ecommerce_Consumer_Behavior_Analysis_Data3[[#This Row],[Payment_Method]],V:V)</f>
        <v>#VALUE!</v>
      </c>
      <c r="AE549" s="2">
        <f t="shared" si="12"/>
        <v>101.31</v>
      </c>
    </row>
    <row r="550" spans="1:31" x14ac:dyDescent="0.25">
      <c r="A550" s="2" t="s">
        <v>1177</v>
      </c>
      <c r="B550" s="2">
        <v>47</v>
      </c>
      <c r="C550" s="2" t="s">
        <v>29</v>
      </c>
      <c r="D550" s="2" t="s">
        <v>44</v>
      </c>
      <c r="E550" s="2" t="s">
        <v>76</v>
      </c>
      <c r="F550" s="2" t="s">
        <v>32</v>
      </c>
      <c r="G550" s="2" t="s">
        <v>30</v>
      </c>
      <c r="H550" s="2" t="s">
        <v>1178</v>
      </c>
      <c r="I550" s="2" t="s">
        <v>246</v>
      </c>
      <c r="J550" s="2">
        <v>396.76</v>
      </c>
      <c r="K550" s="2">
        <v>8</v>
      </c>
      <c r="L550" s="2" t="s">
        <v>78</v>
      </c>
      <c r="M550" s="2">
        <v>3</v>
      </c>
      <c r="N550" s="2">
        <v>3</v>
      </c>
      <c r="O550" s="2">
        <v>1</v>
      </c>
      <c r="P550" s="2" t="s">
        <v>36</v>
      </c>
      <c r="Q550" s="2" t="s">
        <v>85</v>
      </c>
      <c r="R550" s="2">
        <v>2</v>
      </c>
      <c r="S550" s="2">
        <v>4</v>
      </c>
      <c r="T550" s="2" t="s">
        <v>44</v>
      </c>
      <c r="U550" s="2" t="s">
        <v>38</v>
      </c>
      <c r="V550" s="2" t="s">
        <v>86</v>
      </c>
      <c r="W550" s="3">
        <v>45490</v>
      </c>
      <c r="X550" s="2" t="b">
        <v>1</v>
      </c>
      <c r="Y550" s="2" t="b">
        <v>1</v>
      </c>
      <c r="Z550" s="2" t="s">
        <v>74</v>
      </c>
      <c r="AA550" s="2" t="s">
        <v>67</v>
      </c>
      <c r="AB550" s="2">
        <v>8</v>
      </c>
      <c r="AC550" s="2">
        <f>SUMIF(N:N,Ecommerce_Consumer_Behavior_Analysis_Data3[[#This Row],[Brand_Loyalty]],M:M)</f>
        <v>597</v>
      </c>
      <c r="AD550" s="2" t="e" cm="1" vm="1">
        <f t="array" aca="1" ref="AD550" ca="1">SUMIFS(Y:Y,Ecommerce_Consumer_Behavior_Analysis_Data3[[#This Row],[Payment_Method]],V:V)</f>
        <v>#VALUE!</v>
      </c>
      <c r="AE550" s="2">
        <f t="shared" si="12"/>
        <v>333.8</v>
      </c>
    </row>
    <row r="551" spans="1:31" x14ac:dyDescent="0.25">
      <c r="A551" s="2" t="s">
        <v>1179</v>
      </c>
      <c r="B551" s="2">
        <v>20</v>
      </c>
      <c r="C551" s="2" t="s">
        <v>274</v>
      </c>
      <c r="D551" s="2" t="s">
        <v>44</v>
      </c>
      <c r="E551" s="2" t="s">
        <v>69</v>
      </c>
      <c r="F551" s="2" t="s">
        <v>56</v>
      </c>
      <c r="G551" s="2" t="s">
        <v>30</v>
      </c>
      <c r="H551" s="2" t="s">
        <v>1180</v>
      </c>
      <c r="I551" s="2" t="s">
        <v>114</v>
      </c>
      <c r="J551" s="2">
        <v>393.35</v>
      </c>
      <c r="K551" s="2">
        <v>7</v>
      </c>
      <c r="L551" s="2" t="s">
        <v>35</v>
      </c>
      <c r="M551" s="2">
        <v>3</v>
      </c>
      <c r="N551" s="2">
        <v>4</v>
      </c>
      <c r="O551" s="2">
        <v>2</v>
      </c>
      <c r="P551" s="2" t="s">
        <v>44</v>
      </c>
      <c r="Q551" s="2" t="s">
        <v>50</v>
      </c>
      <c r="R551" s="2">
        <v>0</v>
      </c>
      <c r="S551" s="2">
        <v>4</v>
      </c>
      <c r="T551" s="2" t="s">
        <v>44</v>
      </c>
      <c r="U551" s="2" t="s">
        <v>38</v>
      </c>
      <c r="V551" s="2" t="s">
        <v>39</v>
      </c>
      <c r="W551" s="3">
        <v>45459</v>
      </c>
      <c r="X551" s="2" t="b">
        <v>1</v>
      </c>
      <c r="Y551" s="2" t="b">
        <v>1</v>
      </c>
      <c r="Z551" s="2" t="s">
        <v>40</v>
      </c>
      <c r="AA551" s="2" t="s">
        <v>41</v>
      </c>
      <c r="AB551" s="2">
        <v>12</v>
      </c>
      <c r="AC551" s="2">
        <f>SUMIF(N:N,Ecommerce_Consumer_Behavior_Analysis_Data3[[#This Row],[Brand_Loyalty]],M:M)</f>
        <v>597</v>
      </c>
      <c r="AD551" s="2" t="e" cm="1" vm="1">
        <f t="array" aca="1" ref="AD551" ca="1">SUMIFS(Y:Y,Ecommerce_Consumer_Behavior_Analysis_Data3[[#This Row],[Payment_Method]],V:V)</f>
        <v>#VALUE!</v>
      </c>
      <c r="AE551" s="2">
        <f t="shared" si="12"/>
        <v>211.7</v>
      </c>
    </row>
    <row r="552" spans="1:31" x14ac:dyDescent="0.25">
      <c r="A552" s="2" t="s">
        <v>1181</v>
      </c>
      <c r="B552" s="2">
        <v>26</v>
      </c>
      <c r="C552" s="2" t="s">
        <v>29</v>
      </c>
      <c r="D552" s="2" t="s">
        <v>44</v>
      </c>
      <c r="E552" s="2" t="s">
        <v>55</v>
      </c>
      <c r="F552" s="2" t="s">
        <v>56</v>
      </c>
      <c r="G552" s="2" t="s">
        <v>44</v>
      </c>
      <c r="H552" s="2" t="s">
        <v>1182</v>
      </c>
      <c r="I552" s="2" t="s">
        <v>117</v>
      </c>
      <c r="J552" s="2">
        <v>114.03</v>
      </c>
      <c r="K552" s="2">
        <v>7</v>
      </c>
      <c r="L552" s="2" t="s">
        <v>35</v>
      </c>
      <c r="M552" s="2">
        <v>4</v>
      </c>
      <c r="N552" s="2">
        <v>3</v>
      </c>
      <c r="O552" s="2">
        <v>0</v>
      </c>
      <c r="P552" s="2" t="s">
        <v>49</v>
      </c>
      <c r="Q552" s="2" t="s">
        <v>50</v>
      </c>
      <c r="R552" s="2">
        <v>1</v>
      </c>
      <c r="S552" s="2">
        <v>10</v>
      </c>
      <c r="T552" s="2" t="s">
        <v>44</v>
      </c>
      <c r="U552" s="2" t="s">
        <v>38</v>
      </c>
      <c r="V552" s="2" t="s">
        <v>39</v>
      </c>
      <c r="W552" s="3">
        <v>45395</v>
      </c>
      <c r="X552" s="2" t="b">
        <v>1</v>
      </c>
      <c r="Y552" s="2" t="b">
        <v>1</v>
      </c>
      <c r="Z552" s="2" t="s">
        <v>74</v>
      </c>
      <c r="AA552" s="2" t="s">
        <v>41</v>
      </c>
      <c r="AB552" s="2">
        <v>6</v>
      </c>
      <c r="AC552" s="2">
        <f>SUMIF(N:N,Ecommerce_Consumer_Behavior_Analysis_Data3[[#This Row],[Brand_Loyalty]],M:M)</f>
        <v>603</v>
      </c>
      <c r="AD552" s="2" t="e" cm="1" vm="1">
        <f t="array" aca="1" ref="AD552" ca="1">SUMIFS(Y:Y,Ecommerce_Consumer_Behavior_Analysis_Data3[[#This Row],[Payment_Method]],V:V)</f>
        <v>#VALUE!</v>
      </c>
      <c r="AE552" s="2">
        <f t="shared" si="12"/>
        <v>101.31</v>
      </c>
    </row>
    <row r="553" spans="1:31" x14ac:dyDescent="0.25">
      <c r="A553" s="2" t="s">
        <v>1183</v>
      </c>
      <c r="B553" s="2">
        <v>49</v>
      </c>
      <c r="C553" s="2" t="s">
        <v>43</v>
      </c>
      <c r="D553" s="2" t="s">
        <v>44</v>
      </c>
      <c r="E553" s="2" t="s">
        <v>55</v>
      </c>
      <c r="F553" s="2" t="s">
        <v>32</v>
      </c>
      <c r="G553" s="2" t="s">
        <v>30</v>
      </c>
      <c r="H553" s="2" t="s">
        <v>1184</v>
      </c>
      <c r="I553" s="2" t="s">
        <v>142</v>
      </c>
      <c r="J553" s="2">
        <v>109.97</v>
      </c>
      <c r="K553" s="2">
        <v>4</v>
      </c>
      <c r="L553" s="2" t="s">
        <v>48</v>
      </c>
      <c r="M553" s="2">
        <v>4</v>
      </c>
      <c r="N553" s="2">
        <v>4</v>
      </c>
      <c r="O553" s="2">
        <v>1</v>
      </c>
      <c r="P553" s="2" t="s">
        <v>36</v>
      </c>
      <c r="Q553" s="2" t="s">
        <v>85</v>
      </c>
      <c r="R553" s="2">
        <v>1</v>
      </c>
      <c r="S553" s="2">
        <v>5</v>
      </c>
      <c r="T553" s="2" t="s">
        <v>36</v>
      </c>
      <c r="U553" s="2" t="s">
        <v>38</v>
      </c>
      <c r="V553" s="2" t="s">
        <v>39</v>
      </c>
      <c r="W553" s="3">
        <v>45516</v>
      </c>
      <c r="X553" s="2" t="b">
        <v>1</v>
      </c>
      <c r="Y553" s="2" t="b">
        <v>0</v>
      </c>
      <c r="Z553" s="2" t="s">
        <v>52</v>
      </c>
      <c r="AA553" s="2" t="s">
        <v>41</v>
      </c>
      <c r="AB553" s="2">
        <v>1</v>
      </c>
      <c r="AC553" s="2">
        <f>SUMIF(N:N,Ecommerce_Consumer_Behavior_Analysis_Data3[[#This Row],[Brand_Loyalty]],M:M)</f>
        <v>603</v>
      </c>
      <c r="AD553" s="2" t="e" cm="1" vm="1">
        <f t="array" aca="1" ref="AD553" ca="1">SUMIFS(Y:Y,Ecommerce_Consumer_Behavior_Analysis_Data3[[#This Row],[Payment_Method]],V:V)</f>
        <v>#VALUE!</v>
      </c>
      <c r="AE553" s="2">
        <f t="shared" si="12"/>
        <v>211.7</v>
      </c>
    </row>
    <row r="554" spans="1:31" x14ac:dyDescent="0.25">
      <c r="A554" s="2" t="s">
        <v>1185</v>
      </c>
      <c r="B554" s="2">
        <v>39</v>
      </c>
      <c r="C554" s="2" t="s">
        <v>29</v>
      </c>
      <c r="D554" s="2" t="s">
        <v>44</v>
      </c>
      <c r="E554" s="2" t="s">
        <v>69</v>
      </c>
      <c r="F554" s="2" t="s">
        <v>56</v>
      </c>
      <c r="G554" s="2" t="s">
        <v>44</v>
      </c>
      <c r="H554" s="2" t="s">
        <v>1186</v>
      </c>
      <c r="I554" s="2" t="s">
        <v>188</v>
      </c>
      <c r="J554" s="2">
        <v>310.23</v>
      </c>
      <c r="K554" s="2">
        <v>12</v>
      </c>
      <c r="L554" s="2" t="s">
        <v>48</v>
      </c>
      <c r="M554" s="2">
        <v>1</v>
      </c>
      <c r="N554" s="2">
        <v>4</v>
      </c>
      <c r="O554" s="2">
        <v>0</v>
      </c>
      <c r="P554" s="2" t="s">
        <v>36</v>
      </c>
      <c r="Q554" s="2" t="s">
        <v>37</v>
      </c>
      <c r="R554" s="2">
        <v>0</v>
      </c>
      <c r="S554" s="2">
        <v>6</v>
      </c>
      <c r="T554" s="2" t="s">
        <v>36</v>
      </c>
      <c r="U554" s="2" t="s">
        <v>79</v>
      </c>
      <c r="V554" s="2" t="s">
        <v>51</v>
      </c>
      <c r="W554" s="3">
        <v>45643</v>
      </c>
      <c r="X554" s="2" t="b">
        <v>1</v>
      </c>
      <c r="Y554" s="2" t="b">
        <v>0</v>
      </c>
      <c r="Z554" s="2" t="s">
        <v>62</v>
      </c>
      <c r="AA554" s="2" t="s">
        <v>67</v>
      </c>
      <c r="AB554" s="2">
        <v>3</v>
      </c>
      <c r="AC554" s="2">
        <f>SUMIF(N:N,Ecommerce_Consumer_Behavior_Analysis_Data3[[#This Row],[Brand_Loyalty]],M:M)</f>
        <v>603</v>
      </c>
      <c r="AD554" s="2" t="e" cm="1" vm="1">
        <f t="array" aca="1" ref="AD554" ca="1">SUMIFS(Y:Y,Ecommerce_Consumer_Behavior_Analysis_Data3[[#This Row],[Payment_Method]],V:V)</f>
        <v>#VALUE!</v>
      </c>
      <c r="AE554" s="2">
        <f t="shared" si="12"/>
        <v>211.7</v>
      </c>
    </row>
    <row r="555" spans="1:31" x14ac:dyDescent="0.25">
      <c r="A555" s="2" t="s">
        <v>1187</v>
      </c>
      <c r="B555" s="2">
        <v>22</v>
      </c>
      <c r="C555" s="2" t="s">
        <v>43</v>
      </c>
      <c r="D555" s="2" t="s">
        <v>30</v>
      </c>
      <c r="E555" s="2" t="s">
        <v>76</v>
      </c>
      <c r="F555" s="2" t="s">
        <v>56</v>
      </c>
      <c r="G555" s="2" t="s">
        <v>30</v>
      </c>
      <c r="H555" s="2" t="s">
        <v>1178</v>
      </c>
      <c r="I555" s="2" t="s">
        <v>194</v>
      </c>
      <c r="J555" s="2">
        <v>383.13</v>
      </c>
      <c r="K555" s="2">
        <v>3</v>
      </c>
      <c r="L555" s="2" t="s">
        <v>35</v>
      </c>
      <c r="M555" s="2">
        <v>4</v>
      </c>
      <c r="N555" s="2">
        <v>5</v>
      </c>
      <c r="O555" s="2">
        <v>0</v>
      </c>
      <c r="P555" s="2" t="s">
        <v>49</v>
      </c>
      <c r="Q555" s="2" t="s">
        <v>50</v>
      </c>
      <c r="R555" s="2">
        <v>2</v>
      </c>
      <c r="S555" s="2">
        <v>6</v>
      </c>
      <c r="T555" s="2" t="s">
        <v>36</v>
      </c>
      <c r="U555" s="2" t="s">
        <v>79</v>
      </c>
      <c r="V555" s="2" t="s">
        <v>86</v>
      </c>
      <c r="W555" s="3">
        <v>45560</v>
      </c>
      <c r="X555" s="2" t="b">
        <v>0</v>
      </c>
      <c r="Y555" s="2" t="b">
        <v>0</v>
      </c>
      <c r="Z555" s="2" t="s">
        <v>40</v>
      </c>
      <c r="AA555" s="2" t="s">
        <v>41</v>
      </c>
      <c r="AB555" s="2">
        <v>7</v>
      </c>
      <c r="AC555" s="2">
        <f>SUMIF(N:N,Ecommerce_Consumer_Behavior_Analysis_Data3[[#This Row],[Brand_Loyalty]],M:M)</f>
        <v>603</v>
      </c>
      <c r="AD555" s="2" t="e" cm="1" vm="1">
        <f t="array" aca="1" ref="AD555" ca="1">SUMIFS(Y:Y,Ecommerce_Consumer_Behavior_Analysis_Data3[[#This Row],[Payment_Method]],V:V)</f>
        <v>#VALUE!</v>
      </c>
      <c r="AE555" s="2">
        <f t="shared" si="12"/>
        <v>333.8</v>
      </c>
    </row>
    <row r="556" spans="1:31" x14ac:dyDescent="0.25">
      <c r="A556" s="2" t="s">
        <v>1188</v>
      </c>
      <c r="B556" s="2">
        <v>25</v>
      </c>
      <c r="C556" s="2" t="s">
        <v>43</v>
      </c>
      <c r="D556" s="2" t="s">
        <v>44</v>
      </c>
      <c r="E556" s="2" t="s">
        <v>55</v>
      </c>
      <c r="F556" s="2" t="s">
        <v>45</v>
      </c>
      <c r="G556" s="2" t="s">
        <v>30</v>
      </c>
      <c r="H556" s="2" t="s">
        <v>1189</v>
      </c>
      <c r="I556" s="2" t="s">
        <v>142</v>
      </c>
      <c r="J556" s="2">
        <v>434.86</v>
      </c>
      <c r="K556" s="2">
        <v>11</v>
      </c>
      <c r="L556" s="2" t="s">
        <v>48</v>
      </c>
      <c r="M556" s="2">
        <v>2</v>
      </c>
      <c r="N556" s="2">
        <v>5</v>
      </c>
      <c r="O556" s="2">
        <v>2</v>
      </c>
      <c r="P556" s="2" t="s">
        <v>44</v>
      </c>
      <c r="Q556" s="2" t="s">
        <v>37</v>
      </c>
      <c r="R556" s="2">
        <v>0</v>
      </c>
      <c r="S556" s="2">
        <v>4</v>
      </c>
      <c r="T556" s="2" t="s">
        <v>49</v>
      </c>
      <c r="U556" s="2" t="s">
        <v>60</v>
      </c>
      <c r="V556" s="2" t="s">
        <v>66</v>
      </c>
      <c r="W556" s="3">
        <v>45467</v>
      </c>
      <c r="X556" s="2" t="b">
        <v>1</v>
      </c>
      <c r="Y556" s="2" t="b">
        <v>0</v>
      </c>
      <c r="Z556" s="2" t="s">
        <v>62</v>
      </c>
      <c r="AA556" s="2" t="s">
        <v>67</v>
      </c>
      <c r="AB556" s="2">
        <v>11</v>
      </c>
      <c r="AC556" s="2">
        <f>SUMIF(N:N,Ecommerce_Consumer_Behavior_Analysis_Data3[[#This Row],[Brand_Loyalty]],M:M)</f>
        <v>582</v>
      </c>
      <c r="AD556" s="2" t="e" cm="1" vm="1">
        <f t="array" aca="1" ref="AD556" ca="1">SUMIFS(Y:Y,Ecommerce_Consumer_Behavior_Analysis_Data3[[#This Row],[Payment_Method]],V:V)</f>
        <v>#VALUE!</v>
      </c>
      <c r="AE556" s="2">
        <f t="shared" si="12"/>
        <v>101.31</v>
      </c>
    </row>
    <row r="557" spans="1:31" x14ac:dyDescent="0.25">
      <c r="A557" s="2" t="s">
        <v>1190</v>
      </c>
      <c r="B557" s="2">
        <v>30</v>
      </c>
      <c r="C557" s="2" t="s">
        <v>29</v>
      </c>
      <c r="D557" s="2" t="s">
        <v>30</v>
      </c>
      <c r="E557" s="2" t="s">
        <v>31</v>
      </c>
      <c r="F557" s="2" t="s">
        <v>32</v>
      </c>
      <c r="G557" s="2" t="s">
        <v>30</v>
      </c>
      <c r="H557" s="2" t="s">
        <v>1191</v>
      </c>
      <c r="I557" s="2" t="s">
        <v>58</v>
      </c>
      <c r="J557" s="2">
        <v>489.1</v>
      </c>
      <c r="K557" s="2">
        <v>9</v>
      </c>
      <c r="L557" s="2" t="s">
        <v>35</v>
      </c>
      <c r="M557" s="2">
        <v>3</v>
      </c>
      <c r="N557" s="2">
        <v>4</v>
      </c>
      <c r="O557" s="2">
        <v>1</v>
      </c>
      <c r="P557" s="2" t="s">
        <v>59</v>
      </c>
      <c r="Q557" s="2" t="s">
        <v>37</v>
      </c>
      <c r="R557" s="2">
        <v>2</v>
      </c>
      <c r="S557" s="2">
        <v>4</v>
      </c>
      <c r="T557" s="2" t="s">
        <v>49</v>
      </c>
      <c r="U557" s="2" t="s">
        <v>60</v>
      </c>
      <c r="V557" s="2" t="s">
        <v>39</v>
      </c>
      <c r="W557" s="3">
        <v>45614</v>
      </c>
      <c r="X557" s="2" t="b">
        <v>1</v>
      </c>
      <c r="Y557" s="2" t="b">
        <v>0</v>
      </c>
      <c r="Z557" s="2" t="s">
        <v>40</v>
      </c>
      <c r="AA557" s="2" t="s">
        <v>53</v>
      </c>
      <c r="AB557" s="2">
        <v>13</v>
      </c>
      <c r="AC557" s="2">
        <f>SUMIF(N:N,Ecommerce_Consumer_Behavior_Analysis_Data3[[#This Row],[Brand_Loyalty]],M:M)</f>
        <v>597</v>
      </c>
      <c r="AD557" s="2" t="e" cm="1" vm="1">
        <f t="array" aca="1" ref="AD557" ca="1">SUMIFS(Y:Y,Ecommerce_Consumer_Behavior_Analysis_Data3[[#This Row],[Payment_Method]],V:V)</f>
        <v>#VALUE!</v>
      </c>
      <c r="AE557" s="2">
        <f t="shared" si="12"/>
        <v>101.31</v>
      </c>
    </row>
    <row r="558" spans="1:31" x14ac:dyDescent="0.25">
      <c r="A558" s="2" t="s">
        <v>1192</v>
      </c>
      <c r="B558" s="2">
        <v>19</v>
      </c>
      <c r="C558" s="2" t="s">
        <v>212</v>
      </c>
      <c r="D558" s="2" t="s">
        <v>44</v>
      </c>
      <c r="E558" s="2" t="s">
        <v>31</v>
      </c>
      <c r="F558" s="2" t="s">
        <v>32</v>
      </c>
      <c r="G558" s="2" t="s">
        <v>44</v>
      </c>
      <c r="H558" s="2" t="s">
        <v>1193</v>
      </c>
      <c r="I558" s="2" t="s">
        <v>246</v>
      </c>
      <c r="J558" s="2">
        <v>288.14999999999998</v>
      </c>
      <c r="K558" s="2">
        <v>3</v>
      </c>
      <c r="L558" s="2" t="s">
        <v>78</v>
      </c>
      <c r="M558" s="2">
        <v>1</v>
      </c>
      <c r="N558" s="2">
        <v>4</v>
      </c>
      <c r="O558" s="2">
        <v>1</v>
      </c>
      <c r="P558" s="2" t="s">
        <v>44</v>
      </c>
      <c r="Q558" s="2" t="s">
        <v>37</v>
      </c>
      <c r="R558" s="2">
        <v>1</v>
      </c>
      <c r="S558" s="2">
        <v>4</v>
      </c>
      <c r="T558" s="2" t="s">
        <v>49</v>
      </c>
      <c r="U558" s="2" t="s">
        <v>38</v>
      </c>
      <c r="V558" s="2" t="s">
        <v>86</v>
      </c>
      <c r="W558" s="3">
        <v>45510</v>
      </c>
      <c r="X558" s="2" t="b">
        <v>1</v>
      </c>
      <c r="Y558" s="2" t="b">
        <v>0</v>
      </c>
      <c r="Z558" s="2" t="s">
        <v>62</v>
      </c>
      <c r="AA558" s="2" t="s">
        <v>53</v>
      </c>
      <c r="AB558" s="2">
        <v>13</v>
      </c>
      <c r="AC558" s="2">
        <f>SUMIF(N:N,Ecommerce_Consumer_Behavior_Analysis_Data3[[#This Row],[Brand_Loyalty]],M:M)</f>
        <v>603</v>
      </c>
      <c r="AD558" s="2" t="e" cm="1" vm="1">
        <f t="array" aca="1" ref="AD558" ca="1">SUMIFS(Y:Y,Ecommerce_Consumer_Behavior_Analysis_Data3[[#This Row],[Payment_Method]],V:V)</f>
        <v>#VALUE!</v>
      </c>
      <c r="AE558" s="2">
        <f t="shared" si="12"/>
        <v>101.31</v>
      </c>
    </row>
    <row r="559" spans="1:31" x14ac:dyDescent="0.25">
      <c r="A559" s="2" t="s">
        <v>1194</v>
      </c>
      <c r="B559" s="2">
        <v>35</v>
      </c>
      <c r="C559" s="2" t="s">
        <v>43</v>
      </c>
      <c r="D559" s="2" t="s">
        <v>44</v>
      </c>
      <c r="E559" s="2" t="s">
        <v>76</v>
      </c>
      <c r="F559" s="2" t="s">
        <v>56</v>
      </c>
      <c r="G559" s="2" t="s">
        <v>30</v>
      </c>
      <c r="H559" s="2" t="s">
        <v>1195</v>
      </c>
      <c r="I559" s="2" t="s">
        <v>183</v>
      </c>
      <c r="J559" s="2">
        <v>105.87</v>
      </c>
      <c r="K559" s="2">
        <v>12</v>
      </c>
      <c r="L559" s="2" t="s">
        <v>35</v>
      </c>
      <c r="M559" s="2">
        <v>3</v>
      </c>
      <c r="N559" s="2">
        <v>2</v>
      </c>
      <c r="O559" s="2">
        <v>1</v>
      </c>
      <c r="P559" s="2" t="s">
        <v>59</v>
      </c>
      <c r="Q559" s="2" t="s">
        <v>50</v>
      </c>
      <c r="R559" s="2">
        <v>1</v>
      </c>
      <c r="S559" s="2">
        <v>1</v>
      </c>
      <c r="T559" s="2" t="s">
        <v>49</v>
      </c>
      <c r="U559" s="2" t="s">
        <v>38</v>
      </c>
      <c r="V559" s="2" t="s">
        <v>86</v>
      </c>
      <c r="W559" s="3">
        <v>45550</v>
      </c>
      <c r="X559" s="2" t="b">
        <v>0</v>
      </c>
      <c r="Y559" s="2" t="b">
        <v>0</v>
      </c>
      <c r="Z559" s="2" t="s">
        <v>74</v>
      </c>
      <c r="AA559" s="2" t="s">
        <v>67</v>
      </c>
      <c r="AB559" s="2">
        <v>4</v>
      </c>
      <c r="AC559" s="2">
        <f>SUMIF(N:N,Ecommerce_Consumer_Behavior_Analysis_Data3[[#This Row],[Brand_Loyalty]],M:M)</f>
        <v>597</v>
      </c>
      <c r="AD559" s="2" t="e" cm="1" vm="1">
        <f t="array" aca="1" ref="AD559" ca="1">SUMIFS(Y:Y,Ecommerce_Consumer_Behavior_Analysis_Data3[[#This Row],[Payment_Method]],V:V)</f>
        <v>#VALUE!</v>
      </c>
      <c r="AE559" s="2">
        <f t="shared" si="12"/>
        <v>101.31</v>
      </c>
    </row>
    <row r="560" spans="1:31" x14ac:dyDescent="0.25">
      <c r="A560" s="2" t="s">
        <v>1196</v>
      </c>
      <c r="B560" s="2">
        <v>45</v>
      </c>
      <c r="C560" s="2" t="s">
        <v>43</v>
      </c>
      <c r="D560" s="2" t="s">
        <v>30</v>
      </c>
      <c r="E560" s="2" t="s">
        <v>69</v>
      </c>
      <c r="F560" s="2" t="s">
        <v>45</v>
      </c>
      <c r="G560" s="2" t="s">
        <v>44</v>
      </c>
      <c r="H560" s="2" t="s">
        <v>1197</v>
      </c>
      <c r="I560" s="2" t="s">
        <v>98</v>
      </c>
      <c r="J560" s="2">
        <v>163.4</v>
      </c>
      <c r="K560" s="2">
        <v>3</v>
      </c>
      <c r="L560" s="2" t="s">
        <v>48</v>
      </c>
      <c r="M560" s="2">
        <v>3</v>
      </c>
      <c r="N560" s="2">
        <v>5</v>
      </c>
      <c r="O560" s="2">
        <v>1</v>
      </c>
      <c r="P560" s="2" t="s">
        <v>44</v>
      </c>
      <c r="Q560" s="2" t="s">
        <v>37</v>
      </c>
      <c r="R560" s="2">
        <v>2</v>
      </c>
      <c r="S560" s="2">
        <v>10</v>
      </c>
      <c r="T560" s="2" t="s">
        <v>44</v>
      </c>
      <c r="U560" s="2" t="s">
        <v>79</v>
      </c>
      <c r="V560" s="2" t="s">
        <v>86</v>
      </c>
      <c r="W560" s="3">
        <v>45481</v>
      </c>
      <c r="X560" s="2" t="b">
        <v>1</v>
      </c>
      <c r="Y560" s="2" t="b">
        <v>0</v>
      </c>
      <c r="Z560" s="2" t="s">
        <v>74</v>
      </c>
      <c r="AA560" s="2" t="s">
        <v>53</v>
      </c>
      <c r="AB560" s="2">
        <v>7</v>
      </c>
      <c r="AC560" s="2">
        <f>SUMIF(N:N,Ecommerce_Consumer_Behavior_Analysis_Data3[[#This Row],[Brand_Loyalty]],M:M)</f>
        <v>597</v>
      </c>
      <c r="AD560" s="2" t="e" cm="1" vm="1">
        <f t="array" aca="1" ref="AD560" ca="1">SUMIFS(Y:Y,Ecommerce_Consumer_Behavior_Analysis_Data3[[#This Row],[Payment_Method]],V:V)</f>
        <v>#VALUE!</v>
      </c>
      <c r="AE560" s="2">
        <f t="shared" si="12"/>
        <v>333.8</v>
      </c>
    </row>
    <row r="561" spans="1:31" x14ac:dyDescent="0.25">
      <c r="A561" s="2" t="s">
        <v>1198</v>
      </c>
      <c r="B561" s="2">
        <v>20</v>
      </c>
      <c r="C561" s="2" t="s">
        <v>43</v>
      </c>
      <c r="D561" s="2" t="s">
        <v>44</v>
      </c>
      <c r="E561" s="2" t="s">
        <v>55</v>
      </c>
      <c r="F561" s="2" t="s">
        <v>45</v>
      </c>
      <c r="G561" s="2" t="s">
        <v>44</v>
      </c>
      <c r="H561" s="2" t="s">
        <v>1199</v>
      </c>
      <c r="I561" s="2" t="s">
        <v>34</v>
      </c>
      <c r="J561" s="2">
        <v>422.92</v>
      </c>
      <c r="K561" s="2">
        <v>6</v>
      </c>
      <c r="L561" s="2" t="s">
        <v>35</v>
      </c>
      <c r="M561" s="2">
        <v>4</v>
      </c>
      <c r="N561" s="2">
        <v>1</v>
      </c>
      <c r="O561" s="2">
        <v>2</v>
      </c>
      <c r="P561" s="2" t="s">
        <v>36</v>
      </c>
      <c r="Q561" s="2" t="s">
        <v>37</v>
      </c>
      <c r="R561" s="2">
        <v>0</v>
      </c>
      <c r="S561" s="2">
        <v>6</v>
      </c>
      <c r="T561" s="2" t="s">
        <v>59</v>
      </c>
      <c r="U561" s="2" t="s">
        <v>79</v>
      </c>
      <c r="V561" s="2" t="s">
        <v>61</v>
      </c>
      <c r="W561" s="3">
        <v>45582</v>
      </c>
      <c r="X561" s="2" t="b">
        <v>0</v>
      </c>
      <c r="Y561" s="2" t="b">
        <v>1</v>
      </c>
      <c r="Z561" s="2" t="s">
        <v>74</v>
      </c>
      <c r="AA561" s="2" t="s">
        <v>41</v>
      </c>
      <c r="AB561" s="2">
        <v>6</v>
      </c>
      <c r="AC561" s="2">
        <f>SUMIF(N:N,Ecommerce_Consumer_Behavior_Analysis_Data3[[#This Row],[Brand_Loyalty]],M:M)</f>
        <v>603</v>
      </c>
      <c r="AD561" s="2" t="e" cm="1" vm="1">
        <f t="array" aca="1" ref="AD561" ca="1">SUMIFS(Y:Y,Ecommerce_Consumer_Behavior_Analysis_Data3[[#This Row],[Payment_Method]],V:V)</f>
        <v>#VALUE!</v>
      </c>
      <c r="AE561" s="2">
        <f t="shared" si="12"/>
        <v>101.31</v>
      </c>
    </row>
    <row r="562" spans="1:31" x14ac:dyDescent="0.25">
      <c r="A562" s="2" t="s">
        <v>1200</v>
      </c>
      <c r="B562" s="2">
        <v>48</v>
      </c>
      <c r="C562" s="2" t="s">
        <v>43</v>
      </c>
      <c r="D562" s="2" t="s">
        <v>30</v>
      </c>
      <c r="E562" s="2" t="s">
        <v>76</v>
      </c>
      <c r="F562" s="2" t="s">
        <v>45</v>
      </c>
      <c r="G562" s="2" t="s">
        <v>44</v>
      </c>
      <c r="H562" s="2" t="s">
        <v>1201</v>
      </c>
      <c r="I562" s="2" t="s">
        <v>34</v>
      </c>
      <c r="J562" s="2">
        <v>361.48</v>
      </c>
      <c r="K562" s="2">
        <v>10</v>
      </c>
      <c r="L562" s="2" t="s">
        <v>78</v>
      </c>
      <c r="M562" s="2">
        <v>1</v>
      </c>
      <c r="N562" s="2">
        <v>4</v>
      </c>
      <c r="O562" s="2">
        <v>1</v>
      </c>
      <c r="P562" s="2" t="s">
        <v>49</v>
      </c>
      <c r="Q562" s="2" t="s">
        <v>37</v>
      </c>
      <c r="R562" s="2">
        <v>2</v>
      </c>
      <c r="S562" s="2">
        <v>9</v>
      </c>
      <c r="T562" s="2" t="s">
        <v>44</v>
      </c>
      <c r="U562" s="2" t="s">
        <v>38</v>
      </c>
      <c r="V562" s="2" t="s">
        <v>86</v>
      </c>
      <c r="W562" s="3">
        <v>45459</v>
      </c>
      <c r="X562" s="2" t="b">
        <v>1</v>
      </c>
      <c r="Y562" s="2" t="b">
        <v>1</v>
      </c>
      <c r="Z562" s="2" t="s">
        <v>52</v>
      </c>
      <c r="AA562" s="2" t="s">
        <v>67</v>
      </c>
      <c r="AB562" s="2">
        <v>13</v>
      </c>
      <c r="AC562" s="2">
        <f>SUMIF(N:N,Ecommerce_Consumer_Behavior_Analysis_Data3[[#This Row],[Brand_Loyalty]],M:M)</f>
        <v>603</v>
      </c>
      <c r="AD562" s="2" t="e" cm="1" vm="1">
        <f t="array" aca="1" ref="AD562" ca="1">SUMIFS(Y:Y,Ecommerce_Consumer_Behavior_Analysis_Data3[[#This Row],[Payment_Method]],V:V)</f>
        <v>#VALUE!</v>
      </c>
      <c r="AE562" s="2">
        <f t="shared" si="12"/>
        <v>211.7</v>
      </c>
    </row>
    <row r="563" spans="1:31" x14ac:dyDescent="0.25">
      <c r="A563" s="2" t="s">
        <v>1202</v>
      </c>
      <c r="B563" s="2">
        <v>23</v>
      </c>
      <c r="C563" s="2" t="s">
        <v>43</v>
      </c>
      <c r="D563" s="2" t="s">
        <v>30</v>
      </c>
      <c r="E563" s="2" t="s">
        <v>55</v>
      </c>
      <c r="F563" s="2" t="s">
        <v>56</v>
      </c>
      <c r="G563" s="2" t="s">
        <v>44</v>
      </c>
      <c r="H563" s="2" t="s">
        <v>1203</v>
      </c>
      <c r="I563" s="2" t="s">
        <v>107</v>
      </c>
      <c r="J563" s="2">
        <v>270.82</v>
      </c>
      <c r="K563" s="2">
        <v>2</v>
      </c>
      <c r="L563" s="2" t="s">
        <v>48</v>
      </c>
      <c r="M563" s="2">
        <v>4</v>
      </c>
      <c r="N563" s="2">
        <v>2</v>
      </c>
      <c r="O563" s="2">
        <v>0</v>
      </c>
      <c r="P563" s="2" t="s">
        <v>36</v>
      </c>
      <c r="Q563" s="2" t="s">
        <v>37</v>
      </c>
      <c r="R563" s="2">
        <v>1</v>
      </c>
      <c r="S563" s="2">
        <v>8</v>
      </c>
      <c r="T563" s="2" t="s">
        <v>59</v>
      </c>
      <c r="U563" s="2" t="s">
        <v>38</v>
      </c>
      <c r="V563" s="2" t="s">
        <v>66</v>
      </c>
      <c r="W563" s="3">
        <v>45595</v>
      </c>
      <c r="X563" s="2" t="b">
        <v>1</v>
      </c>
      <c r="Y563" s="2" t="b">
        <v>0</v>
      </c>
      <c r="Z563" s="2" t="s">
        <v>52</v>
      </c>
      <c r="AA563" s="2" t="s">
        <v>53</v>
      </c>
      <c r="AB563" s="2">
        <v>13</v>
      </c>
      <c r="AC563" s="2">
        <f>SUMIF(N:N,Ecommerce_Consumer_Behavior_Analysis_Data3[[#This Row],[Brand_Loyalty]],M:M)</f>
        <v>603</v>
      </c>
      <c r="AD563" s="2" t="e" cm="1" vm="1">
        <f t="array" aca="1" ref="AD563" ca="1">SUMIFS(Y:Y,Ecommerce_Consumer_Behavior_Analysis_Data3[[#This Row],[Payment_Method]],V:V)</f>
        <v>#VALUE!</v>
      </c>
      <c r="AE563" s="2">
        <f t="shared" si="12"/>
        <v>333.8</v>
      </c>
    </row>
    <row r="564" spans="1:31" x14ac:dyDescent="0.25">
      <c r="A564" s="2" t="s">
        <v>1204</v>
      </c>
      <c r="B564" s="2">
        <v>49</v>
      </c>
      <c r="C564" s="2" t="s">
        <v>29</v>
      </c>
      <c r="D564" s="2" t="s">
        <v>44</v>
      </c>
      <c r="E564" s="2" t="s">
        <v>69</v>
      </c>
      <c r="F564" s="2" t="s">
        <v>45</v>
      </c>
      <c r="G564" s="2" t="s">
        <v>44</v>
      </c>
      <c r="H564" s="2" t="s">
        <v>1205</v>
      </c>
      <c r="I564" s="2" t="s">
        <v>126</v>
      </c>
      <c r="J564" s="2">
        <v>372.26</v>
      </c>
      <c r="K564" s="2">
        <v>11</v>
      </c>
      <c r="L564" s="2" t="s">
        <v>48</v>
      </c>
      <c r="M564" s="2">
        <v>1</v>
      </c>
      <c r="N564" s="2">
        <v>5</v>
      </c>
      <c r="O564" s="2">
        <v>2</v>
      </c>
      <c r="P564" s="2" t="s">
        <v>36</v>
      </c>
      <c r="Q564" s="2" t="s">
        <v>85</v>
      </c>
      <c r="R564" s="2">
        <v>1</v>
      </c>
      <c r="S564" s="2">
        <v>8</v>
      </c>
      <c r="T564" s="2" t="s">
        <v>44</v>
      </c>
      <c r="U564" s="2" t="s">
        <v>60</v>
      </c>
      <c r="V564" s="2" t="s">
        <v>51</v>
      </c>
      <c r="W564" s="3">
        <v>45517</v>
      </c>
      <c r="X564" s="2" t="b">
        <v>0</v>
      </c>
      <c r="Y564" s="2" t="b">
        <v>1</v>
      </c>
      <c r="Z564" s="2" t="s">
        <v>52</v>
      </c>
      <c r="AA564" s="2" t="s">
        <v>67</v>
      </c>
      <c r="AB564" s="2">
        <v>6</v>
      </c>
      <c r="AC564" s="2">
        <f>SUMIF(N:N,Ecommerce_Consumer_Behavior_Analysis_Data3[[#This Row],[Brand_Loyalty]],M:M)</f>
        <v>603</v>
      </c>
      <c r="AD564" s="2" t="e" cm="1" vm="1">
        <f t="array" aca="1" ref="AD564" ca="1">SUMIFS(Y:Y,Ecommerce_Consumer_Behavior_Analysis_Data3[[#This Row],[Payment_Method]],V:V)</f>
        <v>#VALUE!</v>
      </c>
      <c r="AE564" s="2">
        <f t="shared" si="12"/>
        <v>333.8</v>
      </c>
    </row>
    <row r="565" spans="1:31" x14ac:dyDescent="0.25">
      <c r="A565" s="2" t="s">
        <v>1206</v>
      </c>
      <c r="B565" s="2">
        <v>23</v>
      </c>
      <c r="C565" s="2" t="s">
        <v>29</v>
      </c>
      <c r="D565" s="2" t="s">
        <v>30</v>
      </c>
      <c r="E565" s="2" t="s">
        <v>69</v>
      </c>
      <c r="F565" s="2" t="s">
        <v>32</v>
      </c>
      <c r="G565" s="2" t="s">
        <v>44</v>
      </c>
      <c r="H565" s="2" t="s">
        <v>1207</v>
      </c>
      <c r="I565" s="2" t="s">
        <v>117</v>
      </c>
      <c r="J565" s="2">
        <v>208.59</v>
      </c>
      <c r="K565" s="2">
        <v>3</v>
      </c>
      <c r="L565" s="2" t="s">
        <v>35</v>
      </c>
      <c r="M565" s="2">
        <v>1</v>
      </c>
      <c r="N565" s="2">
        <v>1</v>
      </c>
      <c r="O565" s="2">
        <v>2</v>
      </c>
      <c r="P565" s="2" t="s">
        <v>49</v>
      </c>
      <c r="Q565" s="2" t="s">
        <v>37</v>
      </c>
      <c r="R565" s="2">
        <v>0</v>
      </c>
      <c r="S565" s="2">
        <v>4</v>
      </c>
      <c r="T565" s="2" t="s">
        <v>36</v>
      </c>
      <c r="U565" s="2" t="s">
        <v>79</v>
      </c>
      <c r="V565" s="2" t="s">
        <v>51</v>
      </c>
      <c r="W565" s="3">
        <v>45538</v>
      </c>
      <c r="X565" s="2" t="b">
        <v>1</v>
      </c>
      <c r="Y565" s="2" t="b">
        <v>0</v>
      </c>
      <c r="Z565" s="2" t="s">
        <v>62</v>
      </c>
      <c r="AA565" s="2" t="s">
        <v>67</v>
      </c>
      <c r="AB565" s="2">
        <v>1</v>
      </c>
      <c r="AC565" s="2">
        <f>SUMIF(N:N,Ecommerce_Consumer_Behavior_Analysis_Data3[[#This Row],[Brand_Loyalty]],M:M)</f>
        <v>603</v>
      </c>
      <c r="AD565" s="2" t="e" cm="1" vm="1">
        <f t="array" aca="1" ref="AD565" ca="1">SUMIFS(Y:Y,Ecommerce_Consumer_Behavior_Analysis_Data3[[#This Row],[Payment_Method]],V:V)</f>
        <v>#VALUE!</v>
      </c>
      <c r="AE565" s="2">
        <f t="shared" si="12"/>
        <v>211.7</v>
      </c>
    </row>
    <row r="566" spans="1:31" x14ac:dyDescent="0.25">
      <c r="A566" s="2" t="s">
        <v>1208</v>
      </c>
      <c r="B566" s="2">
        <v>39</v>
      </c>
      <c r="C566" s="2" t="s">
        <v>43</v>
      </c>
      <c r="D566" s="2" t="s">
        <v>30</v>
      </c>
      <c r="E566" s="2" t="s">
        <v>69</v>
      </c>
      <c r="F566" s="2" t="s">
        <v>45</v>
      </c>
      <c r="G566" s="2" t="s">
        <v>44</v>
      </c>
      <c r="H566" s="2" t="s">
        <v>1209</v>
      </c>
      <c r="I566" s="2" t="s">
        <v>34</v>
      </c>
      <c r="J566" s="2">
        <v>163.22</v>
      </c>
      <c r="K566" s="2">
        <v>8</v>
      </c>
      <c r="L566" s="2" t="s">
        <v>78</v>
      </c>
      <c r="M566" s="2">
        <v>5</v>
      </c>
      <c r="N566" s="2">
        <v>3</v>
      </c>
      <c r="O566" s="2">
        <v>0</v>
      </c>
      <c r="P566" s="2" t="s">
        <v>44</v>
      </c>
      <c r="Q566" s="2" t="s">
        <v>37</v>
      </c>
      <c r="R566" s="2">
        <v>1</v>
      </c>
      <c r="S566" s="2">
        <v>3</v>
      </c>
      <c r="T566" s="2" t="s">
        <v>36</v>
      </c>
      <c r="U566" s="2" t="s">
        <v>60</v>
      </c>
      <c r="V566" s="2" t="s">
        <v>51</v>
      </c>
      <c r="W566" s="3">
        <v>45474</v>
      </c>
      <c r="X566" s="2" t="b">
        <v>0</v>
      </c>
      <c r="Y566" s="2" t="b">
        <v>1</v>
      </c>
      <c r="Z566" s="2" t="s">
        <v>52</v>
      </c>
      <c r="AA566" s="2" t="s">
        <v>41</v>
      </c>
      <c r="AB566" s="2">
        <v>8</v>
      </c>
      <c r="AC566" s="2">
        <f>SUMIF(N:N,Ecommerce_Consumer_Behavior_Analysis_Data3[[#This Row],[Brand_Loyalty]],M:M)</f>
        <v>641</v>
      </c>
      <c r="AD566" s="2" t="e" cm="1" vm="1">
        <f t="array" aca="1" ref="AD566" ca="1">SUMIFS(Y:Y,Ecommerce_Consumer_Behavior_Analysis_Data3[[#This Row],[Payment_Method]],V:V)</f>
        <v>#VALUE!</v>
      </c>
      <c r="AE566" s="2">
        <f t="shared" si="12"/>
        <v>211.7</v>
      </c>
    </row>
    <row r="567" spans="1:31" x14ac:dyDescent="0.25">
      <c r="A567" s="2" t="s">
        <v>1210</v>
      </c>
      <c r="B567" s="2">
        <v>45</v>
      </c>
      <c r="C567" s="2" t="s">
        <v>43</v>
      </c>
      <c r="D567" s="2" t="s">
        <v>44</v>
      </c>
      <c r="E567" s="2" t="s">
        <v>31</v>
      </c>
      <c r="F567" s="2" t="s">
        <v>45</v>
      </c>
      <c r="G567" s="2" t="s">
        <v>44</v>
      </c>
      <c r="H567" s="2" t="s">
        <v>1211</v>
      </c>
      <c r="I567" s="2" t="s">
        <v>101</v>
      </c>
      <c r="J567" s="2">
        <v>364.98</v>
      </c>
      <c r="K567" s="2">
        <v>7</v>
      </c>
      <c r="L567" s="2" t="s">
        <v>48</v>
      </c>
      <c r="M567" s="2">
        <v>4</v>
      </c>
      <c r="N567" s="2">
        <v>1</v>
      </c>
      <c r="O567" s="2">
        <v>0</v>
      </c>
      <c r="P567" s="2" t="s">
        <v>59</v>
      </c>
      <c r="Q567" s="2" t="s">
        <v>85</v>
      </c>
      <c r="R567" s="2">
        <v>0</v>
      </c>
      <c r="S567" s="2">
        <v>1</v>
      </c>
      <c r="T567" s="2" t="s">
        <v>36</v>
      </c>
      <c r="U567" s="2" t="s">
        <v>79</v>
      </c>
      <c r="V567" s="2" t="s">
        <v>86</v>
      </c>
      <c r="W567" s="3">
        <v>45423</v>
      </c>
      <c r="X567" s="2" t="b">
        <v>1</v>
      </c>
      <c r="Y567" s="2" t="b">
        <v>0</v>
      </c>
      <c r="Z567" s="2" t="s">
        <v>52</v>
      </c>
      <c r="AA567" s="2" t="s">
        <v>53</v>
      </c>
      <c r="AB567" s="2">
        <v>8</v>
      </c>
      <c r="AC567" s="2">
        <f>SUMIF(N:N,Ecommerce_Consumer_Behavior_Analysis_Data3[[#This Row],[Brand_Loyalty]],M:M)</f>
        <v>603</v>
      </c>
      <c r="AD567" s="2" t="e" cm="1" vm="1">
        <f t="array" aca="1" ref="AD567" ca="1">SUMIFS(Y:Y,Ecommerce_Consumer_Behavior_Analysis_Data3[[#This Row],[Payment_Method]],V:V)</f>
        <v>#VALUE!</v>
      </c>
      <c r="AE567" s="2">
        <f t="shared" si="12"/>
        <v>333.8</v>
      </c>
    </row>
    <row r="568" spans="1:31" x14ac:dyDescent="0.25">
      <c r="A568" s="2" t="s">
        <v>1212</v>
      </c>
      <c r="B568" s="2">
        <v>31</v>
      </c>
      <c r="C568" s="2" t="s">
        <v>352</v>
      </c>
      <c r="D568" s="2" t="s">
        <v>44</v>
      </c>
      <c r="E568" s="2" t="s">
        <v>76</v>
      </c>
      <c r="F568" s="2" t="s">
        <v>56</v>
      </c>
      <c r="G568" s="2" t="s">
        <v>44</v>
      </c>
      <c r="H568" s="2" t="s">
        <v>1213</v>
      </c>
      <c r="I568" s="2" t="s">
        <v>158</v>
      </c>
      <c r="J568" s="2">
        <v>142.43</v>
      </c>
      <c r="K568" s="2">
        <v>3</v>
      </c>
      <c r="L568" s="2" t="s">
        <v>48</v>
      </c>
      <c r="M568" s="2">
        <v>2</v>
      </c>
      <c r="N568" s="2">
        <v>5</v>
      </c>
      <c r="O568" s="2">
        <v>2</v>
      </c>
      <c r="P568" s="2" t="s">
        <v>44</v>
      </c>
      <c r="Q568" s="2" t="s">
        <v>85</v>
      </c>
      <c r="R568" s="2">
        <v>1</v>
      </c>
      <c r="S568" s="2">
        <v>9</v>
      </c>
      <c r="T568" s="2" t="s">
        <v>36</v>
      </c>
      <c r="U568" s="2" t="s">
        <v>79</v>
      </c>
      <c r="V568" s="2" t="s">
        <v>51</v>
      </c>
      <c r="W568" s="3">
        <v>45563</v>
      </c>
      <c r="X568" s="2" t="b">
        <v>1</v>
      </c>
      <c r="Y568" s="2" t="b">
        <v>0</v>
      </c>
      <c r="Z568" s="2" t="s">
        <v>74</v>
      </c>
      <c r="AA568" s="2" t="s">
        <v>67</v>
      </c>
      <c r="AB568" s="2">
        <v>8</v>
      </c>
      <c r="AC568" s="2">
        <f>SUMIF(N:N,Ecommerce_Consumer_Behavior_Analysis_Data3[[#This Row],[Brand_Loyalty]],M:M)</f>
        <v>582</v>
      </c>
      <c r="AD568" s="2" t="e" cm="1" vm="1">
        <f t="array" aca="1" ref="AD568" ca="1">SUMIFS(Y:Y,Ecommerce_Consumer_Behavior_Analysis_Data3[[#This Row],[Payment_Method]],V:V)</f>
        <v>#VALUE!</v>
      </c>
      <c r="AE568" s="2">
        <f t="shared" si="12"/>
        <v>211.7</v>
      </c>
    </row>
    <row r="569" spans="1:31" x14ac:dyDescent="0.25">
      <c r="A569" s="2" t="s">
        <v>1214</v>
      </c>
      <c r="B569" s="2">
        <v>19</v>
      </c>
      <c r="C569" s="2" t="s">
        <v>29</v>
      </c>
      <c r="D569" s="2" t="s">
        <v>30</v>
      </c>
      <c r="E569" s="2" t="s">
        <v>31</v>
      </c>
      <c r="F569" s="2" t="s">
        <v>32</v>
      </c>
      <c r="G569" s="2" t="s">
        <v>44</v>
      </c>
      <c r="H569" s="2" t="s">
        <v>1215</v>
      </c>
      <c r="I569" s="2" t="s">
        <v>117</v>
      </c>
      <c r="J569" s="2">
        <v>449.72</v>
      </c>
      <c r="K569" s="2">
        <v>3</v>
      </c>
      <c r="L569" s="2" t="s">
        <v>35</v>
      </c>
      <c r="M569" s="2">
        <v>3</v>
      </c>
      <c r="N569" s="2">
        <v>3</v>
      </c>
      <c r="O569" s="2">
        <v>0</v>
      </c>
      <c r="P569" s="2" t="s">
        <v>44</v>
      </c>
      <c r="Q569" s="2" t="s">
        <v>37</v>
      </c>
      <c r="R569" s="2">
        <v>1</v>
      </c>
      <c r="S569" s="2">
        <v>9</v>
      </c>
      <c r="T569" s="2" t="s">
        <v>36</v>
      </c>
      <c r="U569" s="2" t="s">
        <v>60</v>
      </c>
      <c r="V569" s="2" t="s">
        <v>66</v>
      </c>
      <c r="W569" s="3">
        <v>45340</v>
      </c>
      <c r="X569" s="2" t="b">
        <v>1</v>
      </c>
      <c r="Y569" s="2" t="b">
        <v>1</v>
      </c>
      <c r="Z569" s="2" t="s">
        <v>52</v>
      </c>
      <c r="AA569" s="2" t="s">
        <v>67</v>
      </c>
      <c r="AB569" s="2">
        <v>3</v>
      </c>
      <c r="AC569" s="2">
        <f>SUMIF(N:N,Ecommerce_Consumer_Behavior_Analysis_Data3[[#This Row],[Brand_Loyalty]],M:M)</f>
        <v>597</v>
      </c>
      <c r="AD569" s="2" t="e" cm="1" vm="1">
        <f t="array" aca="1" ref="AD569" ca="1">SUMIFS(Y:Y,Ecommerce_Consumer_Behavior_Analysis_Data3[[#This Row],[Payment_Method]],V:V)</f>
        <v>#VALUE!</v>
      </c>
      <c r="AE569" s="2">
        <f t="shared" si="12"/>
        <v>211.7</v>
      </c>
    </row>
    <row r="570" spans="1:31" x14ac:dyDescent="0.25">
      <c r="A570" s="2" t="s">
        <v>1216</v>
      </c>
      <c r="B570" s="2">
        <v>27</v>
      </c>
      <c r="C570" s="2" t="s">
        <v>43</v>
      </c>
      <c r="D570" s="2" t="s">
        <v>30</v>
      </c>
      <c r="E570" s="2" t="s">
        <v>55</v>
      </c>
      <c r="F570" s="2" t="s">
        <v>32</v>
      </c>
      <c r="G570" s="2" t="s">
        <v>44</v>
      </c>
      <c r="H570" s="2" t="s">
        <v>1217</v>
      </c>
      <c r="I570" s="2" t="s">
        <v>34</v>
      </c>
      <c r="J570" s="2">
        <v>241.56</v>
      </c>
      <c r="K570" s="2">
        <v>12</v>
      </c>
      <c r="L570" s="2" t="s">
        <v>35</v>
      </c>
      <c r="M570" s="2">
        <v>3</v>
      </c>
      <c r="N570" s="2">
        <v>2</v>
      </c>
      <c r="O570" s="2">
        <v>0</v>
      </c>
      <c r="P570" s="2" t="s">
        <v>44</v>
      </c>
      <c r="Q570" s="2" t="s">
        <v>50</v>
      </c>
      <c r="R570" s="2">
        <v>0</v>
      </c>
      <c r="S570" s="2">
        <v>5</v>
      </c>
      <c r="T570" s="2" t="s">
        <v>44</v>
      </c>
      <c r="U570" s="2" t="s">
        <v>38</v>
      </c>
      <c r="V570" s="2" t="s">
        <v>51</v>
      </c>
      <c r="W570" s="3">
        <v>45624</v>
      </c>
      <c r="X570" s="2" t="b">
        <v>1</v>
      </c>
      <c r="Y570" s="2" t="b">
        <v>0</v>
      </c>
      <c r="Z570" s="2" t="s">
        <v>40</v>
      </c>
      <c r="AA570" s="2" t="s">
        <v>67</v>
      </c>
      <c r="AB570" s="2">
        <v>2</v>
      </c>
      <c r="AC570" s="2">
        <f>SUMIF(N:N,Ecommerce_Consumer_Behavior_Analysis_Data3[[#This Row],[Brand_Loyalty]],M:M)</f>
        <v>597</v>
      </c>
      <c r="AD570" s="2" t="e" cm="1" vm="1">
        <f t="array" aca="1" ref="AD570" ca="1">SUMIFS(Y:Y,Ecommerce_Consumer_Behavior_Analysis_Data3[[#This Row],[Payment_Method]],V:V)</f>
        <v>#VALUE!</v>
      </c>
      <c r="AE570" s="2">
        <f t="shared" si="12"/>
        <v>333.8</v>
      </c>
    </row>
    <row r="571" spans="1:31" x14ac:dyDescent="0.25">
      <c r="A571" s="2" t="s">
        <v>1218</v>
      </c>
      <c r="B571" s="2">
        <v>32</v>
      </c>
      <c r="C571" s="2" t="s">
        <v>88</v>
      </c>
      <c r="D571" s="2" t="s">
        <v>30</v>
      </c>
      <c r="E571" s="2" t="s">
        <v>76</v>
      </c>
      <c r="F571" s="2" t="s">
        <v>56</v>
      </c>
      <c r="G571" s="2" t="s">
        <v>44</v>
      </c>
      <c r="H571" s="2" t="s">
        <v>1219</v>
      </c>
      <c r="I571" s="2" t="s">
        <v>183</v>
      </c>
      <c r="J571" s="2">
        <v>249.73</v>
      </c>
      <c r="K571" s="2">
        <v>5</v>
      </c>
      <c r="L571" s="2" t="s">
        <v>35</v>
      </c>
      <c r="M571" s="2">
        <v>1</v>
      </c>
      <c r="N571" s="2">
        <v>4</v>
      </c>
      <c r="O571" s="2">
        <v>2</v>
      </c>
      <c r="P571" s="2" t="s">
        <v>59</v>
      </c>
      <c r="Q571" s="2" t="s">
        <v>85</v>
      </c>
      <c r="R571" s="2">
        <v>1</v>
      </c>
      <c r="S571" s="2">
        <v>4</v>
      </c>
      <c r="T571" s="2" t="s">
        <v>59</v>
      </c>
      <c r="U571" s="2" t="s">
        <v>79</v>
      </c>
      <c r="V571" s="2" t="s">
        <v>86</v>
      </c>
      <c r="W571" s="3">
        <v>45611</v>
      </c>
      <c r="X571" s="2" t="b">
        <v>1</v>
      </c>
      <c r="Y571" s="2" t="b">
        <v>0</v>
      </c>
      <c r="Z571" s="2" t="s">
        <v>52</v>
      </c>
      <c r="AA571" s="2" t="s">
        <v>41</v>
      </c>
      <c r="AB571" s="2">
        <v>1</v>
      </c>
      <c r="AC571" s="2">
        <f>SUMIF(N:N,Ecommerce_Consumer_Behavior_Analysis_Data3[[#This Row],[Brand_Loyalty]],M:M)</f>
        <v>603</v>
      </c>
      <c r="AD571" s="2" t="e" cm="1" vm="1">
        <f t="array" aca="1" ref="AD571" ca="1">SUMIFS(Y:Y,Ecommerce_Consumer_Behavior_Analysis_Data3[[#This Row],[Payment_Method]],V:V)</f>
        <v>#VALUE!</v>
      </c>
      <c r="AE571" s="2">
        <f t="shared" si="12"/>
        <v>211.7</v>
      </c>
    </row>
    <row r="572" spans="1:31" x14ac:dyDescent="0.25">
      <c r="A572" s="2" t="s">
        <v>1220</v>
      </c>
      <c r="B572" s="2">
        <v>24</v>
      </c>
      <c r="C572" s="2" t="s">
        <v>43</v>
      </c>
      <c r="D572" s="2" t="s">
        <v>30</v>
      </c>
      <c r="E572" s="2" t="s">
        <v>31</v>
      </c>
      <c r="F572" s="2" t="s">
        <v>56</v>
      </c>
      <c r="G572" s="2" t="s">
        <v>44</v>
      </c>
      <c r="H572" s="2" t="s">
        <v>1221</v>
      </c>
      <c r="I572" s="2" t="s">
        <v>65</v>
      </c>
      <c r="J572" s="2">
        <v>437.3</v>
      </c>
      <c r="K572" s="2">
        <v>7</v>
      </c>
      <c r="L572" s="2" t="s">
        <v>35</v>
      </c>
      <c r="M572" s="2">
        <v>2</v>
      </c>
      <c r="N572" s="2">
        <v>4</v>
      </c>
      <c r="O572" s="2">
        <v>0</v>
      </c>
      <c r="P572" s="2" t="s">
        <v>44</v>
      </c>
      <c r="Q572" s="2" t="s">
        <v>37</v>
      </c>
      <c r="R572" s="2">
        <v>0</v>
      </c>
      <c r="S572" s="2">
        <v>7</v>
      </c>
      <c r="T572" s="2" t="s">
        <v>36</v>
      </c>
      <c r="U572" s="2" t="s">
        <v>38</v>
      </c>
      <c r="V572" s="2" t="s">
        <v>86</v>
      </c>
      <c r="W572" s="3">
        <v>45497</v>
      </c>
      <c r="X572" s="2" t="b">
        <v>1</v>
      </c>
      <c r="Y572" s="2" t="b">
        <v>1</v>
      </c>
      <c r="Z572" s="2" t="s">
        <v>62</v>
      </c>
      <c r="AA572" s="2" t="s">
        <v>41</v>
      </c>
      <c r="AB572" s="2">
        <v>1</v>
      </c>
      <c r="AC572" s="2">
        <f>SUMIF(N:N,Ecommerce_Consumer_Behavior_Analysis_Data3[[#This Row],[Brand_Loyalty]],M:M)</f>
        <v>582</v>
      </c>
      <c r="AD572" s="2" t="e" cm="1" vm="1">
        <f t="array" aca="1" ref="AD572" ca="1">SUMIFS(Y:Y,Ecommerce_Consumer_Behavior_Analysis_Data3[[#This Row],[Payment_Method]],V:V)</f>
        <v>#VALUE!</v>
      </c>
      <c r="AE572" s="2">
        <f t="shared" si="12"/>
        <v>101.31</v>
      </c>
    </row>
    <row r="573" spans="1:31" x14ac:dyDescent="0.25">
      <c r="A573" s="2" t="s">
        <v>1222</v>
      </c>
      <c r="B573" s="2">
        <v>22</v>
      </c>
      <c r="C573" s="2" t="s">
        <v>43</v>
      </c>
      <c r="D573" s="2" t="s">
        <v>30</v>
      </c>
      <c r="E573" s="2" t="s">
        <v>31</v>
      </c>
      <c r="F573" s="2" t="s">
        <v>56</v>
      </c>
      <c r="G573" s="2" t="s">
        <v>44</v>
      </c>
      <c r="H573" s="2" t="s">
        <v>1223</v>
      </c>
      <c r="I573" s="2" t="s">
        <v>158</v>
      </c>
      <c r="J573" s="2">
        <v>277.29000000000002</v>
      </c>
      <c r="K573" s="2">
        <v>4</v>
      </c>
      <c r="L573" s="2" t="s">
        <v>35</v>
      </c>
      <c r="M573" s="2">
        <v>1</v>
      </c>
      <c r="N573" s="2">
        <v>4</v>
      </c>
      <c r="O573" s="2">
        <v>1</v>
      </c>
      <c r="P573" s="2" t="s">
        <v>36</v>
      </c>
      <c r="Q573" s="2" t="s">
        <v>37</v>
      </c>
      <c r="R573" s="2">
        <v>2</v>
      </c>
      <c r="S573" s="2">
        <v>8</v>
      </c>
      <c r="T573" s="2" t="s">
        <v>59</v>
      </c>
      <c r="U573" s="2" t="s">
        <v>60</v>
      </c>
      <c r="V573" s="2" t="s">
        <v>39</v>
      </c>
      <c r="W573" s="3">
        <v>45318</v>
      </c>
      <c r="X573" s="2" t="b">
        <v>1</v>
      </c>
      <c r="Y573" s="2" t="b">
        <v>1</v>
      </c>
      <c r="Z573" s="2" t="s">
        <v>52</v>
      </c>
      <c r="AA573" s="2" t="s">
        <v>41</v>
      </c>
      <c r="AB573" s="2">
        <v>4</v>
      </c>
      <c r="AC573" s="2">
        <f>SUMIF(N:N,Ecommerce_Consumer_Behavior_Analysis_Data3[[#This Row],[Brand_Loyalty]],M:M)</f>
        <v>603</v>
      </c>
      <c r="AD573" s="2" t="e" cm="1" vm="1">
        <f t="array" aca="1" ref="AD573" ca="1">SUMIFS(Y:Y,Ecommerce_Consumer_Behavior_Analysis_Data3[[#This Row],[Payment_Method]],V:V)</f>
        <v>#VALUE!</v>
      </c>
      <c r="AE573" s="2">
        <f t="shared" si="12"/>
        <v>333.8</v>
      </c>
    </row>
    <row r="574" spans="1:31" x14ac:dyDescent="0.25">
      <c r="A574" s="2" t="s">
        <v>1224</v>
      </c>
      <c r="B574" s="2">
        <v>46</v>
      </c>
      <c r="C574" s="2" t="s">
        <v>43</v>
      </c>
      <c r="D574" s="2" t="s">
        <v>44</v>
      </c>
      <c r="E574" s="2" t="s">
        <v>55</v>
      </c>
      <c r="F574" s="2" t="s">
        <v>45</v>
      </c>
      <c r="G574" s="2" t="s">
        <v>30</v>
      </c>
      <c r="H574" s="2" t="s">
        <v>1225</v>
      </c>
      <c r="I574" s="2" t="s">
        <v>117</v>
      </c>
      <c r="J574" s="2">
        <v>445.93</v>
      </c>
      <c r="K574" s="2">
        <v>6</v>
      </c>
      <c r="L574" s="2" t="s">
        <v>78</v>
      </c>
      <c r="M574" s="2">
        <v>5</v>
      </c>
      <c r="N574" s="2">
        <v>5</v>
      </c>
      <c r="O574" s="2">
        <v>2</v>
      </c>
      <c r="P574" s="2" t="s">
        <v>44</v>
      </c>
      <c r="Q574" s="2" t="s">
        <v>37</v>
      </c>
      <c r="R574" s="2">
        <v>2</v>
      </c>
      <c r="S574" s="2">
        <v>4</v>
      </c>
      <c r="T574" s="2" t="s">
        <v>44</v>
      </c>
      <c r="U574" s="2" t="s">
        <v>60</v>
      </c>
      <c r="V574" s="2" t="s">
        <v>61</v>
      </c>
      <c r="W574" s="3">
        <v>45427</v>
      </c>
      <c r="X574" s="2" t="b">
        <v>0</v>
      </c>
      <c r="Y574" s="2" t="b">
        <v>1</v>
      </c>
      <c r="Z574" s="2" t="s">
        <v>40</v>
      </c>
      <c r="AA574" s="2" t="s">
        <v>41</v>
      </c>
      <c r="AB574" s="2">
        <v>13</v>
      </c>
      <c r="AC574" s="2">
        <f>SUMIF(N:N,Ecommerce_Consumer_Behavior_Analysis_Data3[[#This Row],[Brand_Loyalty]],M:M)</f>
        <v>641</v>
      </c>
      <c r="AD574" s="2" t="e" cm="1" vm="1">
        <f t="array" aca="1" ref="AD574" ca="1">SUMIFS(Y:Y,Ecommerce_Consumer_Behavior_Analysis_Data3[[#This Row],[Payment_Method]],V:V)</f>
        <v>#VALUE!</v>
      </c>
      <c r="AE574" s="2">
        <f t="shared" si="12"/>
        <v>211.7</v>
      </c>
    </row>
    <row r="575" spans="1:31" x14ac:dyDescent="0.25">
      <c r="A575" s="2" t="s">
        <v>1226</v>
      </c>
      <c r="B575" s="2">
        <v>37</v>
      </c>
      <c r="C575" s="2" t="s">
        <v>29</v>
      </c>
      <c r="D575" s="2" t="s">
        <v>30</v>
      </c>
      <c r="E575" s="2" t="s">
        <v>31</v>
      </c>
      <c r="F575" s="2" t="s">
        <v>32</v>
      </c>
      <c r="G575" s="2" t="s">
        <v>30</v>
      </c>
      <c r="H575" s="2" t="s">
        <v>1227</v>
      </c>
      <c r="I575" s="2" t="s">
        <v>120</v>
      </c>
      <c r="J575" s="2">
        <v>242.79</v>
      </c>
      <c r="K575" s="2">
        <v>6</v>
      </c>
      <c r="L575" s="2" t="s">
        <v>35</v>
      </c>
      <c r="M575" s="2">
        <v>2</v>
      </c>
      <c r="N575" s="2">
        <v>4</v>
      </c>
      <c r="O575" s="2">
        <v>0</v>
      </c>
      <c r="P575" s="2" t="s">
        <v>44</v>
      </c>
      <c r="Q575" s="2" t="s">
        <v>37</v>
      </c>
      <c r="R575" s="2">
        <v>1</v>
      </c>
      <c r="S575" s="2">
        <v>7</v>
      </c>
      <c r="T575" s="2" t="s">
        <v>36</v>
      </c>
      <c r="U575" s="2" t="s">
        <v>60</v>
      </c>
      <c r="V575" s="2" t="s">
        <v>66</v>
      </c>
      <c r="W575" s="3">
        <v>45311</v>
      </c>
      <c r="X575" s="2" t="b">
        <v>1</v>
      </c>
      <c r="Y575" s="2" t="b">
        <v>0</v>
      </c>
      <c r="Z575" s="2" t="s">
        <v>62</v>
      </c>
      <c r="AA575" s="2" t="s">
        <v>67</v>
      </c>
      <c r="AB575" s="2">
        <v>7</v>
      </c>
      <c r="AC575" s="2">
        <f>SUMIF(N:N,Ecommerce_Consumer_Behavior_Analysis_Data3[[#This Row],[Brand_Loyalty]],M:M)</f>
        <v>582</v>
      </c>
      <c r="AD575" s="2" t="e" cm="1" vm="1">
        <f t="array" aca="1" ref="AD575" ca="1">SUMIFS(Y:Y,Ecommerce_Consumer_Behavior_Analysis_Data3[[#This Row],[Payment_Method]],V:V)</f>
        <v>#VALUE!</v>
      </c>
      <c r="AE575" s="2">
        <f t="shared" si="12"/>
        <v>333.8</v>
      </c>
    </row>
    <row r="576" spans="1:31" x14ac:dyDescent="0.25">
      <c r="A576" s="2" t="s">
        <v>1228</v>
      </c>
      <c r="B576" s="2">
        <v>34</v>
      </c>
      <c r="C576" s="2" t="s">
        <v>43</v>
      </c>
      <c r="D576" s="2" t="s">
        <v>44</v>
      </c>
      <c r="E576" s="2" t="s">
        <v>55</v>
      </c>
      <c r="F576" s="2" t="s">
        <v>32</v>
      </c>
      <c r="G576" s="2" t="s">
        <v>44</v>
      </c>
      <c r="H576" s="2" t="s">
        <v>1229</v>
      </c>
      <c r="I576" s="2" t="s">
        <v>194</v>
      </c>
      <c r="J576" s="2">
        <v>393.09</v>
      </c>
      <c r="K576" s="2">
        <v>8</v>
      </c>
      <c r="L576" s="2" t="s">
        <v>78</v>
      </c>
      <c r="M576" s="2">
        <v>5</v>
      </c>
      <c r="N576" s="2">
        <v>3</v>
      </c>
      <c r="O576" s="2">
        <v>2</v>
      </c>
      <c r="P576" s="2" t="s">
        <v>49</v>
      </c>
      <c r="Q576" s="2" t="s">
        <v>37</v>
      </c>
      <c r="R576" s="2">
        <v>0</v>
      </c>
      <c r="S576" s="2">
        <v>3</v>
      </c>
      <c r="T576" s="2" t="s">
        <v>49</v>
      </c>
      <c r="U576" s="2" t="s">
        <v>38</v>
      </c>
      <c r="V576" s="2" t="s">
        <v>86</v>
      </c>
      <c r="W576" s="3">
        <v>45393</v>
      </c>
      <c r="X576" s="2" t="b">
        <v>0</v>
      </c>
      <c r="Y576" s="2" t="b">
        <v>1</v>
      </c>
      <c r="Z576" s="2" t="s">
        <v>74</v>
      </c>
      <c r="AA576" s="2" t="s">
        <v>53</v>
      </c>
      <c r="AB576" s="2">
        <v>1</v>
      </c>
      <c r="AC576" s="2">
        <f>SUMIF(N:N,Ecommerce_Consumer_Behavior_Analysis_Data3[[#This Row],[Brand_Loyalty]],M:M)</f>
        <v>641</v>
      </c>
      <c r="AD576" s="2" t="e" cm="1" vm="1">
        <f t="array" aca="1" ref="AD576" ca="1">SUMIFS(Y:Y,Ecommerce_Consumer_Behavior_Analysis_Data3[[#This Row],[Payment_Method]],V:V)</f>
        <v>#VALUE!</v>
      </c>
      <c r="AE576" s="2">
        <f t="shared" si="12"/>
        <v>101.31</v>
      </c>
    </row>
    <row r="577" spans="1:31" x14ac:dyDescent="0.25">
      <c r="A577" s="2" t="s">
        <v>1230</v>
      </c>
      <c r="B577" s="2">
        <v>32</v>
      </c>
      <c r="C577" s="2" t="s">
        <v>43</v>
      </c>
      <c r="D577" s="2" t="s">
        <v>30</v>
      </c>
      <c r="E577" s="2" t="s">
        <v>55</v>
      </c>
      <c r="F577" s="2" t="s">
        <v>56</v>
      </c>
      <c r="G577" s="2" t="s">
        <v>44</v>
      </c>
      <c r="H577" s="2" t="s">
        <v>1231</v>
      </c>
      <c r="I577" s="2" t="s">
        <v>158</v>
      </c>
      <c r="J577" s="2">
        <v>167.61</v>
      </c>
      <c r="K577" s="2">
        <v>2</v>
      </c>
      <c r="L577" s="2" t="s">
        <v>78</v>
      </c>
      <c r="M577" s="2">
        <v>3</v>
      </c>
      <c r="N577" s="2">
        <v>5</v>
      </c>
      <c r="O577" s="2">
        <v>1</v>
      </c>
      <c r="P577" s="2" t="s">
        <v>36</v>
      </c>
      <c r="Q577" s="2" t="s">
        <v>50</v>
      </c>
      <c r="R577" s="2">
        <v>2</v>
      </c>
      <c r="S577" s="2">
        <v>2</v>
      </c>
      <c r="T577" s="2" t="s">
        <v>59</v>
      </c>
      <c r="U577" s="2" t="s">
        <v>79</v>
      </c>
      <c r="V577" s="2" t="s">
        <v>66</v>
      </c>
      <c r="W577" s="3">
        <v>45606</v>
      </c>
      <c r="X577" s="2" t="b">
        <v>1</v>
      </c>
      <c r="Y577" s="2" t="b">
        <v>0</v>
      </c>
      <c r="Z577" s="2" t="s">
        <v>40</v>
      </c>
      <c r="AA577" s="2" t="s">
        <v>41</v>
      </c>
      <c r="AB577" s="2">
        <v>13</v>
      </c>
      <c r="AC577" s="2">
        <f>SUMIF(N:N,Ecommerce_Consumer_Behavior_Analysis_Data3[[#This Row],[Brand_Loyalty]],M:M)</f>
        <v>597</v>
      </c>
      <c r="AD577" s="2" t="e" cm="1" vm="1">
        <f t="array" aca="1" ref="AD577" ca="1">SUMIFS(Y:Y,Ecommerce_Consumer_Behavior_Analysis_Data3[[#This Row],[Payment_Method]],V:V)</f>
        <v>#VALUE!</v>
      </c>
      <c r="AE577" s="2">
        <f t="shared" si="12"/>
        <v>211.7</v>
      </c>
    </row>
    <row r="578" spans="1:31" x14ac:dyDescent="0.25">
      <c r="A578" s="2" t="s">
        <v>1232</v>
      </c>
      <c r="B578" s="2">
        <v>44</v>
      </c>
      <c r="C578" s="2" t="s">
        <v>43</v>
      </c>
      <c r="D578" s="2" t="s">
        <v>44</v>
      </c>
      <c r="E578" s="2" t="s">
        <v>76</v>
      </c>
      <c r="F578" s="2" t="s">
        <v>45</v>
      </c>
      <c r="G578" s="2" t="s">
        <v>30</v>
      </c>
      <c r="H578" s="2" t="s">
        <v>1233</v>
      </c>
      <c r="I578" s="2" t="s">
        <v>34</v>
      </c>
      <c r="J578" s="2">
        <v>324.22000000000003</v>
      </c>
      <c r="K578" s="2">
        <v>2</v>
      </c>
      <c r="L578" s="2" t="s">
        <v>48</v>
      </c>
      <c r="M578" s="2">
        <v>4</v>
      </c>
      <c r="N578" s="2">
        <v>2</v>
      </c>
      <c r="O578" s="2">
        <v>0</v>
      </c>
      <c r="P578" s="2" t="s">
        <v>36</v>
      </c>
      <c r="Q578" s="2" t="s">
        <v>37</v>
      </c>
      <c r="R578" s="2">
        <v>1</v>
      </c>
      <c r="S578" s="2">
        <v>6</v>
      </c>
      <c r="T578" s="2" t="s">
        <v>49</v>
      </c>
      <c r="U578" s="2" t="s">
        <v>79</v>
      </c>
      <c r="V578" s="2" t="s">
        <v>51</v>
      </c>
      <c r="W578" s="3">
        <v>45400</v>
      </c>
      <c r="X578" s="2" t="b">
        <v>0</v>
      </c>
      <c r="Y578" s="2" t="b">
        <v>0</v>
      </c>
      <c r="Z578" s="2" t="s">
        <v>52</v>
      </c>
      <c r="AA578" s="2" t="s">
        <v>67</v>
      </c>
      <c r="AB578" s="2">
        <v>14</v>
      </c>
      <c r="AC578" s="2">
        <f>SUMIF(N:N,Ecommerce_Consumer_Behavior_Analysis_Data3[[#This Row],[Brand_Loyalty]],M:M)</f>
        <v>603</v>
      </c>
      <c r="AD578" s="2" t="e" cm="1" vm="1">
        <f t="array" aca="1" ref="AD578" ca="1">SUMIFS(Y:Y,Ecommerce_Consumer_Behavior_Analysis_Data3[[#This Row],[Payment_Method]],V:V)</f>
        <v>#VALUE!</v>
      </c>
      <c r="AE578" s="2">
        <f t="shared" ref="AE578:AE641" si="13">INDEX(J:J,MATCH(O579,O:O,0))</f>
        <v>211.7</v>
      </c>
    </row>
    <row r="579" spans="1:31" x14ac:dyDescent="0.25">
      <c r="A579" s="2" t="s">
        <v>1234</v>
      </c>
      <c r="B579" s="2">
        <v>24</v>
      </c>
      <c r="C579" s="2" t="s">
        <v>29</v>
      </c>
      <c r="D579" s="2" t="s">
        <v>30</v>
      </c>
      <c r="E579" s="2" t="s">
        <v>76</v>
      </c>
      <c r="F579" s="2" t="s">
        <v>32</v>
      </c>
      <c r="G579" s="2" t="s">
        <v>30</v>
      </c>
      <c r="H579" s="2" t="s">
        <v>1235</v>
      </c>
      <c r="I579" s="2" t="s">
        <v>93</v>
      </c>
      <c r="J579" s="2">
        <v>159.30000000000001</v>
      </c>
      <c r="K579" s="2">
        <v>11</v>
      </c>
      <c r="L579" s="2" t="s">
        <v>35</v>
      </c>
      <c r="M579" s="2">
        <v>5</v>
      </c>
      <c r="N579" s="2">
        <v>4</v>
      </c>
      <c r="O579" s="2">
        <v>0</v>
      </c>
      <c r="P579" s="2" t="s">
        <v>49</v>
      </c>
      <c r="Q579" s="2" t="s">
        <v>37</v>
      </c>
      <c r="R579" s="2">
        <v>0</v>
      </c>
      <c r="S579" s="2">
        <v>6</v>
      </c>
      <c r="T579" s="2" t="s">
        <v>44</v>
      </c>
      <c r="U579" s="2" t="s">
        <v>38</v>
      </c>
      <c r="V579" s="2" t="s">
        <v>51</v>
      </c>
      <c r="W579" s="3">
        <v>45406</v>
      </c>
      <c r="X579" s="2" t="b">
        <v>0</v>
      </c>
      <c r="Y579" s="2" t="b">
        <v>1</v>
      </c>
      <c r="Z579" s="2" t="s">
        <v>62</v>
      </c>
      <c r="AA579" s="2" t="s">
        <v>67</v>
      </c>
      <c r="AB579" s="2">
        <v>2</v>
      </c>
      <c r="AC579" s="2">
        <f>SUMIF(N:N,Ecommerce_Consumer_Behavior_Analysis_Data3[[#This Row],[Brand_Loyalty]],M:M)</f>
        <v>641</v>
      </c>
      <c r="AD579" s="2" t="e" cm="1" vm="1">
        <f t="array" aca="1" ref="AD579" ca="1">SUMIFS(Y:Y,Ecommerce_Consumer_Behavior_Analysis_Data3[[#This Row],[Payment_Method]],V:V)</f>
        <v>#VALUE!</v>
      </c>
      <c r="AE579" s="2">
        <f t="shared" si="13"/>
        <v>211.7</v>
      </c>
    </row>
    <row r="580" spans="1:31" x14ac:dyDescent="0.25">
      <c r="A580" s="2" t="s">
        <v>1236</v>
      </c>
      <c r="B580" s="2">
        <v>22</v>
      </c>
      <c r="C580" s="2" t="s">
        <v>352</v>
      </c>
      <c r="D580" s="2" t="s">
        <v>30</v>
      </c>
      <c r="E580" s="2" t="s">
        <v>69</v>
      </c>
      <c r="F580" s="2" t="s">
        <v>56</v>
      </c>
      <c r="G580" s="2" t="s">
        <v>30</v>
      </c>
      <c r="H580" s="2" t="s">
        <v>1237</v>
      </c>
      <c r="I580" s="2" t="s">
        <v>98</v>
      </c>
      <c r="J580" s="2">
        <v>324.39</v>
      </c>
      <c r="K580" s="2">
        <v>5</v>
      </c>
      <c r="L580" s="2" t="s">
        <v>78</v>
      </c>
      <c r="M580" s="2">
        <v>2</v>
      </c>
      <c r="N580" s="2">
        <v>2</v>
      </c>
      <c r="O580" s="2">
        <v>0</v>
      </c>
      <c r="P580" s="2" t="s">
        <v>44</v>
      </c>
      <c r="Q580" s="2" t="s">
        <v>85</v>
      </c>
      <c r="R580" s="2">
        <v>1</v>
      </c>
      <c r="S580" s="2">
        <v>6</v>
      </c>
      <c r="T580" s="2" t="s">
        <v>49</v>
      </c>
      <c r="U580" s="2" t="s">
        <v>79</v>
      </c>
      <c r="V580" s="2" t="s">
        <v>51</v>
      </c>
      <c r="W580" s="3">
        <v>45615</v>
      </c>
      <c r="X580" s="2" t="b">
        <v>1</v>
      </c>
      <c r="Y580" s="2" t="b">
        <v>0</v>
      </c>
      <c r="Z580" s="2" t="s">
        <v>40</v>
      </c>
      <c r="AA580" s="2" t="s">
        <v>67</v>
      </c>
      <c r="AB580" s="2">
        <v>1</v>
      </c>
      <c r="AC580" s="2">
        <f>SUMIF(N:N,Ecommerce_Consumer_Behavior_Analysis_Data3[[#This Row],[Brand_Loyalty]],M:M)</f>
        <v>582</v>
      </c>
      <c r="AD580" s="2" t="e" cm="1" vm="1">
        <f t="array" aca="1" ref="AD580" ca="1">SUMIFS(Y:Y,Ecommerce_Consumer_Behavior_Analysis_Data3[[#This Row],[Payment_Method]],V:V)</f>
        <v>#VALUE!</v>
      </c>
      <c r="AE580" s="2">
        <f t="shared" si="13"/>
        <v>211.7</v>
      </c>
    </row>
    <row r="581" spans="1:31" x14ac:dyDescent="0.25">
      <c r="A581" s="2" t="s">
        <v>1238</v>
      </c>
      <c r="B581" s="2">
        <v>37</v>
      </c>
      <c r="C581" s="2" t="s">
        <v>274</v>
      </c>
      <c r="D581" s="2" t="s">
        <v>44</v>
      </c>
      <c r="E581" s="2" t="s">
        <v>55</v>
      </c>
      <c r="F581" s="2" t="s">
        <v>45</v>
      </c>
      <c r="G581" s="2" t="s">
        <v>44</v>
      </c>
      <c r="H581" s="2" t="s">
        <v>1239</v>
      </c>
      <c r="I581" s="2" t="s">
        <v>183</v>
      </c>
      <c r="J581" s="2">
        <v>198.89</v>
      </c>
      <c r="K581" s="2">
        <v>2</v>
      </c>
      <c r="L581" s="2" t="s">
        <v>48</v>
      </c>
      <c r="M581" s="2">
        <v>2</v>
      </c>
      <c r="N581" s="2">
        <v>2</v>
      </c>
      <c r="O581" s="2">
        <v>0</v>
      </c>
      <c r="P581" s="2" t="s">
        <v>44</v>
      </c>
      <c r="Q581" s="2" t="s">
        <v>50</v>
      </c>
      <c r="R581" s="2">
        <v>0</v>
      </c>
      <c r="S581" s="2">
        <v>4</v>
      </c>
      <c r="T581" s="2" t="s">
        <v>59</v>
      </c>
      <c r="U581" s="2" t="s">
        <v>38</v>
      </c>
      <c r="V581" s="2" t="s">
        <v>39</v>
      </c>
      <c r="W581" s="3">
        <v>45303</v>
      </c>
      <c r="X581" s="2" t="b">
        <v>0</v>
      </c>
      <c r="Y581" s="2" t="b">
        <v>0</v>
      </c>
      <c r="Z581" s="2" t="s">
        <v>62</v>
      </c>
      <c r="AA581" s="2" t="s">
        <v>53</v>
      </c>
      <c r="AB581" s="2">
        <v>1</v>
      </c>
      <c r="AC581" s="2">
        <f>SUMIF(N:N,Ecommerce_Consumer_Behavior_Analysis_Data3[[#This Row],[Brand_Loyalty]],M:M)</f>
        <v>582</v>
      </c>
      <c r="AD581" s="2" t="e" cm="1" vm="1">
        <f t="array" aca="1" ref="AD581" ca="1">SUMIFS(Y:Y,Ecommerce_Consumer_Behavior_Analysis_Data3[[#This Row],[Payment_Method]],V:V)</f>
        <v>#VALUE!</v>
      </c>
      <c r="AE581" s="2">
        <f t="shared" si="13"/>
        <v>211.7</v>
      </c>
    </row>
    <row r="582" spans="1:31" x14ac:dyDescent="0.25">
      <c r="A582" s="2" t="s">
        <v>1240</v>
      </c>
      <c r="B582" s="2">
        <v>41</v>
      </c>
      <c r="C582" s="2" t="s">
        <v>29</v>
      </c>
      <c r="D582" s="2" t="s">
        <v>30</v>
      </c>
      <c r="E582" s="2" t="s">
        <v>76</v>
      </c>
      <c r="F582" s="2" t="s">
        <v>56</v>
      </c>
      <c r="G582" s="2" t="s">
        <v>44</v>
      </c>
      <c r="H582" s="2" t="s">
        <v>1241</v>
      </c>
      <c r="I582" s="2" t="s">
        <v>183</v>
      </c>
      <c r="J582" s="2">
        <v>287.18</v>
      </c>
      <c r="K582" s="2">
        <v>7</v>
      </c>
      <c r="L582" s="2" t="s">
        <v>48</v>
      </c>
      <c r="M582" s="2">
        <v>4</v>
      </c>
      <c r="N582" s="2">
        <v>5</v>
      </c>
      <c r="O582" s="2">
        <v>0</v>
      </c>
      <c r="P582" s="2" t="s">
        <v>36</v>
      </c>
      <c r="Q582" s="2" t="s">
        <v>50</v>
      </c>
      <c r="R582" s="2">
        <v>0</v>
      </c>
      <c r="S582" s="2">
        <v>1</v>
      </c>
      <c r="T582" s="2" t="s">
        <v>36</v>
      </c>
      <c r="U582" s="2" t="s">
        <v>38</v>
      </c>
      <c r="V582" s="2" t="s">
        <v>61</v>
      </c>
      <c r="W582" s="3">
        <v>45362</v>
      </c>
      <c r="X582" s="2" t="b">
        <v>1</v>
      </c>
      <c r="Y582" s="2" t="b">
        <v>0</v>
      </c>
      <c r="Z582" s="2" t="s">
        <v>74</v>
      </c>
      <c r="AA582" s="2" t="s">
        <v>41</v>
      </c>
      <c r="AB582" s="2">
        <v>8</v>
      </c>
      <c r="AC582" s="2">
        <f>SUMIF(N:N,Ecommerce_Consumer_Behavior_Analysis_Data3[[#This Row],[Brand_Loyalty]],M:M)</f>
        <v>603</v>
      </c>
      <c r="AD582" s="2" t="e" cm="1" vm="1">
        <f t="array" aca="1" ref="AD582" ca="1">SUMIFS(Y:Y,Ecommerce_Consumer_Behavior_Analysis_Data3[[#This Row],[Payment_Method]],V:V)</f>
        <v>#VALUE!</v>
      </c>
      <c r="AE582" s="2">
        <f t="shared" si="13"/>
        <v>101.31</v>
      </c>
    </row>
    <row r="583" spans="1:31" x14ac:dyDescent="0.25">
      <c r="A583" s="2" t="s">
        <v>1242</v>
      </c>
      <c r="B583" s="2">
        <v>32</v>
      </c>
      <c r="C583" s="2" t="s">
        <v>43</v>
      </c>
      <c r="D583" s="2" t="s">
        <v>44</v>
      </c>
      <c r="E583" s="2" t="s">
        <v>76</v>
      </c>
      <c r="F583" s="2" t="s">
        <v>45</v>
      </c>
      <c r="G583" s="2" t="s">
        <v>30</v>
      </c>
      <c r="H583" s="2" t="s">
        <v>1243</v>
      </c>
      <c r="I583" s="2" t="s">
        <v>58</v>
      </c>
      <c r="J583" s="2">
        <v>162.24</v>
      </c>
      <c r="K583" s="2">
        <v>7</v>
      </c>
      <c r="L583" s="2" t="s">
        <v>48</v>
      </c>
      <c r="M583" s="2">
        <v>5</v>
      </c>
      <c r="N583" s="2">
        <v>3</v>
      </c>
      <c r="O583" s="2">
        <v>1</v>
      </c>
      <c r="P583" s="2" t="s">
        <v>36</v>
      </c>
      <c r="Q583" s="2" t="s">
        <v>85</v>
      </c>
      <c r="R583" s="2">
        <v>2</v>
      </c>
      <c r="S583" s="2">
        <v>6</v>
      </c>
      <c r="T583" s="2" t="s">
        <v>59</v>
      </c>
      <c r="U583" s="2" t="s">
        <v>60</v>
      </c>
      <c r="V583" s="2" t="s">
        <v>51</v>
      </c>
      <c r="W583" s="3">
        <v>45576</v>
      </c>
      <c r="X583" s="2" t="b">
        <v>0</v>
      </c>
      <c r="Y583" s="2" t="b">
        <v>0</v>
      </c>
      <c r="Z583" s="2" t="s">
        <v>52</v>
      </c>
      <c r="AA583" s="2" t="s">
        <v>67</v>
      </c>
      <c r="AB583" s="2">
        <v>7</v>
      </c>
      <c r="AC583" s="2">
        <f>SUMIF(N:N,Ecommerce_Consumer_Behavior_Analysis_Data3[[#This Row],[Brand_Loyalty]],M:M)</f>
        <v>641</v>
      </c>
      <c r="AD583" s="2" t="e" cm="1" vm="1">
        <f t="array" aca="1" ref="AD583" ca="1">SUMIFS(Y:Y,Ecommerce_Consumer_Behavior_Analysis_Data3[[#This Row],[Payment_Method]],V:V)</f>
        <v>#VALUE!</v>
      </c>
      <c r="AE583" s="2">
        <f t="shared" si="13"/>
        <v>211.7</v>
      </c>
    </row>
    <row r="584" spans="1:31" x14ac:dyDescent="0.25">
      <c r="A584" s="2" t="s">
        <v>1244</v>
      </c>
      <c r="B584" s="2">
        <v>37</v>
      </c>
      <c r="C584" s="2" t="s">
        <v>29</v>
      </c>
      <c r="D584" s="2" t="s">
        <v>44</v>
      </c>
      <c r="E584" s="2" t="s">
        <v>76</v>
      </c>
      <c r="F584" s="2" t="s">
        <v>32</v>
      </c>
      <c r="G584" s="2" t="s">
        <v>44</v>
      </c>
      <c r="H584" s="2" t="s">
        <v>1245</v>
      </c>
      <c r="I584" s="2" t="s">
        <v>135</v>
      </c>
      <c r="J584" s="2">
        <v>92.97</v>
      </c>
      <c r="K584" s="2">
        <v>6</v>
      </c>
      <c r="L584" s="2" t="s">
        <v>48</v>
      </c>
      <c r="M584" s="2">
        <v>5</v>
      </c>
      <c r="N584" s="2">
        <v>5</v>
      </c>
      <c r="O584" s="2">
        <v>0</v>
      </c>
      <c r="P584" s="2" t="s">
        <v>49</v>
      </c>
      <c r="Q584" s="2" t="s">
        <v>85</v>
      </c>
      <c r="R584" s="2">
        <v>0</v>
      </c>
      <c r="S584" s="2">
        <v>7</v>
      </c>
      <c r="T584" s="2" t="s">
        <v>59</v>
      </c>
      <c r="U584" s="2" t="s">
        <v>79</v>
      </c>
      <c r="V584" s="2" t="s">
        <v>66</v>
      </c>
      <c r="W584" s="3">
        <v>45641</v>
      </c>
      <c r="X584" s="2" t="b">
        <v>0</v>
      </c>
      <c r="Y584" s="2" t="b">
        <v>1</v>
      </c>
      <c r="Z584" s="2" t="s">
        <v>62</v>
      </c>
      <c r="AA584" s="2" t="s">
        <v>53</v>
      </c>
      <c r="AB584" s="2">
        <v>7</v>
      </c>
      <c r="AC584" s="2">
        <f>SUMIF(N:N,Ecommerce_Consumer_Behavior_Analysis_Data3[[#This Row],[Brand_Loyalty]],M:M)</f>
        <v>641</v>
      </c>
      <c r="AD584" s="2" t="e" cm="1" vm="1">
        <f t="array" aca="1" ref="AD584" ca="1">SUMIFS(Y:Y,Ecommerce_Consumer_Behavior_Analysis_Data3[[#This Row],[Payment_Method]],V:V)</f>
        <v>#VALUE!</v>
      </c>
      <c r="AE584" s="2">
        <f t="shared" si="13"/>
        <v>333.8</v>
      </c>
    </row>
    <row r="585" spans="1:31" x14ac:dyDescent="0.25">
      <c r="A585" s="2" t="s">
        <v>1246</v>
      </c>
      <c r="B585" s="2">
        <v>41</v>
      </c>
      <c r="C585" s="2" t="s">
        <v>43</v>
      </c>
      <c r="D585" s="2" t="s">
        <v>30</v>
      </c>
      <c r="E585" s="2" t="s">
        <v>69</v>
      </c>
      <c r="F585" s="2" t="s">
        <v>45</v>
      </c>
      <c r="G585" s="2" t="s">
        <v>30</v>
      </c>
      <c r="H585" s="2" t="s">
        <v>1247</v>
      </c>
      <c r="I585" s="2" t="s">
        <v>47</v>
      </c>
      <c r="J585" s="2">
        <v>144.38999999999999</v>
      </c>
      <c r="K585" s="2">
        <v>12</v>
      </c>
      <c r="L585" s="2" t="s">
        <v>48</v>
      </c>
      <c r="M585" s="2">
        <v>5</v>
      </c>
      <c r="N585" s="2">
        <v>3</v>
      </c>
      <c r="O585" s="2">
        <v>2</v>
      </c>
      <c r="P585" s="2" t="s">
        <v>44</v>
      </c>
      <c r="Q585" s="2" t="s">
        <v>85</v>
      </c>
      <c r="R585" s="2">
        <v>0</v>
      </c>
      <c r="S585" s="2">
        <v>4</v>
      </c>
      <c r="T585" s="2" t="s">
        <v>59</v>
      </c>
      <c r="U585" s="2" t="s">
        <v>79</v>
      </c>
      <c r="V585" s="2" t="s">
        <v>86</v>
      </c>
      <c r="W585" s="3">
        <v>45454</v>
      </c>
      <c r="X585" s="2" t="b">
        <v>1</v>
      </c>
      <c r="Y585" s="2" t="b">
        <v>1</v>
      </c>
      <c r="Z585" s="2" t="s">
        <v>62</v>
      </c>
      <c r="AA585" s="2" t="s">
        <v>53</v>
      </c>
      <c r="AB585" s="2">
        <v>12</v>
      </c>
      <c r="AC585" s="2">
        <f>SUMIF(N:N,Ecommerce_Consumer_Behavior_Analysis_Data3[[#This Row],[Brand_Loyalty]],M:M)</f>
        <v>641</v>
      </c>
      <c r="AD585" s="2" t="e" cm="1" vm="1">
        <f t="array" aca="1" ref="AD585" ca="1">SUMIFS(Y:Y,Ecommerce_Consumer_Behavior_Analysis_Data3[[#This Row],[Payment_Method]],V:V)</f>
        <v>#VALUE!</v>
      </c>
      <c r="AE585" s="2">
        <f t="shared" si="13"/>
        <v>211.7</v>
      </c>
    </row>
    <row r="586" spans="1:31" x14ac:dyDescent="0.25">
      <c r="A586" s="2" t="s">
        <v>1248</v>
      </c>
      <c r="B586" s="2">
        <v>37</v>
      </c>
      <c r="C586" s="2" t="s">
        <v>29</v>
      </c>
      <c r="D586" s="2" t="s">
        <v>44</v>
      </c>
      <c r="E586" s="2" t="s">
        <v>55</v>
      </c>
      <c r="F586" s="2" t="s">
        <v>45</v>
      </c>
      <c r="G586" s="2" t="s">
        <v>44</v>
      </c>
      <c r="H586" s="2" t="s">
        <v>1249</v>
      </c>
      <c r="I586" s="2" t="s">
        <v>82</v>
      </c>
      <c r="J586" s="2">
        <v>253.37</v>
      </c>
      <c r="K586" s="2">
        <v>12</v>
      </c>
      <c r="L586" s="2" t="s">
        <v>48</v>
      </c>
      <c r="M586" s="2">
        <v>2</v>
      </c>
      <c r="N586" s="2">
        <v>5</v>
      </c>
      <c r="O586" s="2">
        <v>0</v>
      </c>
      <c r="P586" s="2" t="s">
        <v>36</v>
      </c>
      <c r="Q586" s="2" t="s">
        <v>85</v>
      </c>
      <c r="R586" s="2">
        <v>0</v>
      </c>
      <c r="S586" s="2">
        <v>9</v>
      </c>
      <c r="T586" s="2" t="s">
        <v>59</v>
      </c>
      <c r="U586" s="2" t="s">
        <v>38</v>
      </c>
      <c r="V586" s="2" t="s">
        <v>39</v>
      </c>
      <c r="W586" s="3">
        <v>45420</v>
      </c>
      <c r="X586" s="2" t="b">
        <v>0</v>
      </c>
      <c r="Y586" s="2" t="b">
        <v>1</v>
      </c>
      <c r="Z586" s="2" t="s">
        <v>74</v>
      </c>
      <c r="AA586" s="2" t="s">
        <v>67</v>
      </c>
      <c r="AB586" s="2">
        <v>6</v>
      </c>
      <c r="AC586" s="2">
        <f>SUMIF(N:N,Ecommerce_Consumer_Behavior_Analysis_Data3[[#This Row],[Brand_Loyalty]],M:M)</f>
        <v>582</v>
      </c>
      <c r="AD586" s="2" t="e" cm="1" vm="1">
        <f t="array" aca="1" ref="AD586" ca="1">SUMIFS(Y:Y,Ecommerce_Consumer_Behavior_Analysis_Data3[[#This Row],[Payment_Method]],V:V)</f>
        <v>#VALUE!</v>
      </c>
      <c r="AE586" s="2">
        <f t="shared" si="13"/>
        <v>101.31</v>
      </c>
    </row>
    <row r="587" spans="1:31" x14ac:dyDescent="0.25">
      <c r="A587" s="2" t="s">
        <v>1250</v>
      </c>
      <c r="B587" s="2">
        <v>43</v>
      </c>
      <c r="C587" s="2" t="s">
        <v>43</v>
      </c>
      <c r="D587" s="2" t="s">
        <v>30</v>
      </c>
      <c r="E587" s="2" t="s">
        <v>69</v>
      </c>
      <c r="F587" s="2" t="s">
        <v>45</v>
      </c>
      <c r="G587" s="2" t="s">
        <v>44</v>
      </c>
      <c r="H587" s="2" t="s">
        <v>1251</v>
      </c>
      <c r="I587" s="2" t="s">
        <v>101</v>
      </c>
      <c r="J587" s="2">
        <v>209.62</v>
      </c>
      <c r="K587" s="2">
        <v>12</v>
      </c>
      <c r="L587" s="2" t="s">
        <v>35</v>
      </c>
      <c r="M587" s="2">
        <v>1</v>
      </c>
      <c r="N587" s="2">
        <v>2</v>
      </c>
      <c r="O587" s="2">
        <v>1</v>
      </c>
      <c r="P587" s="2" t="s">
        <v>49</v>
      </c>
      <c r="Q587" s="2" t="s">
        <v>85</v>
      </c>
      <c r="R587" s="2">
        <v>0</v>
      </c>
      <c r="S587" s="2">
        <v>7</v>
      </c>
      <c r="T587" s="2" t="s">
        <v>49</v>
      </c>
      <c r="U587" s="2" t="s">
        <v>38</v>
      </c>
      <c r="V587" s="2" t="s">
        <v>66</v>
      </c>
      <c r="W587" s="3">
        <v>45577</v>
      </c>
      <c r="X587" s="2" t="b">
        <v>1</v>
      </c>
      <c r="Y587" s="2" t="b">
        <v>0</v>
      </c>
      <c r="Z587" s="2" t="s">
        <v>74</v>
      </c>
      <c r="AA587" s="2" t="s">
        <v>53</v>
      </c>
      <c r="AB587" s="2">
        <v>9</v>
      </c>
      <c r="AC587" s="2">
        <f>SUMIF(N:N,Ecommerce_Consumer_Behavior_Analysis_Data3[[#This Row],[Brand_Loyalty]],M:M)</f>
        <v>603</v>
      </c>
      <c r="AD587" s="2" t="e" cm="1" vm="1">
        <f t="array" aca="1" ref="AD587" ca="1">SUMIFS(Y:Y,Ecommerce_Consumer_Behavior_Analysis_Data3[[#This Row],[Payment_Method]],V:V)</f>
        <v>#VALUE!</v>
      </c>
      <c r="AE587" s="2">
        <f t="shared" si="13"/>
        <v>211.7</v>
      </c>
    </row>
    <row r="588" spans="1:31" x14ac:dyDescent="0.25">
      <c r="A588" s="2" t="s">
        <v>1252</v>
      </c>
      <c r="B588" s="2">
        <v>49</v>
      </c>
      <c r="C588" s="2" t="s">
        <v>43</v>
      </c>
      <c r="D588" s="2" t="s">
        <v>44</v>
      </c>
      <c r="E588" s="2" t="s">
        <v>55</v>
      </c>
      <c r="F588" s="2" t="s">
        <v>45</v>
      </c>
      <c r="G588" s="2" t="s">
        <v>30</v>
      </c>
      <c r="H588" s="2" t="s">
        <v>1253</v>
      </c>
      <c r="I588" s="2" t="s">
        <v>123</v>
      </c>
      <c r="J588" s="2">
        <v>411.62</v>
      </c>
      <c r="K588" s="2">
        <v>6</v>
      </c>
      <c r="L588" s="2" t="s">
        <v>35</v>
      </c>
      <c r="M588" s="2">
        <v>2</v>
      </c>
      <c r="N588" s="2">
        <v>1</v>
      </c>
      <c r="O588" s="2">
        <v>0</v>
      </c>
      <c r="P588" s="2" t="s">
        <v>49</v>
      </c>
      <c r="Q588" s="2" t="s">
        <v>37</v>
      </c>
      <c r="R588" s="2">
        <v>2</v>
      </c>
      <c r="S588" s="2">
        <v>7</v>
      </c>
      <c r="T588" s="2" t="s">
        <v>49</v>
      </c>
      <c r="U588" s="2" t="s">
        <v>38</v>
      </c>
      <c r="V588" s="2" t="s">
        <v>51</v>
      </c>
      <c r="W588" s="3">
        <v>45570</v>
      </c>
      <c r="X588" s="2" t="b">
        <v>1</v>
      </c>
      <c r="Y588" s="2" t="b">
        <v>0</v>
      </c>
      <c r="Z588" s="2" t="s">
        <v>52</v>
      </c>
      <c r="AA588" s="2" t="s">
        <v>67</v>
      </c>
      <c r="AB588" s="2">
        <v>12</v>
      </c>
      <c r="AC588" s="2">
        <f>SUMIF(N:N,Ecommerce_Consumer_Behavior_Analysis_Data3[[#This Row],[Brand_Loyalty]],M:M)</f>
        <v>582</v>
      </c>
      <c r="AD588" s="2" t="e" cm="1" vm="1">
        <f t="array" aca="1" ref="AD588" ca="1">SUMIFS(Y:Y,Ecommerce_Consumer_Behavior_Analysis_Data3[[#This Row],[Payment_Method]],V:V)</f>
        <v>#VALUE!</v>
      </c>
      <c r="AE588" s="2">
        <f t="shared" si="13"/>
        <v>101.31</v>
      </c>
    </row>
    <row r="589" spans="1:31" x14ac:dyDescent="0.25">
      <c r="A589" s="2" t="s">
        <v>1254</v>
      </c>
      <c r="B589" s="2">
        <v>27</v>
      </c>
      <c r="C589" s="2" t="s">
        <v>29</v>
      </c>
      <c r="D589" s="2" t="s">
        <v>44</v>
      </c>
      <c r="E589" s="2" t="s">
        <v>55</v>
      </c>
      <c r="F589" s="2" t="s">
        <v>32</v>
      </c>
      <c r="G589" s="2" t="s">
        <v>44</v>
      </c>
      <c r="H589" s="2" t="s">
        <v>1255</v>
      </c>
      <c r="I589" s="2" t="s">
        <v>47</v>
      </c>
      <c r="J589" s="2">
        <v>388.01</v>
      </c>
      <c r="K589" s="2">
        <v>2</v>
      </c>
      <c r="L589" s="2" t="s">
        <v>78</v>
      </c>
      <c r="M589" s="2">
        <v>1</v>
      </c>
      <c r="N589" s="2">
        <v>5</v>
      </c>
      <c r="O589" s="2">
        <v>1</v>
      </c>
      <c r="P589" s="2" t="s">
        <v>44</v>
      </c>
      <c r="Q589" s="2" t="s">
        <v>85</v>
      </c>
      <c r="R589" s="2">
        <v>1</v>
      </c>
      <c r="S589" s="2">
        <v>2</v>
      </c>
      <c r="T589" s="2" t="s">
        <v>36</v>
      </c>
      <c r="U589" s="2" t="s">
        <v>38</v>
      </c>
      <c r="V589" s="2" t="s">
        <v>51</v>
      </c>
      <c r="W589" s="3">
        <v>45615</v>
      </c>
      <c r="X589" s="2" t="b">
        <v>0</v>
      </c>
      <c r="Y589" s="2" t="b">
        <v>1</v>
      </c>
      <c r="Z589" s="2" t="s">
        <v>52</v>
      </c>
      <c r="AA589" s="2" t="s">
        <v>53</v>
      </c>
      <c r="AB589" s="2">
        <v>10</v>
      </c>
      <c r="AC589" s="2">
        <f>SUMIF(N:N,Ecommerce_Consumer_Behavior_Analysis_Data3[[#This Row],[Brand_Loyalty]],M:M)</f>
        <v>603</v>
      </c>
      <c r="AD589" s="2" t="e" cm="1" vm="1">
        <f t="array" aca="1" ref="AD589" ca="1">SUMIFS(Y:Y,Ecommerce_Consumer_Behavior_Analysis_Data3[[#This Row],[Payment_Method]],V:V)</f>
        <v>#VALUE!</v>
      </c>
      <c r="AE589" s="2">
        <f t="shared" si="13"/>
        <v>101.31</v>
      </c>
    </row>
    <row r="590" spans="1:31" x14ac:dyDescent="0.25">
      <c r="A590" s="2" t="s">
        <v>1256</v>
      </c>
      <c r="B590" s="2">
        <v>41</v>
      </c>
      <c r="C590" s="2" t="s">
        <v>43</v>
      </c>
      <c r="D590" s="2" t="s">
        <v>30</v>
      </c>
      <c r="E590" s="2" t="s">
        <v>69</v>
      </c>
      <c r="F590" s="2" t="s">
        <v>45</v>
      </c>
      <c r="G590" s="2" t="s">
        <v>44</v>
      </c>
      <c r="H590" s="2" t="s">
        <v>1257</v>
      </c>
      <c r="I590" s="2" t="s">
        <v>104</v>
      </c>
      <c r="J590" s="2">
        <v>50.78</v>
      </c>
      <c r="K590" s="2">
        <v>6</v>
      </c>
      <c r="L590" s="2" t="s">
        <v>78</v>
      </c>
      <c r="M590" s="2">
        <v>5</v>
      </c>
      <c r="N590" s="2">
        <v>1</v>
      </c>
      <c r="O590" s="2">
        <v>1</v>
      </c>
      <c r="P590" s="2" t="s">
        <v>59</v>
      </c>
      <c r="Q590" s="2" t="s">
        <v>37</v>
      </c>
      <c r="R590" s="2">
        <v>1</v>
      </c>
      <c r="S590" s="2">
        <v>8</v>
      </c>
      <c r="T590" s="2" t="s">
        <v>36</v>
      </c>
      <c r="U590" s="2" t="s">
        <v>38</v>
      </c>
      <c r="V590" s="2" t="s">
        <v>61</v>
      </c>
      <c r="W590" s="3">
        <v>45303</v>
      </c>
      <c r="X590" s="2" t="b">
        <v>0</v>
      </c>
      <c r="Y590" s="2" t="b">
        <v>1</v>
      </c>
      <c r="Z590" s="2" t="s">
        <v>40</v>
      </c>
      <c r="AA590" s="2" t="s">
        <v>53</v>
      </c>
      <c r="AB590" s="2">
        <v>9</v>
      </c>
      <c r="AC590" s="2">
        <f>SUMIF(N:N,Ecommerce_Consumer_Behavior_Analysis_Data3[[#This Row],[Brand_Loyalty]],M:M)</f>
        <v>641</v>
      </c>
      <c r="AD590" s="2" t="e" cm="1" vm="1">
        <f t="array" aca="1" ref="AD590" ca="1">SUMIFS(Y:Y,Ecommerce_Consumer_Behavior_Analysis_Data3[[#This Row],[Payment_Method]],V:V)</f>
        <v>#VALUE!</v>
      </c>
      <c r="AE590" s="2">
        <f t="shared" si="13"/>
        <v>101.31</v>
      </c>
    </row>
    <row r="591" spans="1:31" x14ac:dyDescent="0.25">
      <c r="A591" s="2" t="s">
        <v>1258</v>
      </c>
      <c r="B591" s="2">
        <v>33</v>
      </c>
      <c r="C591" s="2" t="s">
        <v>43</v>
      </c>
      <c r="D591" s="2" t="s">
        <v>44</v>
      </c>
      <c r="E591" s="2" t="s">
        <v>76</v>
      </c>
      <c r="F591" s="2" t="s">
        <v>32</v>
      </c>
      <c r="G591" s="2" t="s">
        <v>30</v>
      </c>
      <c r="H591" s="2" t="s">
        <v>1259</v>
      </c>
      <c r="I591" s="2" t="s">
        <v>114</v>
      </c>
      <c r="J591" s="2">
        <v>159.82</v>
      </c>
      <c r="K591" s="2">
        <v>2</v>
      </c>
      <c r="L591" s="2" t="s">
        <v>48</v>
      </c>
      <c r="M591" s="2">
        <v>2</v>
      </c>
      <c r="N591" s="2">
        <v>1</v>
      </c>
      <c r="O591" s="2">
        <v>1</v>
      </c>
      <c r="P591" s="2" t="s">
        <v>44</v>
      </c>
      <c r="Q591" s="2" t="s">
        <v>85</v>
      </c>
      <c r="R591" s="2">
        <v>2</v>
      </c>
      <c r="S591" s="2">
        <v>8</v>
      </c>
      <c r="T591" s="2" t="s">
        <v>49</v>
      </c>
      <c r="U591" s="2" t="s">
        <v>38</v>
      </c>
      <c r="V591" s="2" t="s">
        <v>86</v>
      </c>
      <c r="W591" s="3">
        <v>45635</v>
      </c>
      <c r="X591" s="2" t="b">
        <v>1</v>
      </c>
      <c r="Y591" s="2" t="b">
        <v>1</v>
      </c>
      <c r="Z591" s="2" t="s">
        <v>74</v>
      </c>
      <c r="AA591" s="2" t="s">
        <v>41</v>
      </c>
      <c r="AB591" s="2">
        <v>10</v>
      </c>
      <c r="AC591" s="2">
        <f>SUMIF(N:N,Ecommerce_Consumer_Behavior_Analysis_Data3[[#This Row],[Brand_Loyalty]],M:M)</f>
        <v>582</v>
      </c>
      <c r="AD591" s="2" t="e" cm="1" vm="1">
        <f t="array" aca="1" ref="AD591" ca="1">SUMIFS(Y:Y,Ecommerce_Consumer_Behavior_Analysis_Data3[[#This Row],[Payment_Method]],V:V)</f>
        <v>#VALUE!</v>
      </c>
      <c r="AE591" s="2">
        <f t="shared" si="13"/>
        <v>211.7</v>
      </c>
    </row>
    <row r="592" spans="1:31" x14ac:dyDescent="0.25">
      <c r="A592" s="2" t="s">
        <v>1260</v>
      </c>
      <c r="B592" s="2">
        <v>46</v>
      </c>
      <c r="C592" s="2" t="s">
        <v>43</v>
      </c>
      <c r="D592" s="2" t="s">
        <v>30</v>
      </c>
      <c r="E592" s="2" t="s">
        <v>76</v>
      </c>
      <c r="F592" s="2" t="s">
        <v>56</v>
      </c>
      <c r="G592" s="2" t="s">
        <v>30</v>
      </c>
      <c r="H592" s="2" t="s">
        <v>1261</v>
      </c>
      <c r="I592" s="2" t="s">
        <v>194</v>
      </c>
      <c r="J592" s="2">
        <v>79.430000000000007</v>
      </c>
      <c r="K592" s="2">
        <v>3</v>
      </c>
      <c r="L592" s="2" t="s">
        <v>48</v>
      </c>
      <c r="M592" s="2">
        <v>1</v>
      </c>
      <c r="N592" s="2">
        <v>5</v>
      </c>
      <c r="O592" s="2">
        <v>0</v>
      </c>
      <c r="P592" s="2" t="s">
        <v>49</v>
      </c>
      <c r="Q592" s="2" t="s">
        <v>37</v>
      </c>
      <c r="R592" s="2">
        <v>2</v>
      </c>
      <c r="S592" s="2">
        <v>7</v>
      </c>
      <c r="T592" s="2" t="s">
        <v>36</v>
      </c>
      <c r="U592" s="2" t="s">
        <v>60</v>
      </c>
      <c r="V592" s="2" t="s">
        <v>51</v>
      </c>
      <c r="W592" s="3">
        <v>45306</v>
      </c>
      <c r="X592" s="2" t="b">
        <v>0</v>
      </c>
      <c r="Y592" s="2" t="b">
        <v>0</v>
      </c>
      <c r="Z592" s="2" t="s">
        <v>52</v>
      </c>
      <c r="AA592" s="2" t="s">
        <v>41</v>
      </c>
      <c r="AB592" s="2">
        <v>6</v>
      </c>
      <c r="AC592" s="2">
        <f>SUMIF(N:N,Ecommerce_Consumer_Behavior_Analysis_Data3[[#This Row],[Brand_Loyalty]],M:M)</f>
        <v>603</v>
      </c>
      <c r="AD592" s="2" t="e" cm="1" vm="1">
        <f t="array" aca="1" ref="AD592" ca="1">SUMIFS(Y:Y,Ecommerce_Consumer_Behavior_Analysis_Data3[[#This Row],[Payment_Method]],V:V)</f>
        <v>#VALUE!</v>
      </c>
      <c r="AE592" s="2">
        <f t="shared" si="13"/>
        <v>333.8</v>
      </c>
    </row>
    <row r="593" spans="1:31" x14ac:dyDescent="0.25">
      <c r="A593" s="2" t="s">
        <v>1262</v>
      </c>
      <c r="B593" s="2">
        <v>42</v>
      </c>
      <c r="C593" s="2" t="s">
        <v>29</v>
      </c>
      <c r="D593" s="2" t="s">
        <v>30</v>
      </c>
      <c r="E593" s="2" t="s">
        <v>31</v>
      </c>
      <c r="F593" s="2" t="s">
        <v>32</v>
      </c>
      <c r="G593" s="2" t="s">
        <v>30</v>
      </c>
      <c r="H593" s="2" t="s">
        <v>1263</v>
      </c>
      <c r="I593" s="2" t="s">
        <v>194</v>
      </c>
      <c r="J593" s="2">
        <v>131.36000000000001</v>
      </c>
      <c r="K593" s="2">
        <v>4</v>
      </c>
      <c r="L593" s="2" t="s">
        <v>48</v>
      </c>
      <c r="M593" s="2">
        <v>4</v>
      </c>
      <c r="N593" s="2">
        <v>4</v>
      </c>
      <c r="O593" s="2">
        <v>2</v>
      </c>
      <c r="P593" s="2" t="s">
        <v>36</v>
      </c>
      <c r="Q593" s="2" t="s">
        <v>37</v>
      </c>
      <c r="R593" s="2">
        <v>1</v>
      </c>
      <c r="S593" s="2">
        <v>6</v>
      </c>
      <c r="T593" s="2" t="s">
        <v>44</v>
      </c>
      <c r="U593" s="2" t="s">
        <v>60</v>
      </c>
      <c r="V593" s="2" t="s">
        <v>61</v>
      </c>
      <c r="W593" s="3">
        <v>45617</v>
      </c>
      <c r="X593" s="2" t="b">
        <v>0</v>
      </c>
      <c r="Y593" s="2" t="b">
        <v>0</v>
      </c>
      <c r="Z593" s="2" t="s">
        <v>52</v>
      </c>
      <c r="AA593" s="2" t="s">
        <v>67</v>
      </c>
      <c r="AB593" s="2">
        <v>3</v>
      </c>
      <c r="AC593" s="2">
        <f>SUMIF(N:N,Ecommerce_Consumer_Behavior_Analysis_Data3[[#This Row],[Brand_Loyalty]],M:M)</f>
        <v>603</v>
      </c>
      <c r="AD593" s="2" t="e" cm="1" vm="1">
        <f t="array" aca="1" ref="AD593" ca="1">SUMIFS(Y:Y,Ecommerce_Consumer_Behavior_Analysis_Data3[[#This Row],[Payment_Method]],V:V)</f>
        <v>#VALUE!</v>
      </c>
      <c r="AE593" s="2">
        <f t="shared" si="13"/>
        <v>426.22</v>
      </c>
    </row>
    <row r="594" spans="1:31" x14ac:dyDescent="0.25">
      <c r="A594" s="2" t="s">
        <v>1264</v>
      </c>
      <c r="B594" s="2">
        <v>27</v>
      </c>
      <c r="C594" s="2" t="s">
        <v>43</v>
      </c>
      <c r="D594" s="2" t="s">
        <v>30</v>
      </c>
      <c r="E594" s="2" t="s">
        <v>69</v>
      </c>
      <c r="F594" s="2" t="s">
        <v>45</v>
      </c>
      <c r="G594" s="2" t="s">
        <v>30</v>
      </c>
      <c r="H594" s="2" t="s">
        <v>1265</v>
      </c>
      <c r="I594" s="2" t="s">
        <v>188</v>
      </c>
      <c r="J594" s="2">
        <v>299.75</v>
      </c>
      <c r="K594" s="2">
        <v>12</v>
      </c>
      <c r="L594" s="2" t="s">
        <v>35</v>
      </c>
      <c r="M594" s="2">
        <v>2</v>
      </c>
      <c r="N594" s="2">
        <v>5</v>
      </c>
      <c r="O594" s="2">
        <v>0.3</v>
      </c>
      <c r="P594" s="2" t="s">
        <v>59</v>
      </c>
      <c r="Q594" s="2" t="s">
        <v>85</v>
      </c>
      <c r="R594" s="2">
        <v>0</v>
      </c>
      <c r="S594" s="2">
        <v>4</v>
      </c>
      <c r="T594" s="2" t="s">
        <v>59</v>
      </c>
      <c r="U594" s="2" t="s">
        <v>79</v>
      </c>
      <c r="V594" s="2" t="s">
        <v>39</v>
      </c>
      <c r="W594" s="3">
        <v>45478</v>
      </c>
      <c r="X594" s="2" t="b">
        <v>0</v>
      </c>
      <c r="Y594" s="2" t="b">
        <v>1</v>
      </c>
      <c r="Z594" s="2" t="s">
        <v>40</v>
      </c>
      <c r="AA594" s="2" t="s">
        <v>41</v>
      </c>
      <c r="AB594" s="2">
        <v>7</v>
      </c>
      <c r="AC594" s="2">
        <f>SUMIF(N:N,Ecommerce_Consumer_Behavior_Analysis_Data3[[#This Row],[Brand_Loyalty]],M:M)</f>
        <v>582</v>
      </c>
      <c r="AD594" s="2" t="e" cm="1" vm="1">
        <f t="array" aca="1" ref="AD594" ca="1">SUMIFS(Y:Y,Ecommerce_Consumer_Behavior_Analysis_Data3[[#This Row],[Payment_Method]],V:V)</f>
        <v>#VALUE!</v>
      </c>
      <c r="AE594" s="2">
        <f t="shared" si="13"/>
        <v>211.7</v>
      </c>
    </row>
    <row r="595" spans="1:31" x14ac:dyDescent="0.25">
      <c r="A595" s="2" t="s">
        <v>1266</v>
      </c>
      <c r="B595" s="2">
        <v>29</v>
      </c>
      <c r="C595" s="2" t="s">
        <v>43</v>
      </c>
      <c r="D595" s="2" t="s">
        <v>44</v>
      </c>
      <c r="E595" s="2" t="s">
        <v>76</v>
      </c>
      <c r="F595" s="2" t="s">
        <v>32</v>
      </c>
      <c r="G595" s="2" t="s">
        <v>30</v>
      </c>
      <c r="H595" s="2" t="s">
        <v>1267</v>
      </c>
      <c r="I595" s="2" t="s">
        <v>101</v>
      </c>
      <c r="J595" s="2">
        <v>319.38</v>
      </c>
      <c r="K595" s="2">
        <v>9</v>
      </c>
      <c r="L595" s="2" t="s">
        <v>48</v>
      </c>
      <c r="M595" s="2">
        <v>4</v>
      </c>
      <c r="N595" s="2">
        <v>1</v>
      </c>
      <c r="O595" s="2">
        <v>0</v>
      </c>
      <c r="P595" s="2" t="s">
        <v>59</v>
      </c>
      <c r="Q595" s="2" t="s">
        <v>50</v>
      </c>
      <c r="R595" s="2">
        <v>1</v>
      </c>
      <c r="S595" s="2">
        <v>6</v>
      </c>
      <c r="T595" s="2" t="s">
        <v>44</v>
      </c>
      <c r="U595" s="2" t="s">
        <v>38</v>
      </c>
      <c r="V595" s="2" t="s">
        <v>51</v>
      </c>
      <c r="W595" s="3">
        <v>45611</v>
      </c>
      <c r="X595" s="2" t="b">
        <v>1</v>
      </c>
      <c r="Y595" s="2" t="b">
        <v>1</v>
      </c>
      <c r="Z595" s="2" t="s">
        <v>40</v>
      </c>
      <c r="AA595" s="2" t="s">
        <v>41</v>
      </c>
      <c r="AB595" s="2">
        <v>8</v>
      </c>
      <c r="AC595" s="2">
        <f>SUMIF(N:N,Ecommerce_Consumer_Behavior_Analysis_Data3[[#This Row],[Brand_Loyalty]],M:M)</f>
        <v>603</v>
      </c>
      <c r="AD595" s="2" t="e" cm="1" vm="1">
        <f t="array" aca="1" ref="AD595" ca="1">SUMIFS(Y:Y,Ecommerce_Consumer_Behavior_Analysis_Data3[[#This Row],[Payment_Method]],V:V)</f>
        <v>#VALUE!</v>
      </c>
      <c r="AE595" s="2">
        <f t="shared" si="13"/>
        <v>101.31</v>
      </c>
    </row>
    <row r="596" spans="1:31" x14ac:dyDescent="0.25">
      <c r="A596" s="2" t="s">
        <v>1268</v>
      </c>
      <c r="B596" s="2">
        <v>38</v>
      </c>
      <c r="C596" s="2" t="s">
        <v>43</v>
      </c>
      <c r="D596" s="2" t="s">
        <v>44</v>
      </c>
      <c r="E596" s="2" t="s">
        <v>55</v>
      </c>
      <c r="F596" s="2" t="s">
        <v>56</v>
      </c>
      <c r="G596" s="2" t="s">
        <v>30</v>
      </c>
      <c r="H596" s="2" t="s">
        <v>1269</v>
      </c>
      <c r="I596" s="2" t="s">
        <v>117</v>
      </c>
      <c r="J596" s="2">
        <v>476.48</v>
      </c>
      <c r="K596" s="2">
        <v>8</v>
      </c>
      <c r="L596" s="2" t="s">
        <v>78</v>
      </c>
      <c r="M596" s="2">
        <v>5</v>
      </c>
      <c r="N596" s="2">
        <v>2</v>
      </c>
      <c r="O596" s="2">
        <v>1</v>
      </c>
      <c r="P596" s="2" t="s">
        <v>36</v>
      </c>
      <c r="Q596" s="2" t="s">
        <v>37</v>
      </c>
      <c r="R596" s="2">
        <v>2</v>
      </c>
      <c r="S596" s="2">
        <v>10</v>
      </c>
      <c r="T596" s="2" t="s">
        <v>44</v>
      </c>
      <c r="U596" s="2" t="s">
        <v>79</v>
      </c>
      <c r="V596" s="2" t="s">
        <v>51</v>
      </c>
      <c r="W596" s="3">
        <v>45479</v>
      </c>
      <c r="X596" s="2" t="b">
        <v>0</v>
      </c>
      <c r="Y596" s="2" t="b">
        <v>1</v>
      </c>
      <c r="Z596" s="2" t="s">
        <v>62</v>
      </c>
      <c r="AA596" s="2" t="s">
        <v>67</v>
      </c>
      <c r="AB596" s="2">
        <v>3</v>
      </c>
      <c r="AC596" s="2">
        <f>SUMIF(N:N,Ecommerce_Consumer_Behavior_Analysis_Data3[[#This Row],[Brand_Loyalty]],M:M)</f>
        <v>641</v>
      </c>
      <c r="AD596" s="2" t="e" cm="1" vm="1">
        <f t="array" aca="1" ref="AD596" ca="1">SUMIFS(Y:Y,Ecommerce_Consumer_Behavior_Analysis_Data3[[#This Row],[Payment_Method]],V:V)</f>
        <v>#VALUE!</v>
      </c>
      <c r="AE596" s="2">
        <f t="shared" si="13"/>
        <v>333.8</v>
      </c>
    </row>
    <row r="597" spans="1:31" x14ac:dyDescent="0.25">
      <c r="A597" s="2" t="s">
        <v>1270</v>
      </c>
      <c r="B597" s="2">
        <v>21</v>
      </c>
      <c r="C597" s="2" t="s">
        <v>43</v>
      </c>
      <c r="D597" s="2" t="s">
        <v>30</v>
      </c>
      <c r="E597" s="2" t="s">
        <v>69</v>
      </c>
      <c r="F597" s="2" t="s">
        <v>32</v>
      </c>
      <c r="G597" s="2" t="s">
        <v>30</v>
      </c>
      <c r="H597" s="2" t="s">
        <v>1271</v>
      </c>
      <c r="I597" s="2" t="s">
        <v>34</v>
      </c>
      <c r="J597" s="2">
        <v>301.01</v>
      </c>
      <c r="K597" s="2">
        <v>9</v>
      </c>
      <c r="L597" s="2" t="s">
        <v>35</v>
      </c>
      <c r="M597" s="2">
        <v>2</v>
      </c>
      <c r="N597" s="2">
        <v>1</v>
      </c>
      <c r="O597" s="2">
        <v>2</v>
      </c>
      <c r="P597" s="2" t="s">
        <v>44</v>
      </c>
      <c r="Q597" s="2" t="s">
        <v>50</v>
      </c>
      <c r="R597" s="2">
        <v>2</v>
      </c>
      <c r="S597" s="2">
        <v>8</v>
      </c>
      <c r="T597" s="2" t="s">
        <v>49</v>
      </c>
      <c r="U597" s="2" t="s">
        <v>60</v>
      </c>
      <c r="V597" s="2" t="s">
        <v>66</v>
      </c>
      <c r="W597" s="3">
        <v>45527</v>
      </c>
      <c r="X597" s="2" t="b">
        <v>0</v>
      </c>
      <c r="Y597" s="2" t="b">
        <v>1</v>
      </c>
      <c r="Z597" s="2" t="s">
        <v>40</v>
      </c>
      <c r="AA597" s="2" t="s">
        <v>67</v>
      </c>
      <c r="AB597" s="2">
        <v>13</v>
      </c>
      <c r="AC597" s="2">
        <f>SUMIF(N:N,Ecommerce_Consumer_Behavior_Analysis_Data3[[#This Row],[Brand_Loyalty]],M:M)</f>
        <v>582</v>
      </c>
      <c r="AD597" s="2" t="e" cm="1" vm="1">
        <f t="array" aca="1" ref="AD597" ca="1">SUMIFS(Y:Y,Ecommerce_Consumer_Behavior_Analysis_Data3[[#This Row],[Payment_Method]],V:V)</f>
        <v>#VALUE!</v>
      </c>
      <c r="AE597" s="2">
        <f t="shared" si="13"/>
        <v>333.8</v>
      </c>
    </row>
    <row r="598" spans="1:31" x14ac:dyDescent="0.25">
      <c r="A598" s="2" t="s">
        <v>1272</v>
      </c>
      <c r="B598" s="2">
        <v>18</v>
      </c>
      <c r="C598" s="2" t="s">
        <v>43</v>
      </c>
      <c r="D598" s="2" t="s">
        <v>30</v>
      </c>
      <c r="E598" s="2" t="s">
        <v>55</v>
      </c>
      <c r="F598" s="2" t="s">
        <v>32</v>
      </c>
      <c r="G598" s="2" t="s">
        <v>30</v>
      </c>
      <c r="H598" s="2" t="s">
        <v>1273</v>
      </c>
      <c r="I598" s="2" t="s">
        <v>117</v>
      </c>
      <c r="J598" s="2">
        <v>378.71</v>
      </c>
      <c r="K598" s="2">
        <v>5</v>
      </c>
      <c r="L598" s="2" t="s">
        <v>78</v>
      </c>
      <c r="M598" s="2">
        <v>4</v>
      </c>
      <c r="N598" s="2">
        <v>1</v>
      </c>
      <c r="O598" s="2">
        <v>2</v>
      </c>
      <c r="P598" s="2" t="s">
        <v>49</v>
      </c>
      <c r="Q598" s="2" t="s">
        <v>37</v>
      </c>
      <c r="R598" s="2">
        <v>2</v>
      </c>
      <c r="S598" s="2">
        <v>5</v>
      </c>
      <c r="T598" s="2" t="s">
        <v>36</v>
      </c>
      <c r="U598" s="2" t="s">
        <v>79</v>
      </c>
      <c r="V598" s="2" t="s">
        <v>66</v>
      </c>
      <c r="W598" s="3">
        <v>45534</v>
      </c>
      <c r="X598" s="2" t="b">
        <v>1</v>
      </c>
      <c r="Y598" s="2" t="b">
        <v>1</v>
      </c>
      <c r="Z598" s="2" t="s">
        <v>74</v>
      </c>
      <c r="AA598" s="2" t="s">
        <v>67</v>
      </c>
      <c r="AB598" s="2">
        <v>14</v>
      </c>
      <c r="AC598" s="2">
        <f>SUMIF(N:N,Ecommerce_Consumer_Behavior_Analysis_Data3[[#This Row],[Brand_Loyalty]],M:M)</f>
        <v>603</v>
      </c>
      <c r="AD598" s="2" t="e" cm="1" vm="1">
        <f t="array" aca="1" ref="AD598" ca="1">SUMIFS(Y:Y,Ecommerce_Consumer_Behavior_Analysis_Data3[[#This Row],[Payment_Method]],V:V)</f>
        <v>#VALUE!</v>
      </c>
      <c r="AE598" s="2">
        <f t="shared" si="13"/>
        <v>333.8</v>
      </c>
    </row>
    <row r="599" spans="1:31" x14ac:dyDescent="0.25">
      <c r="A599" s="2" t="s">
        <v>1274</v>
      </c>
      <c r="B599" s="2">
        <v>44</v>
      </c>
      <c r="C599" s="2" t="s">
        <v>190</v>
      </c>
      <c r="D599" s="2" t="s">
        <v>30</v>
      </c>
      <c r="E599" s="2" t="s">
        <v>55</v>
      </c>
      <c r="F599" s="2" t="s">
        <v>32</v>
      </c>
      <c r="G599" s="2" t="s">
        <v>30</v>
      </c>
      <c r="H599" s="2" t="s">
        <v>1275</v>
      </c>
      <c r="I599" s="2" t="s">
        <v>93</v>
      </c>
      <c r="J599" s="2">
        <v>314.32</v>
      </c>
      <c r="K599" s="2">
        <v>6</v>
      </c>
      <c r="L599" s="2" t="s">
        <v>78</v>
      </c>
      <c r="M599" s="2">
        <v>1</v>
      </c>
      <c r="N599" s="2">
        <v>4</v>
      </c>
      <c r="O599" s="2">
        <v>2</v>
      </c>
      <c r="P599" s="2" t="s">
        <v>44</v>
      </c>
      <c r="Q599" s="2" t="s">
        <v>85</v>
      </c>
      <c r="R599" s="2">
        <v>2</v>
      </c>
      <c r="S599" s="2">
        <v>5</v>
      </c>
      <c r="T599" s="2" t="s">
        <v>59</v>
      </c>
      <c r="U599" s="2" t="s">
        <v>60</v>
      </c>
      <c r="V599" s="2" t="s">
        <v>39</v>
      </c>
      <c r="W599" s="3">
        <v>45367</v>
      </c>
      <c r="X599" s="2" t="b">
        <v>1</v>
      </c>
      <c r="Y599" s="2" t="b">
        <v>0</v>
      </c>
      <c r="Z599" s="2" t="s">
        <v>62</v>
      </c>
      <c r="AA599" s="2" t="s">
        <v>53</v>
      </c>
      <c r="AB599" s="2">
        <v>7</v>
      </c>
      <c r="AC599" s="2">
        <f>SUMIF(N:N,Ecommerce_Consumer_Behavior_Analysis_Data3[[#This Row],[Brand_Loyalty]],M:M)</f>
        <v>603</v>
      </c>
      <c r="AD599" s="2" t="e" cm="1" vm="1">
        <f t="array" aca="1" ref="AD599" ca="1">SUMIFS(Y:Y,Ecommerce_Consumer_Behavior_Analysis_Data3[[#This Row],[Payment_Method]],V:V)</f>
        <v>#VALUE!</v>
      </c>
      <c r="AE599" s="2">
        <f t="shared" si="13"/>
        <v>333.8</v>
      </c>
    </row>
    <row r="600" spans="1:31" x14ac:dyDescent="0.25">
      <c r="A600" s="2" t="s">
        <v>1276</v>
      </c>
      <c r="B600" s="2">
        <v>22</v>
      </c>
      <c r="C600" s="2" t="s">
        <v>43</v>
      </c>
      <c r="D600" s="2" t="s">
        <v>30</v>
      </c>
      <c r="E600" s="2" t="s">
        <v>31</v>
      </c>
      <c r="F600" s="2" t="s">
        <v>45</v>
      </c>
      <c r="G600" s="2" t="s">
        <v>44</v>
      </c>
      <c r="H600" s="2" t="s">
        <v>254</v>
      </c>
      <c r="I600" s="2" t="s">
        <v>58</v>
      </c>
      <c r="J600" s="2">
        <v>210.9</v>
      </c>
      <c r="K600" s="2">
        <v>12</v>
      </c>
      <c r="L600" s="2" t="s">
        <v>48</v>
      </c>
      <c r="M600" s="2">
        <v>2</v>
      </c>
      <c r="N600" s="2">
        <v>1</v>
      </c>
      <c r="O600" s="2">
        <v>2</v>
      </c>
      <c r="P600" s="2" t="s">
        <v>36</v>
      </c>
      <c r="Q600" s="2" t="s">
        <v>37</v>
      </c>
      <c r="R600" s="2">
        <v>1</v>
      </c>
      <c r="S600" s="2">
        <v>1</v>
      </c>
      <c r="T600" s="2" t="s">
        <v>36</v>
      </c>
      <c r="U600" s="2" t="s">
        <v>38</v>
      </c>
      <c r="V600" s="2" t="s">
        <v>61</v>
      </c>
      <c r="W600" s="3">
        <v>45521</v>
      </c>
      <c r="X600" s="2" t="b">
        <v>0</v>
      </c>
      <c r="Y600" s="2" t="b">
        <v>0</v>
      </c>
      <c r="Z600" s="2" t="s">
        <v>62</v>
      </c>
      <c r="AA600" s="2" t="s">
        <v>53</v>
      </c>
      <c r="AB600" s="2">
        <v>12</v>
      </c>
      <c r="AC600" s="2">
        <f>SUMIF(N:N,Ecommerce_Consumer_Behavior_Analysis_Data3[[#This Row],[Brand_Loyalty]],M:M)</f>
        <v>582</v>
      </c>
      <c r="AD600" s="2" t="e" cm="1" vm="1">
        <f t="array" aca="1" ref="AD600" ca="1">SUMIFS(Y:Y,Ecommerce_Consumer_Behavior_Analysis_Data3[[#This Row],[Payment_Method]],V:V)</f>
        <v>#VALUE!</v>
      </c>
      <c r="AE600" s="2">
        <f t="shared" si="13"/>
        <v>333.8</v>
      </c>
    </row>
    <row r="601" spans="1:31" x14ac:dyDescent="0.25">
      <c r="A601" s="2" t="s">
        <v>1277</v>
      </c>
      <c r="B601" s="2">
        <v>18</v>
      </c>
      <c r="C601" s="2" t="s">
        <v>29</v>
      </c>
      <c r="D601" s="2" t="s">
        <v>30</v>
      </c>
      <c r="E601" s="2" t="s">
        <v>76</v>
      </c>
      <c r="F601" s="2" t="s">
        <v>45</v>
      </c>
      <c r="G601" s="2" t="s">
        <v>44</v>
      </c>
      <c r="H601" s="2" t="s">
        <v>1278</v>
      </c>
      <c r="I601" s="2" t="s">
        <v>47</v>
      </c>
      <c r="J601" s="2">
        <v>218.26</v>
      </c>
      <c r="K601" s="2">
        <v>4</v>
      </c>
      <c r="L601" s="2" t="s">
        <v>35</v>
      </c>
      <c r="M601" s="2">
        <v>3</v>
      </c>
      <c r="N601" s="2">
        <v>1</v>
      </c>
      <c r="O601" s="2">
        <v>2</v>
      </c>
      <c r="P601" s="2" t="s">
        <v>59</v>
      </c>
      <c r="Q601" s="2" t="s">
        <v>85</v>
      </c>
      <c r="R601" s="2">
        <v>0</v>
      </c>
      <c r="S601" s="2">
        <v>8</v>
      </c>
      <c r="T601" s="2" t="s">
        <v>44</v>
      </c>
      <c r="U601" s="2" t="s">
        <v>60</v>
      </c>
      <c r="V601" s="2" t="s">
        <v>61</v>
      </c>
      <c r="W601" s="3">
        <v>45349</v>
      </c>
      <c r="X601" s="2" t="b">
        <v>0</v>
      </c>
      <c r="Y601" s="2" t="b">
        <v>0</v>
      </c>
      <c r="Z601" s="2" t="s">
        <v>52</v>
      </c>
      <c r="AA601" s="2" t="s">
        <v>53</v>
      </c>
      <c r="AB601" s="2">
        <v>12</v>
      </c>
      <c r="AC601" s="2">
        <f>SUMIF(N:N,Ecommerce_Consumer_Behavior_Analysis_Data3[[#This Row],[Brand_Loyalty]],M:M)</f>
        <v>597</v>
      </c>
      <c r="AD601" s="2" t="e" cm="1" vm="1">
        <f t="array" aca="1" ref="AD601" ca="1">SUMIFS(Y:Y,Ecommerce_Consumer_Behavior_Analysis_Data3[[#This Row],[Payment_Method]],V:V)</f>
        <v>#VALUE!</v>
      </c>
      <c r="AE601" s="2">
        <f t="shared" si="13"/>
        <v>101.31</v>
      </c>
    </row>
    <row r="602" spans="1:31" x14ac:dyDescent="0.25">
      <c r="A602" s="2" t="s">
        <v>1279</v>
      </c>
      <c r="B602" s="2">
        <v>24</v>
      </c>
      <c r="C602" s="2" t="s">
        <v>29</v>
      </c>
      <c r="D602" s="2" t="s">
        <v>30</v>
      </c>
      <c r="E602" s="2" t="s">
        <v>69</v>
      </c>
      <c r="F602" s="2" t="s">
        <v>56</v>
      </c>
      <c r="G602" s="2" t="s">
        <v>30</v>
      </c>
      <c r="H602" s="2" t="s">
        <v>1280</v>
      </c>
      <c r="I602" s="2" t="s">
        <v>101</v>
      </c>
      <c r="J602" s="2">
        <v>424.18</v>
      </c>
      <c r="K602" s="2">
        <v>5</v>
      </c>
      <c r="L602" s="2" t="s">
        <v>35</v>
      </c>
      <c r="M602" s="2">
        <v>4</v>
      </c>
      <c r="N602" s="2">
        <v>4</v>
      </c>
      <c r="O602" s="2">
        <v>1</v>
      </c>
      <c r="P602" s="2" t="s">
        <v>36</v>
      </c>
      <c r="Q602" s="2" t="s">
        <v>50</v>
      </c>
      <c r="R602" s="2">
        <v>2</v>
      </c>
      <c r="S602" s="2">
        <v>4</v>
      </c>
      <c r="T602" s="2" t="s">
        <v>49</v>
      </c>
      <c r="U602" s="2" t="s">
        <v>60</v>
      </c>
      <c r="V602" s="2" t="s">
        <v>61</v>
      </c>
      <c r="W602" s="3">
        <v>45336</v>
      </c>
      <c r="X602" s="2" t="b">
        <v>0</v>
      </c>
      <c r="Y602" s="2" t="b">
        <v>1</v>
      </c>
      <c r="Z602" s="2" t="s">
        <v>40</v>
      </c>
      <c r="AA602" s="2" t="s">
        <v>67</v>
      </c>
      <c r="AB602" s="2">
        <v>5</v>
      </c>
      <c r="AC602" s="2">
        <f>SUMIF(N:N,Ecommerce_Consumer_Behavior_Analysis_Data3[[#This Row],[Brand_Loyalty]],M:M)</f>
        <v>603</v>
      </c>
      <c r="AD602" s="2" t="e" cm="1" vm="1">
        <f t="array" aca="1" ref="AD602" ca="1">SUMIFS(Y:Y,Ecommerce_Consumer_Behavior_Analysis_Data3[[#This Row],[Payment_Method]],V:V)</f>
        <v>#VALUE!</v>
      </c>
      <c r="AE602" s="2">
        <f t="shared" si="13"/>
        <v>101.31</v>
      </c>
    </row>
    <row r="603" spans="1:31" x14ac:dyDescent="0.25">
      <c r="A603" s="2" t="s">
        <v>1281</v>
      </c>
      <c r="B603" s="2">
        <v>28</v>
      </c>
      <c r="C603" s="2" t="s">
        <v>43</v>
      </c>
      <c r="D603" s="2" t="s">
        <v>44</v>
      </c>
      <c r="E603" s="2" t="s">
        <v>76</v>
      </c>
      <c r="F603" s="2" t="s">
        <v>45</v>
      </c>
      <c r="G603" s="2" t="s">
        <v>30</v>
      </c>
      <c r="H603" s="2" t="s">
        <v>92</v>
      </c>
      <c r="I603" s="2" t="s">
        <v>98</v>
      </c>
      <c r="J603" s="2">
        <v>430.75</v>
      </c>
      <c r="K603" s="2">
        <v>11</v>
      </c>
      <c r="L603" s="2" t="s">
        <v>78</v>
      </c>
      <c r="M603" s="2">
        <v>1</v>
      </c>
      <c r="N603" s="2">
        <v>3</v>
      </c>
      <c r="O603" s="2">
        <v>1</v>
      </c>
      <c r="P603" s="2" t="s">
        <v>59</v>
      </c>
      <c r="Q603" s="2" t="s">
        <v>37</v>
      </c>
      <c r="R603" s="2">
        <v>0</v>
      </c>
      <c r="S603" s="2">
        <v>8</v>
      </c>
      <c r="T603" s="2" t="s">
        <v>44</v>
      </c>
      <c r="U603" s="2" t="s">
        <v>38</v>
      </c>
      <c r="V603" s="2" t="s">
        <v>39</v>
      </c>
      <c r="W603" s="3">
        <v>45467</v>
      </c>
      <c r="X603" s="2" t="b">
        <v>1</v>
      </c>
      <c r="Y603" s="2" t="b">
        <v>0</v>
      </c>
      <c r="Z603" s="2" t="s">
        <v>74</v>
      </c>
      <c r="AA603" s="2" t="s">
        <v>41</v>
      </c>
      <c r="AB603" s="2">
        <v>6</v>
      </c>
      <c r="AC603" s="2">
        <f>SUMIF(N:N,Ecommerce_Consumer_Behavior_Analysis_Data3[[#This Row],[Brand_Loyalty]],M:M)</f>
        <v>603</v>
      </c>
      <c r="AD603" s="2" t="e" cm="1" vm="1">
        <f t="array" aca="1" ref="AD603" ca="1">SUMIFS(Y:Y,Ecommerce_Consumer_Behavior_Analysis_Data3[[#This Row],[Payment_Method]],V:V)</f>
        <v>#VALUE!</v>
      </c>
      <c r="AE603" s="2">
        <f t="shared" si="13"/>
        <v>333.8</v>
      </c>
    </row>
    <row r="604" spans="1:31" x14ac:dyDescent="0.25">
      <c r="A604" s="2" t="s">
        <v>1282</v>
      </c>
      <c r="B604" s="2">
        <v>24</v>
      </c>
      <c r="C604" s="2" t="s">
        <v>43</v>
      </c>
      <c r="D604" s="2" t="s">
        <v>44</v>
      </c>
      <c r="E604" s="2" t="s">
        <v>55</v>
      </c>
      <c r="F604" s="2" t="s">
        <v>32</v>
      </c>
      <c r="G604" s="2" t="s">
        <v>30</v>
      </c>
      <c r="H604" s="2" t="s">
        <v>1283</v>
      </c>
      <c r="I604" s="2" t="s">
        <v>93</v>
      </c>
      <c r="J604" s="2">
        <v>162.94999999999999</v>
      </c>
      <c r="K604" s="2">
        <v>11</v>
      </c>
      <c r="L604" s="2" t="s">
        <v>48</v>
      </c>
      <c r="M604" s="2">
        <v>1</v>
      </c>
      <c r="N604" s="2">
        <v>2</v>
      </c>
      <c r="O604" s="2">
        <v>2</v>
      </c>
      <c r="P604" s="2" t="s">
        <v>44</v>
      </c>
      <c r="Q604" s="2" t="s">
        <v>85</v>
      </c>
      <c r="R604" s="2">
        <v>1</v>
      </c>
      <c r="S604" s="2">
        <v>8</v>
      </c>
      <c r="T604" s="2" t="s">
        <v>59</v>
      </c>
      <c r="U604" s="2" t="s">
        <v>79</v>
      </c>
      <c r="V604" s="2" t="s">
        <v>86</v>
      </c>
      <c r="W604" s="3">
        <v>45494</v>
      </c>
      <c r="X604" s="2" t="b">
        <v>0</v>
      </c>
      <c r="Y604" s="2" t="b">
        <v>1</v>
      </c>
      <c r="Z604" s="2" t="s">
        <v>62</v>
      </c>
      <c r="AA604" s="2" t="s">
        <v>67</v>
      </c>
      <c r="AB604" s="2">
        <v>14</v>
      </c>
      <c r="AC604" s="2">
        <f>SUMIF(N:N,Ecommerce_Consumer_Behavior_Analysis_Data3[[#This Row],[Brand_Loyalty]],M:M)</f>
        <v>603</v>
      </c>
      <c r="AD604" s="2" t="e" cm="1" vm="1">
        <f t="array" aca="1" ref="AD604" ca="1">SUMIFS(Y:Y,Ecommerce_Consumer_Behavior_Analysis_Data3[[#This Row],[Payment_Method]],V:V)</f>
        <v>#VALUE!</v>
      </c>
      <c r="AE604" s="2">
        <f t="shared" si="13"/>
        <v>101.31</v>
      </c>
    </row>
    <row r="605" spans="1:31" x14ac:dyDescent="0.25">
      <c r="A605" s="2" t="s">
        <v>1284</v>
      </c>
      <c r="B605" s="2">
        <v>40</v>
      </c>
      <c r="C605" s="2" t="s">
        <v>29</v>
      </c>
      <c r="D605" s="2" t="s">
        <v>30</v>
      </c>
      <c r="E605" s="2" t="s">
        <v>31</v>
      </c>
      <c r="F605" s="2" t="s">
        <v>56</v>
      </c>
      <c r="G605" s="2" t="s">
        <v>44</v>
      </c>
      <c r="H605" s="2" t="s">
        <v>1285</v>
      </c>
      <c r="I605" s="2" t="s">
        <v>142</v>
      </c>
      <c r="J605" s="2">
        <v>209.68</v>
      </c>
      <c r="K605" s="2">
        <v>2</v>
      </c>
      <c r="L605" s="2" t="s">
        <v>78</v>
      </c>
      <c r="M605" s="2">
        <v>3</v>
      </c>
      <c r="N605" s="2">
        <v>1</v>
      </c>
      <c r="O605" s="2">
        <v>1</v>
      </c>
      <c r="P605" s="2" t="s">
        <v>36</v>
      </c>
      <c r="Q605" s="2" t="s">
        <v>50</v>
      </c>
      <c r="R605" s="2">
        <v>0</v>
      </c>
      <c r="S605" s="2">
        <v>1</v>
      </c>
      <c r="T605" s="2" t="s">
        <v>49</v>
      </c>
      <c r="U605" s="2" t="s">
        <v>60</v>
      </c>
      <c r="V605" s="2" t="s">
        <v>66</v>
      </c>
      <c r="W605" s="3">
        <v>45473</v>
      </c>
      <c r="X605" s="2" t="b">
        <v>0</v>
      </c>
      <c r="Y605" s="2" t="b">
        <v>1</v>
      </c>
      <c r="Z605" s="2" t="s">
        <v>62</v>
      </c>
      <c r="AA605" s="2" t="s">
        <v>67</v>
      </c>
      <c r="AB605" s="2">
        <v>8</v>
      </c>
      <c r="AC605" s="2">
        <f>SUMIF(N:N,Ecommerce_Consumer_Behavior_Analysis_Data3[[#This Row],[Brand_Loyalty]],M:M)</f>
        <v>597</v>
      </c>
      <c r="AD605" s="2" t="e" cm="1" vm="1">
        <f t="array" aca="1" ref="AD605" ca="1">SUMIFS(Y:Y,Ecommerce_Consumer_Behavior_Analysis_Data3[[#This Row],[Payment_Method]],V:V)</f>
        <v>#VALUE!</v>
      </c>
      <c r="AE605" s="2">
        <f t="shared" si="13"/>
        <v>101.31</v>
      </c>
    </row>
    <row r="606" spans="1:31" x14ac:dyDescent="0.25">
      <c r="A606" s="2" t="s">
        <v>1286</v>
      </c>
      <c r="B606" s="2">
        <v>50</v>
      </c>
      <c r="C606" s="2" t="s">
        <v>43</v>
      </c>
      <c r="D606" s="2" t="s">
        <v>44</v>
      </c>
      <c r="E606" s="2" t="s">
        <v>69</v>
      </c>
      <c r="F606" s="2" t="s">
        <v>32</v>
      </c>
      <c r="G606" s="2" t="s">
        <v>30</v>
      </c>
      <c r="H606" s="2" t="s">
        <v>1287</v>
      </c>
      <c r="I606" s="2" t="s">
        <v>188</v>
      </c>
      <c r="J606" s="2">
        <v>97.97</v>
      </c>
      <c r="K606" s="2">
        <v>2</v>
      </c>
      <c r="L606" s="2" t="s">
        <v>48</v>
      </c>
      <c r="M606" s="2">
        <v>5</v>
      </c>
      <c r="N606" s="2">
        <v>5</v>
      </c>
      <c r="O606" s="2">
        <v>1</v>
      </c>
      <c r="P606" s="2" t="s">
        <v>59</v>
      </c>
      <c r="Q606" s="2" t="s">
        <v>37</v>
      </c>
      <c r="R606" s="2">
        <v>0</v>
      </c>
      <c r="S606" s="2">
        <v>10</v>
      </c>
      <c r="T606" s="2" t="s">
        <v>36</v>
      </c>
      <c r="U606" s="2" t="s">
        <v>79</v>
      </c>
      <c r="V606" s="2" t="s">
        <v>39</v>
      </c>
      <c r="W606" s="3">
        <v>45568</v>
      </c>
      <c r="X606" s="2" t="b">
        <v>1</v>
      </c>
      <c r="Y606" s="2" t="b">
        <v>0</v>
      </c>
      <c r="Z606" s="2" t="s">
        <v>74</v>
      </c>
      <c r="AA606" s="2" t="s">
        <v>41</v>
      </c>
      <c r="AB606" s="2">
        <v>1</v>
      </c>
      <c r="AC606" s="2">
        <f>SUMIF(N:N,Ecommerce_Consumer_Behavior_Analysis_Data3[[#This Row],[Brand_Loyalty]],M:M)</f>
        <v>641</v>
      </c>
      <c r="AD606" s="2" t="e" cm="1" vm="1">
        <f t="array" aca="1" ref="AD606" ca="1">SUMIFS(Y:Y,Ecommerce_Consumer_Behavior_Analysis_Data3[[#This Row],[Payment_Method]],V:V)</f>
        <v>#VALUE!</v>
      </c>
      <c r="AE606" s="2">
        <f t="shared" si="13"/>
        <v>333.8</v>
      </c>
    </row>
    <row r="607" spans="1:31" x14ac:dyDescent="0.25">
      <c r="A607" s="2" t="s">
        <v>1288</v>
      </c>
      <c r="B607" s="2">
        <v>49</v>
      </c>
      <c r="C607" s="2" t="s">
        <v>43</v>
      </c>
      <c r="D607" s="2" t="s">
        <v>30</v>
      </c>
      <c r="E607" s="2" t="s">
        <v>69</v>
      </c>
      <c r="F607" s="2" t="s">
        <v>56</v>
      </c>
      <c r="G607" s="2" t="s">
        <v>44</v>
      </c>
      <c r="H607" s="2" t="s">
        <v>1289</v>
      </c>
      <c r="I607" s="2" t="s">
        <v>82</v>
      </c>
      <c r="J607" s="2">
        <v>192.51</v>
      </c>
      <c r="K607" s="2">
        <v>9</v>
      </c>
      <c r="L607" s="2" t="s">
        <v>35</v>
      </c>
      <c r="M607" s="2">
        <v>2</v>
      </c>
      <c r="N607" s="2">
        <v>5</v>
      </c>
      <c r="O607" s="2">
        <v>2</v>
      </c>
      <c r="P607" s="2" t="s">
        <v>49</v>
      </c>
      <c r="Q607" s="2" t="s">
        <v>85</v>
      </c>
      <c r="R607" s="2">
        <v>0</v>
      </c>
      <c r="S607" s="2">
        <v>2</v>
      </c>
      <c r="T607" s="2" t="s">
        <v>49</v>
      </c>
      <c r="U607" s="2" t="s">
        <v>60</v>
      </c>
      <c r="V607" s="2" t="s">
        <v>39</v>
      </c>
      <c r="W607" s="3">
        <v>45527</v>
      </c>
      <c r="X607" s="2" t="b">
        <v>1</v>
      </c>
      <c r="Y607" s="2" t="b">
        <v>0</v>
      </c>
      <c r="Z607" s="2" t="s">
        <v>40</v>
      </c>
      <c r="AA607" s="2" t="s">
        <v>53</v>
      </c>
      <c r="AB607" s="2">
        <v>9</v>
      </c>
      <c r="AC607" s="2">
        <f>SUMIF(N:N,Ecommerce_Consumer_Behavior_Analysis_Data3[[#This Row],[Brand_Loyalty]],M:M)</f>
        <v>582</v>
      </c>
      <c r="AD607" s="2" t="e" cm="1" vm="1">
        <f t="array" aca="1" ref="AD607" ca="1">SUMIFS(Y:Y,Ecommerce_Consumer_Behavior_Analysis_Data3[[#This Row],[Payment_Method]],V:V)</f>
        <v>#VALUE!</v>
      </c>
      <c r="AE607" s="2">
        <f t="shared" si="13"/>
        <v>211.7</v>
      </c>
    </row>
    <row r="608" spans="1:31" x14ac:dyDescent="0.25">
      <c r="A608" s="2" t="s">
        <v>1290</v>
      </c>
      <c r="B608" s="2">
        <v>35</v>
      </c>
      <c r="C608" s="2" t="s">
        <v>43</v>
      </c>
      <c r="D608" s="2" t="s">
        <v>30</v>
      </c>
      <c r="E608" s="2" t="s">
        <v>69</v>
      </c>
      <c r="F608" s="2" t="s">
        <v>56</v>
      </c>
      <c r="G608" s="2" t="s">
        <v>30</v>
      </c>
      <c r="H608" s="2" t="s">
        <v>1267</v>
      </c>
      <c r="I608" s="2" t="s">
        <v>117</v>
      </c>
      <c r="J608" s="2">
        <v>151.81</v>
      </c>
      <c r="K608" s="2">
        <v>8</v>
      </c>
      <c r="L608" s="2" t="s">
        <v>78</v>
      </c>
      <c r="M608" s="2">
        <v>3</v>
      </c>
      <c r="N608" s="2">
        <v>4</v>
      </c>
      <c r="O608" s="2">
        <v>0</v>
      </c>
      <c r="P608" s="2" t="s">
        <v>49</v>
      </c>
      <c r="Q608" s="2" t="s">
        <v>50</v>
      </c>
      <c r="R608" s="2">
        <v>1</v>
      </c>
      <c r="S608" s="2">
        <v>10</v>
      </c>
      <c r="T608" s="2" t="s">
        <v>36</v>
      </c>
      <c r="U608" s="2" t="s">
        <v>38</v>
      </c>
      <c r="V608" s="2" t="s">
        <v>61</v>
      </c>
      <c r="W608" s="3">
        <v>45304</v>
      </c>
      <c r="X608" s="2" t="b">
        <v>0</v>
      </c>
      <c r="Y608" s="2" t="b">
        <v>0</v>
      </c>
      <c r="Z608" s="2" t="s">
        <v>74</v>
      </c>
      <c r="AA608" s="2" t="s">
        <v>41</v>
      </c>
      <c r="AB608" s="2">
        <v>1</v>
      </c>
      <c r="AC608" s="2">
        <f>SUMIF(N:N,Ecommerce_Consumer_Behavior_Analysis_Data3[[#This Row],[Brand_Loyalty]],M:M)</f>
        <v>597</v>
      </c>
      <c r="AD608" s="2" t="e" cm="1" vm="1">
        <f t="array" aca="1" ref="AD608" ca="1">SUMIFS(Y:Y,Ecommerce_Consumer_Behavior_Analysis_Data3[[#This Row],[Payment_Method]],V:V)</f>
        <v>#VALUE!</v>
      </c>
      <c r="AE608" s="2">
        <f t="shared" si="13"/>
        <v>101.31</v>
      </c>
    </row>
    <row r="609" spans="1:31" x14ac:dyDescent="0.25">
      <c r="A609" s="2" t="s">
        <v>1291</v>
      </c>
      <c r="B609" s="2">
        <v>25</v>
      </c>
      <c r="C609" s="2" t="s">
        <v>29</v>
      </c>
      <c r="D609" s="2" t="s">
        <v>44</v>
      </c>
      <c r="E609" s="2" t="s">
        <v>31</v>
      </c>
      <c r="F609" s="2" t="s">
        <v>45</v>
      </c>
      <c r="G609" s="2" t="s">
        <v>30</v>
      </c>
      <c r="H609" s="2" t="s">
        <v>1292</v>
      </c>
      <c r="I609" s="2" t="s">
        <v>71</v>
      </c>
      <c r="J609" s="2">
        <v>239.28</v>
      </c>
      <c r="K609" s="2">
        <v>8</v>
      </c>
      <c r="L609" s="2" t="s">
        <v>78</v>
      </c>
      <c r="M609" s="2">
        <v>1</v>
      </c>
      <c r="N609" s="2">
        <v>4</v>
      </c>
      <c r="O609" s="2">
        <v>1</v>
      </c>
      <c r="P609" s="2" t="s">
        <v>49</v>
      </c>
      <c r="Q609" s="2" t="s">
        <v>37</v>
      </c>
      <c r="R609" s="2">
        <v>2</v>
      </c>
      <c r="S609" s="2">
        <v>5</v>
      </c>
      <c r="T609" s="2" t="s">
        <v>49</v>
      </c>
      <c r="U609" s="2" t="s">
        <v>38</v>
      </c>
      <c r="V609" s="2" t="s">
        <v>66</v>
      </c>
      <c r="W609" s="3">
        <v>45604</v>
      </c>
      <c r="X609" s="2" t="b">
        <v>0</v>
      </c>
      <c r="Y609" s="2" t="b">
        <v>1</v>
      </c>
      <c r="Z609" s="2" t="s">
        <v>62</v>
      </c>
      <c r="AA609" s="2" t="s">
        <v>41</v>
      </c>
      <c r="AB609" s="2">
        <v>10</v>
      </c>
      <c r="AC609" s="2">
        <f>SUMIF(N:N,Ecommerce_Consumer_Behavior_Analysis_Data3[[#This Row],[Brand_Loyalty]],M:M)</f>
        <v>603</v>
      </c>
      <c r="AD609" s="2" t="e" cm="1" vm="1">
        <f t="array" aca="1" ref="AD609" ca="1">SUMIFS(Y:Y,Ecommerce_Consumer_Behavior_Analysis_Data3[[#This Row],[Payment_Method]],V:V)</f>
        <v>#VALUE!</v>
      </c>
      <c r="AE609" s="2">
        <f t="shared" si="13"/>
        <v>101.31</v>
      </c>
    </row>
    <row r="610" spans="1:31" x14ac:dyDescent="0.25">
      <c r="A610" s="2" t="s">
        <v>1293</v>
      </c>
      <c r="B610" s="2">
        <v>40</v>
      </c>
      <c r="C610" s="2" t="s">
        <v>29</v>
      </c>
      <c r="D610" s="2" t="s">
        <v>44</v>
      </c>
      <c r="E610" s="2" t="s">
        <v>69</v>
      </c>
      <c r="F610" s="2" t="s">
        <v>45</v>
      </c>
      <c r="G610" s="2" t="s">
        <v>44</v>
      </c>
      <c r="H610" s="2" t="s">
        <v>1294</v>
      </c>
      <c r="I610" s="2" t="s">
        <v>93</v>
      </c>
      <c r="J610" s="2">
        <v>306.17</v>
      </c>
      <c r="K610" s="2">
        <v>4</v>
      </c>
      <c r="L610" s="2" t="s">
        <v>48</v>
      </c>
      <c r="M610" s="2">
        <v>3</v>
      </c>
      <c r="N610" s="2">
        <v>5</v>
      </c>
      <c r="O610" s="2">
        <v>1</v>
      </c>
      <c r="P610" s="2" t="s">
        <v>49</v>
      </c>
      <c r="Q610" s="2" t="s">
        <v>37</v>
      </c>
      <c r="R610" s="2">
        <v>0</v>
      </c>
      <c r="S610" s="2">
        <v>6</v>
      </c>
      <c r="T610" s="2" t="s">
        <v>49</v>
      </c>
      <c r="U610" s="2" t="s">
        <v>38</v>
      </c>
      <c r="V610" s="2" t="s">
        <v>51</v>
      </c>
      <c r="W610" s="3">
        <v>45320</v>
      </c>
      <c r="X610" s="2" t="b">
        <v>0</v>
      </c>
      <c r="Y610" s="2" t="b">
        <v>1</v>
      </c>
      <c r="Z610" s="2" t="s">
        <v>52</v>
      </c>
      <c r="AA610" s="2" t="s">
        <v>67</v>
      </c>
      <c r="AB610" s="2">
        <v>8</v>
      </c>
      <c r="AC610" s="2">
        <f>SUMIF(N:N,Ecommerce_Consumer_Behavior_Analysis_Data3[[#This Row],[Brand_Loyalty]],M:M)</f>
        <v>597</v>
      </c>
      <c r="AD610" s="2" t="e" cm="1" vm="1">
        <f t="array" aca="1" ref="AD610" ca="1">SUMIFS(Y:Y,Ecommerce_Consumer_Behavior_Analysis_Data3[[#This Row],[Payment_Method]],V:V)</f>
        <v>#VALUE!</v>
      </c>
      <c r="AE610" s="2">
        <f t="shared" si="13"/>
        <v>101.31</v>
      </c>
    </row>
    <row r="611" spans="1:31" x14ac:dyDescent="0.25">
      <c r="A611" s="2" t="s">
        <v>1295</v>
      </c>
      <c r="B611" s="2">
        <v>40</v>
      </c>
      <c r="C611" s="2" t="s">
        <v>29</v>
      </c>
      <c r="D611" s="2" t="s">
        <v>44</v>
      </c>
      <c r="E611" s="2" t="s">
        <v>69</v>
      </c>
      <c r="F611" s="2" t="s">
        <v>56</v>
      </c>
      <c r="G611" s="2" t="s">
        <v>44</v>
      </c>
      <c r="H611" s="2" t="s">
        <v>1296</v>
      </c>
      <c r="I611" s="2" t="s">
        <v>117</v>
      </c>
      <c r="J611" s="2">
        <v>370.38</v>
      </c>
      <c r="K611" s="2">
        <v>11</v>
      </c>
      <c r="L611" s="2" t="s">
        <v>48</v>
      </c>
      <c r="M611" s="2">
        <v>1</v>
      </c>
      <c r="N611" s="2">
        <v>2</v>
      </c>
      <c r="O611" s="2">
        <v>1</v>
      </c>
      <c r="P611" s="2" t="s">
        <v>36</v>
      </c>
      <c r="Q611" s="2" t="s">
        <v>50</v>
      </c>
      <c r="R611" s="2">
        <v>1</v>
      </c>
      <c r="S611" s="2">
        <v>1</v>
      </c>
      <c r="T611" s="2" t="s">
        <v>44</v>
      </c>
      <c r="U611" s="2" t="s">
        <v>79</v>
      </c>
      <c r="V611" s="2" t="s">
        <v>66</v>
      </c>
      <c r="W611" s="3">
        <v>45355</v>
      </c>
      <c r="X611" s="2" t="b">
        <v>1</v>
      </c>
      <c r="Y611" s="2" t="b">
        <v>1</v>
      </c>
      <c r="Z611" s="2" t="s">
        <v>52</v>
      </c>
      <c r="AA611" s="2" t="s">
        <v>41</v>
      </c>
      <c r="AB611" s="2">
        <v>9</v>
      </c>
      <c r="AC611" s="2">
        <f>SUMIF(N:N,Ecommerce_Consumer_Behavior_Analysis_Data3[[#This Row],[Brand_Loyalty]],M:M)</f>
        <v>603</v>
      </c>
      <c r="AD611" s="2" t="e" cm="1" vm="1">
        <f t="array" aca="1" ref="AD611" ca="1">SUMIFS(Y:Y,Ecommerce_Consumer_Behavior_Analysis_Data3[[#This Row],[Payment_Method]],V:V)</f>
        <v>#VALUE!</v>
      </c>
      <c r="AE611" s="2">
        <f t="shared" si="13"/>
        <v>101.31</v>
      </c>
    </row>
    <row r="612" spans="1:31" x14ac:dyDescent="0.25">
      <c r="A612" s="2" t="s">
        <v>1297</v>
      </c>
      <c r="B612" s="2">
        <v>50</v>
      </c>
      <c r="C612" s="2" t="s">
        <v>43</v>
      </c>
      <c r="D612" s="2" t="s">
        <v>30</v>
      </c>
      <c r="E612" s="2" t="s">
        <v>55</v>
      </c>
      <c r="F612" s="2" t="s">
        <v>32</v>
      </c>
      <c r="G612" s="2" t="s">
        <v>30</v>
      </c>
      <c r="H612" s="2" t="s">
        <v>1298</v>
      </c>
      <c r="I612" s="2" t="s">
        <v>135</v>
      </c>
      <c r="J612" s="2">
        <v>346.58</v>
      </c>
      <c r="K612" s="2">
        <v>6</v>
      </c>
      <c r="L612" s="2" t="s">
        <v>35</v>
      </c>
      <c r="M612" s="2">
        <v>5</v>
      </c>
      <c r="N612" s="2">
        <v>1</v>
      </c>
      <c r="O612" s="2">
        <v>1</v>
      </c>
      <c r="P612" s="2" t="s">
        <v>44</v>
      </c>
      <c r="Q612" s="2" t="s">
        <v>37</v>
      </c>
      <c r="R612" s="2">
        <v>0</v>
      </c>
      <c r="S612" s="2">
        <v>9</v>
      </c>
      <c r="T612" s="2" t="s">
        <v>59</v>
      </c>
      <c r="U612" s="2" t="s">
        <v>38</v>
      </c>
      <c r="V612" s="2" t="s">
        <v>66</v>
      </c>
      <c r="W612" s="3">
        <v>45446</v>
      </c>
      <c r="X612" s="2" t="b">
        <v>0</v>
      </c>
      <c r="Y612" s="2" t="b">
        <v>0</v>
      </c>
      <c r="Z612" s="2" t="s">
        <v>62</v>
      </c>
      <c r="AA612" s="2" t="s">
        <v>67</v>
      </c>
      <c r="AB612" s="2">
        <v>7</v>
      </c>
      <c r="AC612" s="2">
        <f>SUMIF(N:N,Ecommerce_Consumer_Behavior_Analysis_Data3[[#This Row],[Brand_Loyalty]],M:M)</f>
        <v>641</v>
      </c>
      <c r="AD612" s="2" t="e" cm="1" vm="1">
        <f t="array" aca="1" ref="AD612" ca="1">SUMIFS(Y:Y,Ecommerce_Consumer_Behavior_Analysis_Data3[[#This Row],[Payment_Method]],V:V)</f>
        <v>#VALUE!</v>
      </c>
      <c r="AE612" s="2">
        <f t="shared" si="13"/>
        <v>101.31</v>
      </c>
    </row>
    <row r="613" spans="1:31" x14ac:dyDescent="0.25">
      <c r="A613" s="2" t="s">
        <v>1299</v>
      </c>
      <c r="B613" s="2">
        <v>24</v>
      </c>
      <c r="C613" s="2" t="s">
        <v>43</v>
      </c>
      <c r="D613" s="2" t="s">
        <v>30</v>
      </c>
      <c r="E613" s="2" t="s">
        <v>55</v>
      </c>
      <c r="F613" s="2" t="s">
        <v>45</v>
      </c>
      <c r="G613" s="2" t="s">
        <v>30</v>
      </c>
      <c r="H613" s="2" t="s">
        <v>1300</v>
      </c>
      <c r="I613" s="2" t="s">
        <v>120</v>
      </c>
      <c r="J613" s="2">
        <v>292.64</v>
      </c>
      <c r="K613" s="2">
        <v>5</v>
      </c>
      <c r="L613" s="2" t="s">
        <v>48</v>
      </c>
      <c r="M613" s="2">
        <v>1</v>
      </c>
      <c r="N613" s="2">
        <v>1</v>
      </c>
      <c r="O613" s="2">
        <v>1</v>
      </c>
      <c r="P613" s="2" t="s">
        <v>36</v>
      </c>
      <c r="Q613" s="2" t="s">
        <v>37</v>
      </c>
      <c r="R613" s="2">
        <v>2</v>
      </c>
      <c r="S613" s="2">
        <v>10</v>
      </c>
      <c r="T613" s="2" t="s">
        <v>49</v>
      </c>
      <c r="U613" s="2" t="s">
        <v>38</v>
      </c>
      <c r="V613" s="2" t="s">
        <v>39</v>
      </c>
      <c r="W613" s="3">
        <v>45632</v>
      </c>
      <c r="X613" s="2" t="b">
        <v>1</v>
      </c>
      <c r="Y613" s="2" t="b">
        <v>0</v>
      </c>
      <c r="Z613" s="2" t="s">
        <v>52</v>
      </c>
      <c r="AA613" s="2" t="s">
        <v>53</v>
      </c>
      <c r="AB613" s="2">
        <v>1</v>
      </c>
      <c r="AC613" s="2">
        <f>SUMIF(N:N,Ecommerce_Consumer_Behavior_Analysis_Data3[[#This Row],[Brand_Loyalty]],M:M)</f>
        <v>603</v>
      </c>
      <c r="AD613" s="2" t="e" cm="1" vm="1">
        <f t="array" aca="1" ref="AD613" ca="1">SUMIFS(Y:Y,Ecommerce_Consumer_Behavior_Analysis_Data3[[#This Row],[Payment_Method]],V:V)</f>
        <v>#VALUE!</v>
      </c>
      <c r="AE613" s="2">
        <f t="shared" si="13"/>
        <v>101.31</v>
      </c>
    </row>
    <row r="614" spans="1:31" x14ac:dyDescent="0.25">
      <c r="A614" s="2" t="s">
        <v>1301</v>
      </c>
      <c r="B614" s="2">
        <v>30</v>
      </c>
      <c r="C614" s="2" t="s">
        <v>29</v>
      </c>
      <c r="D614" s="2" t="s">
        <v>30</v>
      </c>
      <c r="E614" s="2" t="s">
        <v>31</v>
      </c>
      <c r="F614" s="2" t="s">
        <v>32</v>
      </c>
      <c r="G614" s="2" t="s">
        <v>44</v>
      </c>
      <c r="H614" s="2" t="s">
        <v>1302</v>
      </c>
      <c r="I614" s="2" t="s">
        <v>194</v>
      </c>
      <c r="J614" s="2">
        <v>102.91</v>
      </c>
      <c r="K614" s="2">
        <v>12</v>
      </c>
      <c r="L614" s="2" t="s">
        <v>35</v>
      </c>
      <c r="M614" s="2">
        <v>2</v>
      </c>
      <c r="N614" s="2">
        <v>1</v>
      </c>
      <c r="O614" s="2">
        <v>1</v>
      </c>
      <c r="P614" s="2" t="s">
        <v>49</v>
      </c>
      <c r="Q614" s="2" t="s">
        <v>85</v>
      </c>
      <c r="R614" s="2">
        <v>1</v>
      </c>
      <c r="S614" s="2">
        <v>10</v>
      </c>
      <c r="T614" s="2" t="s">
        <v>36</v>
      </c>
      <c r="U614" s="2" t="s">
        <v>79</v>
      </c>
      <c r="V614" s="2" t="s">
        <v>51</v>
      </c>
      <c r="W614" s="3">
        <v>45377</v>
      </c>
      <c r="X614" s="2" t="b">
        <v>1</v>
      </c>
      <c r="Y614" s="2" t="b">
        <v>0</v>
      </c>
      <c r="Z614" s="2" t="s">
        <v>62</v>
      </c>
      <c r="AA614" s="2" t="s">
        <v>67</v>
      </c>
      <c r="AB614" s="2">
        <v>13</v>
      </c>
      <c r="AC614" s="2">
        <f>SUMIF(N:N,Ecommerce_Consumer_Behavior_Analysis_Data3[[#This Row],[Brand_Loyalty]],M:M)</f>
        <v>582</v>
      </c>
      <c r="AD614" s="2" t="e" cm="1" vm="1">
        <f t="array" aca="1" ref="AD614" ca="1">SUMIFS(Y:Y,Ecommerce_Consumer_Behavior_Analysis_Data3[[#This Row],[Payment_Method]],V:V)</f>
        <v>#VALUE!</v>
      </c>
      <c r="AE614" s="2">
        <f t="shared" si="13"/>
        <v>283.77999999999997</v>
      </c>
    </row>
    <row r="615" spans="1:31" x14ac:dyDescent="0.25">
      <c r="A615" s="2" t="s">
        <v>1303</v>
      </c>
      <c r="B615" s="2">
        <v>32</v>
      </c>
      <c r="C615" s="2" t="s">
        <v>29</v>
      </c>
      <c r="D615" s="2" t="s">
        <v>44</v>
      </c>
      <c r="E615" s="2" t="s">
        <v>69</v>
      </c>
      <c r="F615" s="2" t="s">
        <v>32</v>
      </c>
      <c r="G615" s="2" t="s">
        <v>30</v>
      </c>
      <c r="H615" s="2" t="s">
        <v>1304</v>
      </c>
      <c r="I615" s="2" t="s">
        <v>65</v>
      </c>
      <c r="J615" s="2">
        <v>283.77999999999997</v>
      </c>
      <c r="K615" s="2">
        <v>4</v>
      </c>
      <c r="L615" s="2" t="s">
        <v>35</v>
      </c>
      <c r="M615" s="2">
        <v>2</v>
      </c>
      <c r="N615" s="2">
        <v>4</v>
      </c>
      <c r="O615" s="2">
        <v>1.2</v>
      </c>
      <c r="P615" s="2" t="s">
        <v>36</v>
      </c>
      <c r="Q615" s="2" t="s">
        <v>37</v>
      </c>
      <c r="R615" s="2">
        <v>0</v>
      </c>
      <c r="S615" s="2">
        <v>6</v>
      </c>
      <c r="T615" s="2" t="s">
        <v>36</v>
      </c>
      <c r="U615" s="2" t="s">
        <v>60</v>
      </c>
      <c r="V615" s="2" t="s">
        <v>61</v>
      </c>
      <c r="W615" s="3">
        <v>45513</v>
      </c>
      <c r="X615" s="2" t="b">
        <v>1</v>
      </c>
      <c r="Y615" s="2" t="b">
        <v>0</v>
      </c>
      <c r="Z615" s="2" t="s">
        <v>40</v>
      </c>
      <c r="AA615" s="2" t="s">
        <v>67</v>
      </c>
      <c r="AB615" s="2">
        <v>10</v>
      </c>
      <c r="AC615" s="2">
        <f>SUMIF(N:N,Ecommerce_Consumer_Behavior_Analysis_Data3[[#This Row],[Brand_Loyalty]],M:M)</f>
        <v>582</v>
      </c>
      <c r="AD615" s="2" t="e" cm="1" vm="1">
        <f t="array" aca="1" ref="AD615" ca="1">SUMIFS(Y:Y,Ecommerce_Consumer_Behavior_Analysis_Data3[[#This Row],[Payment_Method]],V:V)</f>
        <v>#VALUE!</v>
      </c>
      <c r="AE615" s="2">
        <f t="shared" si="13"/>
        <v>333.8</v>
      </c>
    </row>
    <row r="616" spans="1:31" x14ac:dyDescent="0.25">
      <c r="A616" s="2" t="s">
        <v>1305</v>
      </c>
      <c r="B616" s="2">
        <v>48</v>
      </c>
      <c r="C616" s="2" t="s">
        <v>29</v>
      </c>
      <c r="D616" s="2" t="s">
        <v>44</v>
      </c>
      <c r="E616" s="2" t="s">
        <v>69</v>
      </c>
      <c r="F616" s="2" t="s">
        <v>45</v>
      </c>
      <c r="G616" s="2" t="s">
        <v>30</v>
      </c>
      <c r="H616" s="2" t="s">
        <v>1306</v>
      </c>
      <c r="I616" s="2" t="s">
        <v>188</v>
      </c>
      <c r="J616" s="2">
        <v>51.44</v>
      </c>
      <c r="K616" s="2">
        <v>2</v>
      </c>
      <c r="L616" s="2" t="s">
        <v>48</v>
      </c>
      <c r="M616" s="2">
        <v>1</v>
      </c>
      <c r="N616" s="2">
        <v>3</v>
      </c>
      <c r="O616" s="2">
        <v>2</v>
      </c>
      <c r="P616" s="2" t="s">
        <v>44</v>
      </c>
      <c r="Q616" s="2" t="s">
        <v>50</v>
      </c>
      <c r="R616" s="2">
        <v>0</v>
      </c>
      <c r="S616" s="2">
        <v>1</v>
      </c>
      <c r="T616" s="2" t="s">
        <v>44</v>
      </c>
      <c r="U616" s="2" t="s">
        <v>38</v>
      </c>
      <c r="V616" s="2" t="s">
        <v>66</v>
      </c>
      <c r="W616" s="3">
        <v>45429</v>
      </c>
      <c r="X616" s="2" t="b">
        <v>1</v>
      </c>
      <c r="Y616" s="2" t="b">
        <v>0</v>
      </c>
      <c r="Z616" s="2" t="s">
        <v>74</v>
      </c>
      <c r="AA616" s="2" t="s">
        <v>41</v>
      </c>
      <c r="AB616" s="2">
        <v>5</v>
      </c>
      <c r="AC616" s="2">
        <f>SUMIF(N:N,Ecommerce_Consumer_Behavior_Analysis_Data3[[#This Row],[Brand_Loyalty]],M:M)</f>
        <v>603</v>
      </c>
      <c r="AD616" s="2" t="e" cm="1" vm="1">
        <f t="array" aca="1" ref="AD616" ca="1">SUMIFS(Y:Y,Ecommerce_Consumer_Behavior_Analysis_Data3[[#This Row],[Payment_Method]],V:V)</f>
        <v>#VALUE!</v>
      </c>
      <c r="AE616" s="2">
        <f t="shared" si="13"/>
        <v>101.31</v>
      </c>
    </row>
    <row r="617" spans="1:31" x14ac:dyDescent="0.25">
      <c r="A617" s="2" t="s">
        <v>1307</v>
      </c>
      <c r="B617" s="2">
        <v>44</v>
      </c>
      <c r="C617" s="2" t="s">
        <v>29</v>
      </c>
      <c r="D617" s="2" t="s">
        <v>44</v>
      </c>
      <c r="E617" s="2" t="s">
        <v>31</v>
      </c>
      <c r="F617" s="2" t="s">
        <v>32</v>
      </c>
      <c r="G617" s="2" t="s">
        <v>44</v>
      </c>
      <c r="H617" s="2" t="s">
        <v>1308</v>
      </c>
      <c r="I617" s="2" t="s">
        <v>98</v>
      </c>
      <c r="J617" s="2">
        <v>405.7</v>
      </c>
      <c r="K617" s="2">
        <v>12</v>
      </c>
      <c r="L617" s="2" t="s">
        <v>78</v>
      </c>
      <c r="M617" s="2">
        <v>1</v>
      </c>
      <c r="N617" s="2">
        <v>3</v>
      </c>
      <c r="O617" s="2">
        <v>1</v>
      </c>
      <c r="P617" s="2" t="s">
        <v>59</v>
      </c>
      <c r="Q617" s="2" t="s">
        <v>85</v>
      </c>
      <c r="R617" s="2">
        <v>2</v>
      </c>
      <c r="S617" s="2">
        <v>10</v>
      </c>
      <c r="T617" s="2" t="s">
        <v>59</v>
      </c>
      <c r="U617" s="2" t="s">
        <v>38</v>
      </c>
      <c r="V617" s="2" t="s">
        <v>39</v>
      </c>
      <c r="W617" s="3">
        <v>45339</v>
      </c>
      <c r="X617" s="2" t="b">
        <v>1</v>
      </c>
      <c r="Y617" s="2" t="b">
        <v>1</v>
      </c>
      <c r="Z617" s="2" t="s">
        <v>52</v>
      </c>
      <c r="AA617" s="2" t="s">
        <v>53</v>
      </c>
      <c r="AB617" s="2">
        <v>14</v>
      </c>
      <c r="AC617" s="2">
        <f>SUMIF(N:N,Ecommerce_Consumer_Behavior_Analysis_Data3[[#This Row],[Brand_Loyalty]],M:M)</f>
        <v>603</v>
      </c>
      <c r="AD617" s="2" t="e" cm="1" vm="1">
        <f t="array" aca="1" ref="AD617" ca="1">SUMIFS(Y:Y,Ecommerce_Consumer_Behavior_Analysis_Data3[[#This Row],[Payment_Method]],V:V)</f>
        <v>#VALUE!</v>
      </c>
      <c r="AE617" s="2">
        <f t="shared" si="13"/>
        <v>333.8</v>
      </c>
    </row>
    <row r="618" spans="1:31" x14ac:dyDescent="0.25">
      <c r="A618" s="2" t="s">
        <v>1309</v>
      </c>
      <c r="B618" s="2">
        <v>19</v>
      </c>
      <c r="C618" s="2" t="s">
        <v>29</v>
      </c>
      <c r="D618" s="2" t="s">
        <v>44</v>
      </c>
      <c r="E618" s="2" t="s">
        <v>69</v>
      </c>
      <c r="F618" s="2" t="s">
        <v>56</v>
      </c>
      <c r="G618" s="2" t="s">
        <v>30</v>
      </c>
      <c r="H618" s="2" t="s">
        <v>1310</v>
      </c>
      <c r="I618" s="2" t="s">
        <v>158</v>
      </c>
      <c r="J618" s="2">
        <v>311.74</v>
      </c>
      <c r="K618" s="2">
        <v>11</v>
      </c>
      <c r="L618" s="2" t="s">
        <v>35</v>
      </c>
      <c r="M618" s="2">
        <v>1</v>
      </c>
      <c r="N618" s="2">
        <v>4</v>
      </c>
      <c r="O618" s="2">
        <v>2</v>
      </c>
      <c r="P618" s="2" t="s">
        <v>59</v>
      </c>
      <c r="Q618" s="2" t="s">
        <v>37</v>
      </c>
      <c r="R618" s="2">
        <v>2</v>
      </c>
      <c r="S618" s="2">
        <v>10</v>
      </c>
      <c r="T618" s="2" t="s">
        <v>49</v>
      </c>
      <c r="U618" s="2" t="s">
        <v>60</v>
      </c>
      <c r="V618" s="2" t="s">
        <v>51</v>
      </c>
      <c r="W618" s="3">
        <v>45308</v>
      </c>
      <c r="X618" s="2" t="b">
        <v>1</v>
      </c>
      <c r="Y618" s="2" t="b">
        <v>0</v>
      </c>
      <c r="Z618" s="2" t="s">
        <v>62</v>
      </c>
      <c r="AA618" s="2" t="s">
        <v>67</v>
      </c>
      <c r="AB618" s="2">
        <v>11</v>
      </c>
      <c r="AC618" s="2">
        <f>SUMIF(N:N,Ecommerce_Consumer_Behavior_Analysis_Data3[[#This Row],[Brand_Loyalty]],M:M)</f>
        <v>603</v>
      </c>
      <c r="AD618" s="2" t="e" cm="1" vm="1">
        <f t="array" aca="1" ref="AD618" ca="1">SUMIFS(Y:Y,Ecommerce_Consumer_Behavior_Analysis_Data3[[#This Row],[Payment_Method]],V:V)</f>
        <v>#VALUE!</v>
      </c>
      <c r="AE618" s="2">
        <f t="shared" si="13"/>
        <v>101.31</v>
      </c>
    </row>
    <row r="619" spans="1:31" x14ac:dyDescent="0.25">
      <c r="A619" s="2" t="s">
        <v>1311</v>
      </c>
      <c r="B619" s="2">
        <v>39</v>
      </c>
      <c r="C619" s="2" t="s">
        <v>43</v>
      </c>
      <c r="D619" s="2" t="s">
        <v>30</v>
      </c>
      <c r="E619" s="2" t="s">
        <v>69</v>
      </c>
      <c r="F619" s="2" t="s">
        <v>32</v>
      </c>
      <c r="G619" s="2" t="s">
        <v>44</v>
      </c>
      <c r="H619" s="2" t="s">
        <v>1312</v>
      </c>
      <c r="I619" s="2" t="s">
        <v>183</v>
      </c>
      <c r="J619" s="2">
        <v>293.43</v>
      </c>
      <c r="K619" s="2">
        <v>9</v>
      </c>
      <c r="L619" s="2" t="s">
        <v>48</v>
      </c>
      <c r="M619" s="2">
        <v>4</v>
      </c>
      <c r="N619" s="2">
        <v>4</v>
      </c>
      <c r="O619" s="2">
        <v>1</v>
      </c>
      <c r="P619" s="2" t="s">
        <v>49</v>
      </c>
      <c r="Q619" s="2" t="s">
        <v>85</v>
      </c>
      <c r="R619" s="2">
        <v>0</v>
      </c>
      <c r="S619" s="2">
        <v>5</v>
      </c>
      <c r="T619" s="2" t="s">
        <v>36</v>
      </c>
      <c r="U619" s="2" t="s">
        <v>79</v>
      </c>
      <c r="V619" s="2" t="s">
        <v>86</v>
      </c>
      <c r="W619" s="3">
        <v>45478</v>
      </c>
      <c r="X619" s="2" t="b">
        <v>0</v>
      </c>
      <c r="Y619" s="2" t="b">
        <v>1</v>
      </c>
      <c r="Z619" s="2" t="s">
        <v>40</v>
      </c>
      <c r="AA619" s="2" t="s">
        <v>53</v>
      </c>
      <c r="AB619" s="2">
        <v>7</v>
      </c>
      <c r="AC619" s="2">
        <f>SUMIF(N:N,Ecommerce_Consumer_Behavior_Analysis_Data3[[#This Row],[Brand_Loyalty]],M:M)</f>
        <v>603</v>
      </c>
      <c r="AD619" s="2" t="e" cm="1" vm="1">
        <f t="array" aca="1" ref="AD619" ca="1">SUMIFS(Y:Y,Ecommerce_Consumer_Behavior_Analysis_Data3[[#This Row],[Payment_Method]],V:V)</f>
        <v>#VALUE!</v>
      </c>
      <c r="AE619" s="2">
        <f t="shared" si="13"/>
        <v>333.8</v>
      </c>
    </row>
    <row r="620" spans="1:31" x14ac:dyDescent="0.25">
      <c r="A620" s="2" t="s">
        <v>1313</v>
      </c>
      <c r="B620" s="2">
        <v>35</v>
      </c>
      <c r="C620" s="2" t="s">
        <v>29</v>
      </c>
      <c r="D620" s="2" t="s">
        <v>44</v>
      </c>
      <c r="E620" s="2" t="s">
        <v>55</v>
      </c>
      <c r="F620" s="2" t="s">
        <v>32</v>
      </c>
      <c r="G620" s="2" t="s">
        <v>30</v>
      </c>
      <c r="H620" s="2" t="s">
        <v>1314</v>
      </c>
      <c r="I620" s="2" t="s">
        <v>123</v>
      </c>
      <c r="J620" s="2">
        <v>418.51</v>
      </c>
      <c r="K620" s="2">
        <v>6</v>
      </c>
      <c r="L620" s="2" t="s">
        <v>78</v>
      </c>
      <c r="M620" s="2">
        <v>4</v>
      </c>
      <c r="N620" s="2">
        <v>4</v>
      </c>
      <c r="O620" s="2">
        <v>2</v>
      </c>
      <c r="P620" s="2" t="s">
        <v>59</v>
      </c>
      <c r="Q620" s="2" t="s">
        <v>37</v>
      </c>
      <c r="R620" s="2">
        <v>2</v>
      </c>
      <c r="S620" s="2">
        <v>2</v>
      </c>
      <c r="T620" s="2" t="s">
        <v>44</v>
      </c>
      <c r="U620" s="2" t="s">
        <v>79</v>
      </c>
      <c r="V620" s="2" t="s">
        <v>39</v>
      </c>
      <c r="W620" s="3">
        <v>45413</v>
      </c>
      <c r="X620" s="2" t="b">
        <v>0</v>
      </c>
      <c r="Y620" s="2" t="b">
        <v>1</v>
      </c>
      <c r="Z620" s="2" t="s">
        <v>40</v>
      </c>
      <c r="AA620" s="2" t="s">
        <v>53</v>
      </c>
      <c r="AB620" s="2">
        <v>3</v>
      </c>
      <c r="AC620" s="2">
        <f>SUMIF(N:N,Ecommerce_Consumer_Behavior_Analysis_Data3[[#This Row],[Brand_Loyalty]],M:M)</f>
        <v>603</v>
      </c>
      <c r="AD620" s="2" t="e" cm="1" vm="1">
        <f t="array" aca="1" ref="AD620" ca="1">SUMIFS(Y:Y,Ecommerce_Consumer_Behavior_Analysis_Data3[[#This Row],[Payment_Method]],V:V)</f>
        <v>#VALUE!</v>
      </c>
      <c r="AE620" s="2">
        <f t="shared" si="13"/>
        <v>101.31</v>
      </c>
    </row>
    <row r="621" spans="1:31" x14ac:dyDescent="0.25">
      <c r="A621" s="2" t="s">
        <v>1315</v>
      </c>
      <c r="B621" s="2">
        <v>39</v>
      </c>
      <c r="C621" s="2" t="s">
        <v>43</v>
      </c>
      <c r="D621" s="2" t="s">
        <v>30</v>
      </c>
      <c r="E621" s="2" t="s">
        <v>55</v>
      </c>
      <c r="F621" s="2" t="s">
        <v>56</v>
      </c>
      <c r="G621" s="2" t="s">
        <v>30</v>
      </c>
      <c r="H621" s="2" t="s">
        <v>1316</v>
      </c>
      <c r="I621" s="2" t="s">
        <v>104</v>
      </c>
      <c r="J621" s="2">
        <v>85.03</v>
      </c>
      <c r="K621" s="2">
        <v>9</v>
      </c>
      <c r="L621" s="2" t="s">
        <v>48</v>
      </c>
      <c r="M621" s="2">
        <v>5</v>
      </c>
      <c r="N621" s="2">
        <v>4</v>
      </c>
      <c r="O621" s="2">
        <v>1</v>
      </c>
      <c r="P621" s="2" t="s">
        <v>49</v>
      </c>
      <c r="Q621" s="2" t="s">
        <v>50</v>
      </c>
      <c r="R621" s="2">
        <v>0</v>
      </c>
      <c r="S621" s="2">
        <v>9</v>
      </c>
      <c r="T621" s="2" t="s">
        <v>44</v>
      </c>
      <c r="U621" s="2" t="s">
        <v>60</v>
      </c>
      <c r="V621" s="2" t="s">
        <v>39</v>
      </c>
      <c r="W621" s="3">
        <v>45571</v>
      </c>
      <c r="X621" s="2" t="b">
        <v>1</v>
      </c>
      <c r="Y621" s="2" t="b">
        <v>1</v>
      </c>
      <c r="Z621" s="2" t="s">
        <v>52</v>
      </c>
      <c r="AA621" s="2" t="s">
        <v>67</v>
      </c>
      <c r="AB621" s="2">
        <v>8</v>
      </c>
      <c r="AC621" s="2">
        <f>SUMIF(N:N,Ecommerce_Consumer_Behavior_Analysis_Data3[[#This Row],[Brand_Loyalty]],M:M)</f>
        <v>641</v>
      </c>
      <c r="AD621" s="2" t="e" cm="1" vm="1">
        <f t="array" aca="1" ref="AD621" ca="1">SUMIFS(Y:Y,Ecommerce_Consumer_Behavior_Analysis_Data3[[#This Row],[Payment_Method]],V:V)</f>
        <v>#VALUE!</v>
      </c>
      <c r="AE621" s="2">
        <f t="shared" si="13"/>
        <v>333.8</v>
      </c>
    </row>
    <row r="622" spans="1:31" x14ac:dyDescent="0.25">
      <c r="A622" s="2" t="s">
        <v>1317</v>
      </c>
      <c r="B622" s="2">
        <v>31</v>
      </c>
      <c r="C622" s="2" t="s">
        <v>43</v>
      </c>
      <c r="D622" s="2" t="s">
        <v>30</v>
      </c>
      <c r="E622" s="2" t="s">
        <v>31</v>
      </c>
      <c r="F622" s="2" t="s">
        <v>56</v>
      </c>
      <c r="G622" s="2" t="s">
        <v>44</v>
      </c>
      <c r="H622" s="2" t="s">
        <v>1318</v>
      </c>
      <c r="I622" s="2" t="s">
        <v>93</v>
      </c>
      <c r="J622" s="2">
        <v>164.94</v>
      </c>
      <c r="K622" s="2">
        <v>4</v>
      </c>
      <c r="L622" s="2" t="s">
        <v>48</v>
      </c>
      <c r="M622" s="2">
        <v>4</v>
      </c>
      <c r="N622" s="2">
        <v>4</v>
      </c>
      <c r="O622" s="2">
        <v>2</v>
      </c>
      <c r="P622" s="2" t="s">
        <v>44</v>
      </c>
      <c r="Q622" s="2" t="s">
        <v>37</v>
      </c>
      <c r="R622" s="2">
        <v>2</v>
      </c>
      <c r="S622" s="2">
        <v>2</v>
      </c>
      <c r="T622" s="2" t="s">
        <v>59</v>
      </c>
      <c r="U622" s="2" t="s">
        <v>79</v>
      </c>
      <c r="V622" s="2" t="s">
        <v>51</v>
      </c>
      <c r="W622" s="3">
        <v>45491</v>
      </c>
      <c r="X622" s="2" t="b">
        <v>1</v>
      </c>
      <c r="Y622" s="2" t="b">
        <v>1</v>
      </c>
      <c r="Z622" s="2" t="s">
        <v>52</v>
      </c>
      <c r="AA622" s="2" t="s">
        <v>67</v>
      </c>
      <c r="AB622" s="2">
        <v>6</v>
      </c>
      <c r="AC622" s="2">
        <f>SUMIF(N:N,Ecommerce_Consumer_Behavior_Analysis_Data3[[#This Row],[Brand_Loyalty]],M:M)</f>
        <v>603</v>
      </c>
      <c r="AD622" s="2" t="e" cm="1" vm="1">
        <f t="array" aca="1" ref="AD622" ca="1">SUMIFS(Y:Y,Ecommerce_Consumer_Behavior_Analysis_Data3[[#This Row],[Payment_Method]],V:V)</f>
        <v>#VALUE!</v>
      </c>
      <c r="AE622" s="2">
        <f t="shared" si="13"/>
        <v>426.22</v>
      </c>
    </row>
    <row r="623" spans="1:31" x14ac:dyDescent="0.25">
      <c r="A623" s="2" t="s">
        <v>1319</v>
      </c>
      <c r="B623" s="2">
        <v>38</v>
      </c>
      <c r="C623" s="2" t="s">
        <v>29</v>
      </c>
      <c r="D623" s="2" t="s">
        <v>44</v>
      </c>
      <c r="E623" s="2" t="s">
        <v>69</v>
      </c>
      <c r="F623" s="2" t="s">
        <v>32</v>
      </c>
      <c r="G623" s="2" t="s">
        <v>30</v>
      </c>
      <c r="H623" s="2" t="s">
        <v>1320</v>
      </c>
      <c r="I623" s="2" t="s">
        <v>158</v>
      </c>
      <c r="J623" s="2">
        <v>89.32</v>
      </c>
      <c r="K623" s="2">
        <v>11</v>
      </c>
      <c r="L623" s="2" t="s">
        <v>78</v>
      </c>
      <c r="M623" s="2">
        <v>1</v>
      </c>
      <c r="N623" s="2">
        <v>1</v>
      </c>
      <c r="O623" s="2">
        <v>0.3</v>
      </c>
      <c r="P623" s="2" t="s">
        <v>59</v>
      </c>
      <c r="Q623" s="2" t="s">
        <v>37</v>
      </c>
      <c r="R623" s="2">
        <v>1</v>
      </c>
      <c r="S623" s="2">
        <v>3</v>
      </c>
      <c r="T623" s="2" t="s">
        <v>44</v>
      </c>
      <c r="U623" s="2" t="s">
        <v>79</v>
      </c>
      <c r="V623" s="2" t="s">
        <v>66</v>
      </c>
      <c r="W623" s="3">
        <v>45405</v>
      </c>
      <c r="X623" s="2" t="b">
        <v>1</v>
      </c>
      <c r="Y623" s="2" t="b">
        <v>0</v>
      </c>
      <c r="Z623" s="2" t="s">
        <v>52</v>
      </c>
      <c r="AA623" s="2" t="s">
        <v>41</v>
      </c>
      <c r="AB623" s="2">
        <v>12</v>
      </c>
      <c r="AC623" s="2">
        <f>SUMIF(N:N,Ecommerce_Consumer_Behavior_Analysis_Data3[[#This Row],[Brand_Loyalty]],M:M)</f>
        <v>603</v>
      </c>
      <c r="AD623" s="2" t="e" cm="1" vm="1">
        <f t="array" aca="1" ref="AD623" ca="1">SUMIFS(Y:Y,Ecommerce_Consumer_Behavior_Analysis_Data3[[#This Row],[Payment_Method]],V:V)</f>
        <v>#VALUE!</v>
      </c>
      <c r="AE623" s="2">
        <f t="shared" si="13"/>
        <v>101.31</v>
      </c>
    </row>
    <row r="624" spans="1:31" x14ac:dyDescent="0.25">
      <c r="A624" s="2" t="s">
        <v>1321</v>
      </c>
      <c r="B624" s="2">
        <v>33</v>
      </c>
      <c r="C624" s="2" t="s">
        <v>43</v>
      </c>
      <c r="D624" s="2" t="s">
        <v>30</v>
      </c>
      <c r="E624" s="2" t="s">
        <v>31</v>
      </c>
      <c r="F624" s="2" t="s">
        <v>45</v>
      </c>
      <c r="G624" s="2" t="s">
        <v>44</v>
      </c>
      <c r="H624" s="2" t="s">
        <v>1322</v>
      </c>
      <c r="I624" s="2" t="s">
        <v>183</v>
      </c>
      <c r="J624" s="2">
        <v>388.26</v>
      </c>
      <c r="K624" s="2">
        <v>2</v>
      </c>
      <c r="L624" s="2" t="s">
        <v>35</v>
      </c>
      <c r="M624" s="2">
        <v>3</v>
      </c>
      <c r="N624" s="2">
        <v>1</v>
      </c>
      <c r="O624" s="2">
        <v>1</v>
      </c>
      <c r="P624" s="2" t="s">
        <v>44</v>
      </c>
      <c r="Q624" s="2" t="s">
        <v>50</v>
      </c>
      <c r="R624" s="2">
        <v>0</v>
      </c>
      <c r="S624" s="2">
        <v>7</v>
      </c>
      <c r="T624" s="2" t="s">
        <v>36</v>
      </c>
      <c r="U624" s="2" t="s">
        <v>60</v>
      </c>
      <c r="V624" s="2" t="s">
        <v>39</v>
      </c>
      <c r="W624" s="3">
        <v>45384</v>
      </c>
      <c r="X624" s="2" t="b">
        <v>0</v>
      </c>
      <c r="Y624" s="2" t="b">
        <v>0</v>
      </c>
      <c r="Z624" s="2" t="s">
        <v>74</v>
      </c>
      <c r="AA624" s="2" t="s">
        <v>41</v>
      </c>
      <c r="AB624" s="2">
        <v>5</v>
      </c>
      <c r="AC624" s="2">
        <f>SUMIF(N:N,Ecommerce_Consumer_Behavior_Analysis_Data3[[#This Row],[Brand_Loyalty]],M:M)</f>
        <v>597</v>
      </c>
      <c r="AD624" s="2" t="e" cm="1" vm="1">
        <f t="array" aca="1" ref="AD624" ca="1">SUMIFS(Y:Y,Ecommerce_Consumer_Behavior_Analysis_Data3[[#This Row],[Payment_Method]],V:V)</f>
        <v>#VALUE!</v>
      </c>
      <c r="AE624" s="2">
        <f t="shared" si="13"/>
        <v>106.69</v>
      </c>
    </row>
    <row r="625" spans="1:31" x14ac:dyDescent="0.25">
      <c r="A625" s="2" t="s">
        <v>1323</v>
      </c>
      <c r="B625" s="2">
        <v>33</v>
      </c>
      <c r="C625" s="2" t="s">
        <v>43</v>
      </c>
      <c r="D625" s="2" t="s">
        <v>30</v>
      </c>
      <c r="E625" s="2" t="s">
        <v>76</v>
      </c>
      <c r="F625" s="2" t="s">
        <v>56</v>
      </c>
      <c r="G625" s="2" t="s">
        <v>30</v>
      </c>
      <c r="H625" s="2" t="s">
        <v>1324</v>
      </c>
      <c r="I625" s="2" t="s">
        <v>246</v>
      </c>
      <c r="J625" s="2">
        <v>106.69</v>
      </c>
      <c r="K625" s="2">
        <v>5</v>
      </c>
      <c r="L625" s="2" t="s">
        <v>78</v>
      </c>
      <c r="M625" s="2">
        <v>3</v>
      </c>
      <c r="N625" s="2">
        <v>4</v>
      </c>
      <c r="O625" s="2">
        <v>1.3</v>
      </c>
      <c r="P625" s="2" t="s">
        <v>49</v>
      </c>
      <c r="Q625" s="2" t="s">
        <v>85</v>
      </c>
      <c r="R625" s="2">
        <v>2</v>
      </c>
      <c r="S625" s="2">
        <v>10</v>
      </c>
      <c r="T625" s="2" t="s">
        <v>36</v>
      </c>
      <c r="U625" s="2" t="s">
        <v>79</v>
      </c>
      <c r="V625" s="2" t="s">
        <v>51</v>
      </c>
      <c r="W625" s="3">
        <v>45555</v>
      </c>
      <c r="X625" s="2" t="b">
        <v>0</v>
      </c>
      <c r="Y625" s="2" t="b">
        <v>1</v>
      </c>
      <c r="Z625" s="2" t="s">
        <v>52</v>
      </c>
      <c r="AA625" s="2" t="s">
        <v>53</v>
      </c>
      <c r="AB625" s="2">
        <v>14</v>
      </c>
      <c r="AC625" s="2">
        <f>SUMIF(N:N,Ecommerce_Consumer_Behavior_Analysis_Data3[[#This Row],[Brand_Loyalty]],M:M)</f>
        <v>597</v>
      </c>
      <c r="AD625" s="2" t="e" cm="1" vm="1">
        <f t="array" aca="1" ref="AD625" ca="1">SUMIFS(Y:Y,Ecommerce_Consumer_Behavior_Analysis_Data3[[#This Row],[Payment_Method]],V:V)</f>
        <v>#VALUE!</v>
      </c>
      <c r="AE625" s="2">
        <f t="shared" si="13"/>
        <v>333.8</v>
      </c>
    </row>
    <row r="626" spans="1:31" x14ac:dyDescent="0.25">
      <c r="A626" s="2" t="s">
        <v>1325</v>
      </c>
      <c r="B626" s="2">
        <v>42</v>
      </c>
      <c r="C626" s="2" t="s">
        <v>274</v>
      </c>
      <c r="D626" s="2" t="s">
        <v>30</v>
      </c>
      <c r="E626" s="2" t="s">
        <v>31</v>
      </c>
      <c r="F626" s="2" t="s">
        <v>32</v>
      </c>
      <c r="G626" s="2" t="s">
        <v>44</v>
      </c>
      <c r="H626" s="2" t="s">
        <v>1326</v>
      </c>
      <c r="I626" s="2" t="s">
        <v>114</v>
      </c>
      <c r="J626" s="2">
        <v>301.16000000000003</v>
      </c>
      <c r="K626" s="2">
        <v>10</v>
      </c>
      <c r="L626" s="2" t="s">
        <v>78</v>
      </c>
      <c r="M626" s="2">
        <v>4</v>
      </c>
      <c r="N626" s="2">
        <v>3</v>
      </c>
      <c r="O626" s="2">
        <v>2</v>
      </c>
      <c r="P626" s="2" t="s">
        <v>36</v>
      </c>
      <c r="Q626" s="2" t="s">
        <v>85</v>
      </c>
      <c r="R626" s="2">
        <v>2</v>
      </c>
      <c r="S626" s="2">
        <v>9</v>
      </c>
      <c r="T626" s="2" t="s">
        <v>49</v>
      </c>
      <c r="U626" s="2" t="s">
        <v>38</v>
      </c>
      <c r="V626" s="2" t="s">
        <v>86</v>
      </c>
      <c r="W626" s="3">
        <v>45499</v>
      </c>
      <c r="X626" s="2" t="b">
        <v>0</v>
      </c>
      <c r="Y626" s="2" t="b">
        <v>0</v>
      </c>
      <c r="Z626" s="2" t="s">
        <v>40</v>
      </c>
      <c r="AA626" s="2" t="s">
        <v>53</v>
      </c>
      <c r="AB626" s="2">
        <v>1</v>
      </c>
      <c r="AC626" s="2">
        <f>SUMIF(N:N,Ecommerce_Consumer_Behavior_Analysis_Data3[[#This Row],[Brand_Loyalty]],M:M)</f>
        <v>603</v>
      </c>
      <c r="AD626" s="2" t="e" cm="1" vm="1">
        <f t="array" aca="1" ref="AD626" ca="1">SUMIFS(Y:Y,Ecommerce_Consumer_Behavior_Analysis_Data3[[#This Row],[Payment_Method]],V:V)</f>
        <v>#VALUE!</v>
      </c>
      <c r="AE626" s="2">
        <f t="shared" si="13"/>
        <v>101.31</v>
      </c>
    </row>
    <row r="627" spans="1:31" x14ac:dyDescent="0.25">
      <c r="A627" s="2" t="s">
        <v>1327</v>
      </c>
      <c r="B627" s="2">
        <v>49</v>
      </c>
      <c r="C627" s="2" t="s">
        <v>43</v>
      </c>
      <c r="D627" s="2" t="s">
        <v>30</v>
      </c>
      <c r="E627" s="2" t="s">
        <v>76</v>
      </c>
      <c r="F627" s="2" t="s">
        <v>45</v>
      </c>
      <c r="G627" s="2" t="s">
        <v>44</v>
      </c>
      <c r="H627" s="2" t="s">
        <v>1328</v>
      </c>
      <c r="I627" s="2" t="s">
        <v>107</v>
      </c>
      <c r="J627" s="2">
        <v>61.71</v>
      </c>
      <c r="K627" s="2">
        <v>6</v>
      </c>
      <c r="L627" s="2" t="s">
        <v>35</v>
      </c>
      <c r="M627" s="2">
        <v>2</v>
      </c>
      <c r="N627" s="2">
        <v>5</v>
      </c>
      <c r="O627" s="2">
        <v>1</v>
      </c>
      <c r="P627" s="2" t="s">
        <v>59</v>
      </c>
      <c r="Q627" s="2" t="s">
        <v>85</v>
      </c>
      <c r="R627" s="2">
        <v>2</v>
      </c>
      <c r="S627" s="2">
        <v>7</v>
      </c>
      <c r="T627" s="2" t="s">
        <v>59</v>
      </c>
      <c r="U627" s="2" t="s">
        <v>38</v>
      </c>
      <c r="V627" s="2" t="s">
        <v>86</v>
      </c>
      <c r="W627" s="3">
        <v>45568</v>
      </c>
      <c r="X627" s="2" t="b">
        <v>0</v>
      </c>
      <c r="Y627" s="2" t="b">
        <v>0</v>
      </c>
      <c r="Z627" s="2" t="s">
        <v>62</v>
      </c>
      <c r="AA627" s="2" t="s">
        <v>41</v>
      </c>
      <c r="AB627" s="2">
        <v>12</v>
      </c>
      <c r="AC627" s="2">
        <f>SUMIF(N:N,Ecommerce_Consumer_Behavior_Analysis_Data3[[#This Row],[Brand_Loyalty]],M:M)</f>
        <v>582</v>
      </c>
      <c r="AD627" s="2" t="e" cm="1" vm="1">
        <f t="array" aca="1" ref="AD627" ca="1">SUMIFS(Y:Y,Ecommerce_Consumer_Behavior_Analysis_Data3[[#This Row],[Payment_Method]],V:V)</f>
        <v>#VALUE!</v>
      </c>
      <c r="AE627" s="2">
        <f t="shared" si="13"/>
        <v>101.31</v>
      </c>
    </row>
    <row r="628" spans="1:31" x14ac:dyDescent="0.25">
      <c r="A628" s="2" t="s">
        <v>1329</v>
      </c>
      <c r="B628" s="2">
        <v>46</v>
      </c>
      <c r="C628" s="2" t="s">
        <v>190</v>
      </c>
      <c r="D628" s="2" t="s">
        <v>30</v>
      </c>
      <c r="E628" s="2" t="s">
        <v>76</v>
      </c>
      <c r="F628" s="2" t="s">
        <v>45</v>
      </c>
      <c r="G628" s="2" t="s">
        <v>44</v>
      </c>
      <c r="H628" s="2" t="s">
        <v>1330</v>
      </c>
      <c r="I628" s="2" t="s">
        <v>90</v>
      </c>
      <c r="J628" s="2">
        <v>83.33</v>
      </c>
      <c r="K628" s="2">
        <v>11</v>
      </c>
      <c r="L628" s="2" t="s">
        <v>48</v>
      </c>
      <c r="M628" s="2">
        <v>1</v>
      </c>
      <c r="N628" s="2">
        <v>5</v>
      </c>
      <c r="O628" s="2">
        <v>1</v>
      </c>
      <c r="P628" s="2" t="s">
        <v>49</v>
      </c>
      <c r="Q628" s="2" t="s">
        <v>85</v>
      </c>
      <c r="R628" s="2">
        <v>1</v>
      </c>
      <c r="S628" s="2">
        <v>6</v>
      </c>
      <c r="T628" s="2" t="s">
        <v>59</v>
      </c>
      <c r="U628" s="2" t="s">
        <v>79</v>
      </c>
      <c r="V628" s="2" t="s">
        <v>61</v>
      </c>
      <c r="W628" s="3">
        <v>45349</v>
      </c>
      <c r="X628" s="2" t="b">
        <v>1</v>
      </c>
      <c r="Y628" s="2" t="b">
        <v>1</v>
      </c>
      <c r="Z628" s="2" t="s">
        <v>74</v>
      </c>
      <c r="AA628" s="2" t="s">
        <v>67</v>
      </c>
      <c r="AB628" s="2">
        <v>1</v>
      </c>
      <c r="AC628" s="2">
        <f>SUMIF(N:N,Ecommerce_Consumer_Behavior_Analysis_Data3[[#This Row],[Brand_Loyalty]],M:M)</f>
        <v>603</v>
      </c>
      <c r="AD628" s="2" t="e" cm="1" vm="1">
        <f t="array" aca="1" ref="AD628" ca="1">SUMIFS(Y:Y,Ecommerce_Consumer_Behavior_Analysis_Data3[[#This Row],[Payment_Method]],V:V)</f>
        <v>#VALUE!</v>
      </c>
      <c r="AE628" s="2">
        <f t="shared" si="13"/>
        <v>101.31</v>
      </c>
    </row>
    <row r="629" spans="1:31" x14ac:dyDescent="0.25">
      <c r="A629" s="2" t="s">
        <v>1331</v>
      </c>
      <c r="B629" s="2">
        <v>42</v>
      </c>
      <c r="C629" s="2" t="s">
        <v>43</v>
      </c>
      <c r="D629" s="2" t="s">
        <v>44</v>
      </c>
      <c r="E629" s="2" t="s">
        <v>55</v>
      </c>
      <c r="F629" s="2" t="s">
        <v>32</v>
      </c>
      <c r="G629" s="2" t="s">
        <v>30</v>
      </c>
      <c r="H629" s="2" t="s">
        <v>1332</v>
      </c>
      <c r="I629" s="2" t="s">
        <v>82</v>
      </c>
      <c r="J629" s="2">
        <v>411.81</v>
      </c>
      <c r="K629" s="2">
        <v>4</v>
      </c>
      <c r="L629" s="2" t="s">
        <v>35</v>
      </c>
      <c r="M629" s="2">
        <v>1</v>
      </c>
      <c r="N629" s="2">
        <v>3</v>
      </c>
      <c r="O629" s="2">
        <v>1</v>
      </c>
      <c r="P629" s="2" t="s">
        <v>44</v>
      </c>
      <c r="Q629" s="2" t="s">
        <v>37</v>
      </c>
      <c r="R629" s="2">
        <v>1</v>
      </c>
      <c r="S629" s="2">
        <v>1</v>
      </c>
      <c r="T629" s="2" t="s">
        <v>44</v>
      </c>
      <c r="U629" s="2" t="s">
        <v>60</v>
      </c>
      <c r="V629" s="2" t="s">
        <v>86</v>
      </c>
      <c r="W629" s="3">
        <v>45390</v>
      </c>
      <c r="X629" s="2" t="b">
        <v>1</v>
      </c>
      <c r="Y629" s="2" t="b">
        <v>1</v>
      </c>
      <c r="Z629" s="2" t="s">
        <v>74</v>
      </c>
      <c r="AA629" s="2" t="s">
        <v>53</v>
      </c>
      <c r="AB629" s="2">
        <v>1</v>
      </c>
      <c r="AC629" s="2">
        <f>SUMIF(N:N,Ecommerce_Consumer_Behavior_Analysis_Data3[[#This Row],[Brand_Loyalty]],M:M)</f>
        <v>603</v>
      </c>
      <c r="AD629" s="2" t="e" cm="1" vm="1">
        <f t="array" aca="1" ref="AD629" ca="1">SUMIFS(Y:Y,Ecommerce_Consumer_Behavior_Analysis_Data3[[#This Row],[Payment_Method]],V:V)</f>
        <v>#VALUE!</v>
      </c>
      <c r="AE629" s="2">
        <f t="shared" si="13"/>
        <v>101.31</v>
      </c>
    </row>
    <row r="630" spans="1:31" x14ac:dyDescent="0.25">
      <c r="A630" s="2" t="s">
        <v>1333</v>
      </c>
      <c r="B630" s="2">
        <v>44</v>
      </c>
      <c r="C630" s="2" t="s">
        <v>29</v>
      </c>
      <c r="D630" s="2" t="s">
        <v>30</v>
      </c>
      <c r="E630" s="2" t="s">
        <v>31</v>
      </c>
      <c r="F630" s="2" t="s">
        <v>56</v>
      </c>
      <c r="G630" s="2" t="s">
        <v>44</v>
      </c>
      <c r="H630" s="2" t="s">
        <v>1334</v>
      </c>
      <c r="I630" s="2" t="s">
        <v>98</v>
      </c>
      <c r="J630" s="2">
        <v>114.93</v>
      </c>
      <c r="K630" s="2">
        <v>3</v>
      </c>
      <c r="L630" s="2" t="s">
        <v>48</v>
      </c>
      <c r="M630" s="2">
        <v>4</v>
      </c>
      <c r="N630" s="2">
        <v>3</v>
      </c>
      <c r="O630" s="2">
        <v>1</v>
      </c>
      <c r="P630" s="2" t="s">
        <v>44</v>
      </c>
      <c r="Q630" s="2" t="s">
        <v>37</v>
      </c>
      <c r="R630" s="2">
        <v>0</v>
      </c>
      <c r="S630" s="2">
        <v>4</v>
      </c>
      <c r="T630" s="2" t="s">
        <v>36</v>
      </c>
      <c r="U630" s="2" t="s">
        <v>79</v>
      </c>
      <c r="V630" s="2" t="s">
        <v>66</v>
      </c>
      <c r="W630" s="3">
        <v>45527</v>
      </c>
      <c r="X630" s="2" t="b">
        <v>1</v>
      </c>
      <c r="Y630" s="2" t="b">
        <v>1</v>
      </c>
      <c r="Z630" s="2" t="s">
        <v>62</v>
      </c>
      <c r="AA630" s="2" t="s">
        <v>53</v>
      </c>
      <c r="AB630" s="2">
        <v>4</v>
      </c>
      <c r="AC630" s="2">
        <f>SUMIF(N:N,Ecommerce_Consumer_Behavior_Analysis_Data3[[#This Row],[Brand_Loyalty]],M:M)</f>
        <v>603</v>
      </c>
      <c r="AD630" s="2" t="e" cm="1" vm="1">
        <f t="array" aca="1" ref="AD630" ca="1">SUMIFS(Y:Y,Ecommerce_Consumer_Behavior_Analysis_Data3[[#This Row],[Payment_Method]],V:V)</f>
        <v>#VALUE!</v>
      </c>
      <c r="AE630" s="2">
        <f t="shared" si="13"/>
        <v>333.8</v>
      </c>
    </row>
    <row r="631" spans="1:31" x14ac:dyDescent="0.25">
      <c r="A631" s="2" t="s">
        <v>1335</v>
      </c>
      <c r="B631" s="2">
        <v>33</v>
      </c>
      <c r="C631" s="2" t="s">
        <v>29</v>
      </c>
      <c r="D631" s="2" t="s">
        <v>44</v>
      </c>
      <c r="E631" s="2" t="s">
        <v>76</v>
      </c>
      <c r="F631" s="2" t="s">
        <v>56</v>
      </c>
      <c r="G631" s="2" t="s">
        <v>30</v>
      </c>
      <c r="H631" s="2" t="s">
        <v>1336</v>
      </c>
      <c r="I631" s="2" t="s">
        <v>246</v>
      </c>
      <c r="J631" s="2">
        <v>438.42</v>
      </c>
      <c r="K631" s="2">
        <v>11</v>
      </c>
      <c r="L631" s="2" t="s">
        <v>78</v>
      </c>
      <c r="M631" s="2">
        <v>3</v>
      </c>
      <c r="N631" s="2">
        <v>2</v>
      </c>
      <c r="O631" s="2">
        <v>2</v>
      </c>
      <c r="P631" s="2" t="s">
        <v>49</v>
      </c>
      <c r="Q631" s="2" t="s">
        <v>85</v>
      </c>
      <c r="R631" s="2">
        <v>0</v>
      </c>
      <c r="S631" s="2">
        <v>4</v>
      </c>
      <c r="T631" s="2" t="s">
        <v>59</v>
      </c>
      <c r="U631" s="2" t="s">
        <v>38</v>
      </c>
      <c r="V631" s="2" t="s">
        <v>86</v>
      </c>
      <c r="W631" s="3">
        <v>45545</v>
      </c>
      <c r="X631" s="2" t="b">
        <v>1</v>
      </c>
      <c r="Y631" s="2" t="b">
        <v>0</v>
      </c>
      <c r="Z631" s="2" t="s">
        <v>74</v>
      </c>
      <c r="AA631" s="2" t="s">
        <v>67</v>
      </c>
      <c r="AB631" s="2">
        <v>4</v>
      </c>
      <c r="AC631" s="2">
        <f>SUMIF(N:N,Ecommerce_Consumer_Behavior_Analysis_Data3[[#This Row],[Brand_Loyalty]],M:M)</f>
        <v>597</v>
      </c>
      <c r="AD631" s="2" t="e" cm="1" vm="1">
        <f t="array" aca="1" ref="AD631" ca="1">SUMIFS(Y:Y,Ecommerce_Consumer_Behavior_Analysis_Data3[[#This Row],[Payment_Method]],V:V)</f>
        <v>#VALUE!</v>
      </c>
      <c r="AE631" s="2">
        <f t="shared" si="13"/>
        <v>101.31</v>
      </c>
    </row>
    <row r="632" spans="1:31" x14ac:dyDescent="0.25">
      <c r="A632" s="2" t="s">
        <v>1337</v>
      </c>
      <c r="B632" s="2">
        <v>36</v>
      </c>
      <c r="C632" s="2" t="s">
        <v>43</v>
      </c>
      <c r="D632" s="2" t="s">
        <v>30</v>
      </c>
      <c r="E632" s="2" t="s">
        <v>69</v>
      </c>
      <c r="F632" s="2" t="s">
        <v>56</v>
      </c>
      <c r="G632" s="2" t="s">
        <v>30</v>
      </c>
      <c r="H632" s="2" t="s">
        <v>1338</v>
      </c>
      <c r="I632" s="2" t="s">
        <v>98</v>
      </c>
      <c r="J632" s="2">
        <v>189.97</v>
      </c>
      <c r="K632" s="2">
        <v>2</v>
      </c>
      <c r="L632" s="2" t="s">
        <v>48</v>
      </c>
      <c r="M632" s="2">
        <v>2</v>
      </c>
      <c r="N632" s="2">
        <v>3</v>
      </c>
      <c r="O632" s="2">
        <v>1</v>
      </c>
      <c r="P632" s="2" t="s">
        <v>44</v>
      </c>
      <c r="Q632" s="2" t="s">
        <v>37</v>
      </c>
      <c r="R632" s="2">
        <v>0</v>
      </c>
      <c r="S632" s="2">
        <v>3</v>
      </c>
      <c r="T632" s="2" t="s">
        <v>49</v>
      </c>
      <c r="U632" s="2" t="s">
        <v>60</v>
      </c>
      <c r="V632" s="2" t="s">
        <v>39</v>
      </c>
      <c r="W632" s="3">
        <v>45357</v>
      </c>
      <c r="X632" s="2" t="b">
        <v>1</v>
      </c>
      <c r="Y632" s="2" t="b">
        <v>0</v>
      </c>
      <c r="Z632" s="2" t="s">
        <v>40</v>
      </c>
      <c r="AA632" s="2" t="s">
        <v>53</v>
      </c>
      <c r="AB632" s="2">
        <v>8</v>
      </c>
      <c r="AC632" s="2">
        <f>SUMIF(N:N,Ecommerce_Consumer_Behavior_Analysis_Data3[[#This Row],[Brand_Loyalty]],M:M)</f>
        <v>582</v>
      </c>
      <c r="AD632" s="2" t="e" cm="1" vm="1">
        <f t="array" aca="1" ref="AD632" ca="1">SUMIFS(Y:Y,Ecommerce_Consumer_Behavior_Analysis_Data3[[#This Row],[Payment_Method]],V:V)</f>
        <v>#VALUE!</v>
      </c>
      <c r="AE632" s="2">
        <f t="shared" si="13"/>
        <v>211.7</v>
      </c>
    </row>
    <row r="633" spans="1:31" x14ac:dyDescent="0.25">
      <c r="A633" s="2" t="s">
        <v>1339</v>
      </c>
      <c r="B633" s="2">
        <v>35</v>
      </c>
      <c r="C633" s="2" t="s">
        <v>43</v>
      </c>
      <c r="D633" s="2" t="s">
        <v>44</v>
      </c>
      <c r="E633" s="2" t="s">
        <v>76</v>
      </c>
      <c r="F633" s="2" t="s">
        <v>56</v>
      </c>
      <c r="G633" s="2" t="s">
        <v>30</v>
      </c>
      <c r="H633" s="2" t="s">
        <v>1340</v>
      </c>
      <c r="I633" s="2" t="s">
        <v>142</v>
      </c>
      <c r="J633" s="2">
        <v>227.03</v>
      </c>
      <c r="K633" s="2">
        <v>12</v>
      </c>
      <c r="L633" s="2" t="s">
        <v>78</v>
      </c>
      <c r="M633" s="2">
        <v>2</v>
      </c>
      <c r="N633" s="2">
        <v>2</v>
      </c>
      <c r="O633" s="2">
        <v>0</v>
      </c>
      <c r="P633" s="2" t="s">
        <v>44</v>
      </c>
      <c r="Q633" s="2" t="s">
        <v>85</v>
      </c>
      <c r="R633" s="2">
        <v>2</v>
      </c>
      <c r="S633" s="2">
        <v>10</v>
      </c>
      <c r="T633" s="2" t="s">
        <v>59</v>
      </c>
      <c r="U633" s="2" t="s">
        <v>79</v>
      </c>
      <c r="V633" s="2" t="s">
        <v>51</v>
      </c>
      <c r="W633" s="3">
        <v>45480</v>
      </c>
      <c r="X633" s="2" t="b">
        <v>1</v>
      </c>
      <c r="Y633" s="2" t="b">
        <v>1</v>
      </c>
      <c r="Z633" s="2" t="s">
        <v>74</v>
      </c>
      <c r="AA633" s="2" t="s">
        <v>53</v>
      </c>
      <c r="AB633" s="2">
        <v>2</v>
      </c>
      <c r="AC633" s="2">
        <f>SUMIF(N:N,Ecommerce_Consumer_Behavior_Analysis_Data3[[#This Row],[Brand_Loyalty]],M:M)</f>
        <v>582</v>
      </c>
      <c r="AD633" s="2" t="e" cm="1" vm="1">
        <f t="array" aca="1" ref="AD633" ca="1">SUMIFS(Y:Y,Ecommerce_Consumer_Behavior_Analysis_Data3[[#This Row],[Payment_Method]],V:V)</f>
        <v>#VALUE!</v>
      </c>
      <c r="AE633" s="2">
        <f t="shared" si="13"/>
        <v>211.7</v>
      </c>
    </row>
    <row r="634" spans="1:31" x14ac:dyDescent="0.25">
      <c r="A634" s="2" t="s">
        <v>1341</v>
      </c>
      <c r="B634" s="2">
        <v>26</v>
      </c>
      <c r="C634" s="2" t="s">
        <v>43</v>
      </c>
      <c r="D634" s="2" t="s">
        <v>44</v>
      </c>
      <c r="E634" s="2" t="s">
        <v>76</v>
      </c>
      <c r="F634" s="2" t="s">
        <v>32</v>
      </c>
      <c r="G634" s="2" t="s">
        <v>30</v>
      </c>
      <c r="H634" s="2" t="s">
        <v>1342</v>
      </c>
      <c r="I634" s="2" t="s">
        <v>65</v>
      </c>
      <c r="J634" s="2">
        <v>278.49</v>
      </c>
      <c r="K634" s="2">
        <v>4</v>
      </c>
      <c r="L634" s="2" t="s">
        <v>35</v>
      </c>
      <c r="M634" s="2">
        <v>5</v>
      </c>
      <c r="N634" s="2">
        <v>5</v>
      </c>
      <c r="O634" s="2">
        <v>0</v>
      </c>
      <c r="P634" s="2" t="s">
        <v>59</v>
      </c>
      <c r="Q634" s="2" t="s">
        <v>37</v>
      </c>
      <c r="R634" s="2">
        <v>1</v>
      </c>
      <c r="S634" s="2">
        <v>5</v>
      </c>
      <c r="T634" s="2" t="s">
        <v>59</v>
      </c>
      <c r="U634" s="2" t="s">
        <v>60</v>
      </c>
      <c r="V634" s="2" t="s">
        <v>39</v>
      </c>
      <c r="W634" s="3">
        <v>45543</v>
      </c>
      <c r="X634" s="2" t="b">
        <v>1</v>
      </c>
      <c r="Y634" s="2" t="b">
        <v>1</v>
      </c>
      <c r="Z634" s="2" t="s">
        <v>40</v>
      </c>
      <c r="AA634" s="2" t="s">
        <v>67</v>
      </c>
      <c r="AB634" s="2">
        <v>8</v>
      </c>
      <c r="AC634" s="2">
        <f>SUMIF(N:N,Ecommerce_Consumer_Behavior_Analysis_Data3[[#This Row],[Brand_Loyalty]],M:M)</f>
        <v>641</v>
      </c>
      <c r="AD634" s="2" t="e" cm="1" vm="1">
        <f t="array" aca="1" ref="AD634" ca="1">SUMIFS(Y:Y,Ecommerce_Consumer_Behavior_Analysis_Data3[[#This Row],[Payment_Method]],V:V)</f>
        <v>#VALUE!</v>
      </c>
      <c r="AE634" s="2">
        <f t="shared" si="13"/>
        <v>333.8</v>
      </c>
    </row>
    <row r="635" spans="1:31" x14ac:dyDescent="0.25">
      <c r="A635" s="2" t="s">
        <v>1343</v>
      </c>
      <c r="B635" s="2">
        <v>43</v>
      </c>
      <c r="C635" s="2" t="s">
        <v>29</v>
      </c>
      <c r="D635" s="2" t="s">
        <v>44</v>
      </c>
      <c r="E635" s="2" t="s">
        <v>69</v>
      </c>
      <c r="F635" s="2" t="s">
        <v>32</v>
      </c>
      <c r="G635" s="2" t="s">
        <v>44</v>
      </c>
      <c r="H635" s="2" t="s">
        <v>1344</v>
      </c>
      <c r="I635" s="2" t="s">
        <v>101</v>
      </c>
      <c r="J635" s="2">
        <v>120.56</v>
      </c>
      <c r="K635" s="2">
        <v>5</v>
      </c>
      <c r="L635" s="2" t="s">
        <v>78</v>
      </c>
      <c r="M635" s="2">
        <v>4</v>
      </c>
      <c r="N635" s="2">
        <v>3</v>
      </c>
      <c r="O635" s="2">
        <v>2</v>
      </c>
      <c r="P635" s="2" t="s">
        <v>36</v>
      </c>
      <c r="Q635" s="2" t="s">
        <v>50</v>
      </c>
      <c r="R635" s="2">
        <v>2</v>
      </c>
      <c r="S635" s="2">
        <v>7</v>
      </c>
      <c r="T635" s="2" t="s">
        <v>59</v>
      </c>
      <c r="U635" s="2" t="s">
        <v>38</v>
      </c>
      <c r="V635" s="2" t="s">
        <v>61</v>
      </c>
      <c r="W635" s="3">
        <v>45446</v>
      </c>
      <c r="X635" s="2" t="b">
        <v>0</v>
      </c>
      <c r="Y635" s="2" t="b">
        <v>0</v>
      </c>
      <c r="Z635" s="2" t="s">
        <v>40</v>
      </c>
      <c r="AA635" s="2" t="s">
        <v>67</v>
      </c>
      <c r="AB635" s="2">
        <v>7</v>
      </c>
      <c r="AC635" s="2">
        <f>SUMIF(N:N,Ecommerce_Consumer_Behavior_Analysis_Data3[[#This Row],[Brand_Loyalty]],M:M)</f>
        <v>603</v>
      </c>
      <c r="AD635" s="2" t="e" cm="1" vm="1">
        <f t="array" aca="1" ref="AD635" ca="1">SUMIFS(Y:Y,Ecommerce_Consumer_Behavior_Analysis_Data3[[#This Row],[Payment_Method]],V:V)</f>
        <v>#VALUE!</v>
      </c>
      <c r="AE635" s="2">
        <f t="shared" si="13"/>
        <v>333.8</v>
      </c>
    </row>
    <row r="636" spans="1:31" x14ac:dyDescent="0.25">
      <c r="A636" s="2" t="s">
        <v>1345</v>
      </c>
      <c r="B636" s="2">
        <v>25</v>
      </c>
      <c r="C636" s="2" t="s">
        <v>43</v>
      </c>
      <c r="D636" s="2" t="s">
        <v>44</v>
      </c>
      <c r="E636" s="2" t="s">
        <v>76</v>
      </c>
      <c r="F636" s="2" t="s">
        <v>32</v>
      </c>
      <c r="G636" s="2" t="s">
        <v>30</v>
      </c>
      <c r="H636" s="2" t="s">
        <v>1346</v>
      </c>
      <c r="I636" s="2" t="s">
        <v>34</v>
      </c>
      <c r="J636" s="2">
        <v>320.94</v>
      </c>
      <c r="K636" s="2">
        <v>11</v>
      </c>
      <c r="L636" s="2" t="s">
        <v>78</v>
      </c>
      <c r="M636" s="2">
        <v>3</v>
      </c>
      <c r="N636" s="2">
        <v>3</v>
      </c>
      <c r="O636" s="2">
        <v>2</v>
      </c>
      <c r="P636" s="2" t="s">
        <v>44</v>
      </c>
      <c r="Q636" s="2" t="s">
        <v>50</v>
      </c>
      <c r="R636" s="2">
        <v>2</v>
      </c>
      <c r="S636" s="2">
        <v>10</v>
      </c>
      <c r="T636" s="2" t="s">
        <v>36</v>
      </c>
      <c r="U636" s="2" t="s">
        <v>60</v>
      </c>
      <c r="V636" s="2" t="s">
        <v>86</v>
      </c>
      <c r="W636" s="3">
        <v>45604</v>
      </c>
      <c r="X636" s="2" t="b">
        <v>0</v>
      </c>
      <c r="Y636" s="2" t="b">
        <v>0</v>
      </c>
      <c r="Z636" s="2" t="s">
        <v>62</v>
      </c>
      <c r="AA636" s="2" t="s">
        <v>41</v>
      </c>
      <c r="AB636" s="2">
        <v>10</v>
      </c>
      <c r="AC636" s="2">
        <f>SUMIF(N:N,Ecommerce_Consumer_Behavior_Analysis_Data3[[#This Row],[Brand_Loyalty]],M:M)</f>
        <v>597</v>
      </c>
      <c r="AD636" s="2" t="e" cm="1" vm="1">
        <f t="array" aca="1" ref="AD636" ca="1">SUMIFS(Y:Y,Ecommerce_Consumer_Behavior_Analysis_Data3[[#This Row],[Payment_Method]],V:V)</f>
        <v>#VALUE!</v>
      </c>
      <c r="AE636" s="2">
        <f t="shared" si="13"/>
        <v>333.8</v>
      </c>
    </row>
    <row r="637" spans="1:31" x14ac:dyDescent="0.25">
      <c r="A637" s="2" t="s">
        <v>1347</v>
      </c>
      <c r="B637" s="2">
        <v>37</v>
      </c>
      <c r="C637" s="2" t="s">
        <v>29</v>
      </c>
      <c r="D637" s="2" t="s">
        <v>44</v>
      </c>
      <c r="E637" s="2" t="s">
        <v>76</v>
      </c>
      <c r="F637" s="2" t="s">
        <v>56</v>
      </c>
      <c r="G637" s="2" t="s">
        <v>30</v>
      </c>
      <c r="H637" s="2" t="s">
        <v>1348</v>
      </c>
      <c r="I637" s="2" t="s">
        <v>246</v>
      </c>
      <c r="J637" s="2">
        <v>217.72</v>
      </c>
      <c r="K637" s="2">
        <v>3</v>
      </c>
      <c r="L637" s="2" t="s">
        <v>48</v>
      </c>
      <c r="M637" s="2">
        <v>4</v>
      </c>
      <c r="N637" s="2">
        <v>4</v>
      </c>
      <c r="O637" s="2">
        <v>2</v>
      </c>
      <c r="P637" s="2" t="s">
        <v>49</v>
      </c>
      <c r="Q637" s="2" t="s">
        <v>50</v>
      </c>
      <c r="R637" s="2">
        <v>1</v>
      </c>
      <c r="S637" s="2">
        <v>4</v>
      </c>
      <c r="T637" s="2" t="s">
        <v>44</v>
      </c>
      <c r="U637" s="2" t="s">
        <v>38</v>
      </c>
      <c r="V637" s="2" t="s">
        <v>61</v>
      </c>
      <c r="W637" s="3">
        <v>45581</v>
      </c>
      <c r="X637" s="2" t="b">
        <v>0</v>
      </c>
      <c r="Y637" s="2" t="b">
        <v>1</v>
      </c>
      <c r="Z637" s="2" t="s">
        <v>52</v>
      </c>
      <c r="AA637" s="2" t="s">
        <v>41</v>
      </c>
      <c r="AB637" s="2">
        <v>14</v>
      </c>
      <c r="AC637" s="2">
        <f>SUMIF(N:N,Ecommerce_Consumer_Behavior_Analysis_Data3[[#This Row],[Brand_Loyalty]],M:M)</f>
        <v>603</v>
      </c>
      <c r="AD637" s="2" t="e" cm="1" vm="1">
        <f t="array" aca="1" ref="AD637" ca="1">SUMIFS(Y:Y,Ecommerce_Consumer_Behavior_Analysis_Data3[[#This Row],[Payment_Method]],V:V)</f>
        <v>#VALUE!</v>
      </c>
      <c r="AE637" s="2">
        <f t="shared" si="13"/>
        <v>101.31</v>
      </c>
    </row>
    <row r="638" spans="1:31" x14ac:dyDescent="0.25">
      <c r="A638" s="2" t="s">
        <v>1349</v>
      </c>
      <c r="B638" s="2">
        <v>25</v>
      </c>
      <c r="C638" s="2" t="s">
        <v>43</v>
      </c>
      <c r="D638" s="2" t="s">
        <v>44</v>
      </c>
      <c r="E638" s="2" t="s">
        <v>69</v>
      </c>
      <c r="F638" s="2" t="s">
        <v>32</v>
      </c>
      <c r="G638" s="2" t="s">
        <v>30</v>
      </c>
      <c r="H638" s="2" t="s">
        <v>1350</v>
      </c>
      <c r="I638" s="2" t="s">
        <v>65</v>
      </c>
      <c r="J638" s="2">
        <v>222.61</v>
      </c>
      <c r="K638" s="2">
        <v>3</v>
      </c>
      <c r="L638" s="2" t="s">
        <v>78</v>
      </c>
      <c r="M638" s="2">
        <v>1</v>
      </c>
      <c r="N638" s="2">
        <v>2</v>
      </c>
      <c r="O638" s="2">
        <v>1</v>
      </c>
      <c r="P638" s="2" t="s">
        <v>49</v>
      </c>
      <c r="Q638" s="2" t="s">
        <v>85</v>
      </c>
      <c r="R638" s="2">
        <v>1</v>
      </c>
      <c r="S638" s="2">
        <v>1</v>
      </c>
      <c r="T638" s="2" t="s">
        <v>36</v>
      </c>
      <c r="U638" s="2" t="s">
        <v>79</v>
      </c>
      <c r="V638" s="2" t="s">
        <v>51</v>
      </c>
      <c r="W638" s="3">
        <v>45476</v>
      </c>
      <c r="X638" s="2" t="b">
        <v>0</v>
      </c>
      <c r="Y638" s="2" t="b">
        <v>1</v>
      </c>
      <c r="Z638" s="2" t="s">
        <v>40</v>
      </c>
      <c r="AA638" s="2" t="s">
        <v>53</v>
      </c>
      <c r="AB638" s="2">
        <v>3</v>
      </c>
      <c r="AC638" s="2">
        <f>SUMIF(N:N,Ecommerce_Consumer_Behavior_Analysis_Data3[[#This Row],[Brand_Loyalty]],M:M)</f>
        <v>603</v>
      </c>
      <c r="AD638" s="2" t="e" cm="1" vm="1">
        <f t="array" aca="1" ref="AD638" ca="1">SUMIFS(Y:Y,Ecommerce_Consumer_Behavior_Analysis_Data3[[#This Row],[Payment_Method]],V:V)</f>
        <v>#VALUE!</v>
      </c>
      <c r="AE638" s="2">
        <f t="shared" si="13"/>
        <v>426.22</v>
      </c>
    </row>
    <row r="639" spans="1:31" x14ac:dyDescent="0.25">
      <c r="A639" s="2" t="s">
        <v>1351</v>
      </c>
      <c r="B639" s="2">
        <v>40</v>
      </c>
      <c r="C639" s="2" t="s">
        <v>29</v>
      </c>
      <c r="D639" s="2" t="s">
        <v>30</v>
      </c>
      <c r="E639" s="2" t="s">
        <v>76</v>
      </c>
      <c r="F639" s="2" t="s">
        <v>45</v>
      </c>
      <c r="G639" s="2" t="s">
        <v>30</v>
      </c>
      <c r="H639" s="2" t="s">
        <v>1352</v>
      </c>
      <c r="I639" s="2" t="s">
        <v>188</v>
      </c>
      <c r="J639" s="2">
        <v>102.73</v>
      </c>
      <c r="K639" s="2">
        <v>3</v>
      </c>
      <c r="L639" s="2" t="s">
        <v>35</v>
      </c>
      <c r="M639" s="2">
        <v>4</v>
      </c>
      <c r="N639" s="2">
        <v>5</v>
      </c>
      <c r="O639" s="2">
        <v>0.3</v>
      </c>
      <c r="P639" s="2" t="s">
        <v>36</v>
      </c>
      <c r="Q639" s="2" t="s">
        <v>50</v>
      </c>
      <c r="R639" s="2">
        <v>2</v>
      </c>
      <c r="S639" s="2">
        <v>5</v>
      </c>
      <c r="T639" s="2" t="s">
        <v>36</v>
      </c>
      <c r="U639" s="2" t="s">
        <v>38</v>
      </c>
      <c r="V639" s="2" t="s">
        <v>61</v>
      </c>
      <c r="W639" s="3">
        <v>45491</v>
      </c>
      <c r="X639" s="2" t="b">
        <v>0</v>
      </c>
      <c r="Y639" s="2" t="b">
        <v>0</v>
      </c>
      <c r="Z639" s="2" t="s">
        <v>52</v>
      </c>
      <c r="AA639" s="2" t="s">
        <v>67</v>
      </c>
      <c r="AB639" s="2">
        <v>14</v>
      </c>
      <c r="AC639" s="2">
        <f>SUMIF(N:N,Ecommerce_Consumer_Behavior_Analysis_Data3[[#This Row],[Brand_Loyalty]],M:M)</f>
        <v>603</v>
      </c>
      <c r="AD639" s="2" t="e" cm="1" vm="1">
        <f t="array" aca="1" ref="AD639" ca="1">SUMIFS(Y:Y,Ecommerce_Consumer_Behavior_Analysis_Data3[[#This Row],[Payment_Method]],V:V)</f>
        <v>#VALUE!</v>
      </c>
      <c r="AE639" s="2">
        <f t="shared" si="13"/>
        <v>333.8</v>
      </c>
    </row>
    <row r="640" spans="1:31" x14ac:dyDescent="0.25">
      <c r="A640" s="2" t="s">
        <v>1353</v>
      </c>
      <c r="B640" s="2">
        <v>40</v>
      </c>
      <c r="C640" s="2" t="s">
        <v>29</v>
      </c>
      <c r="D640" s="2" t="s">
        <v>30</v>
      </c>
      <c r="E640" s="2" t="s">
        <v>31</v>
      </c>
      <c r="F640" s="2" t="s">
        <v>32</v>
      </c>
      <c r="G640" s="2" t="s">
        <v>44</v>
      </c>
      <c r="H640" s="2" t="s">
        <v>1354</v>
      </c>
      <c r="I640" s="2" t="s">
        <v>90</v>
      </c>
      <c r="J640" s="2">
        <v>426.87</v>
      </c>
      <c r="K640" s="2">
        <v>2</v>
      </c>
      <c r="L640" s="2" t="s">
        <v>48</v>
      </c>
      <c r="M640" s="2">
        <v>4</v>
      </c>
      <c r="N640" s="2">
        <v>2</v>
      </c>
      <c r="O640" s="2">
        <v>2</v>
      </c>
      <c r="P640" s="2" t="s">
        <v>36</v>
      </c>
      <c r="Q640" s="2" t="s">
        <v>50</v>
      </c>
      <c r="R640" s="2">
        <v>0</v>
      </c>
      <c r="S640" s="2">
        <v>4</v>
      </c>
      <c r="T640" s="2" t="s">
        <v>49</v>
      </c>
      <c r="U640" s="2" t="s">
        <v>60</v>
      </c>
      <c r="V640" s="2" t="s">
        <v>61</v>
      </c>
      <c r="W640" s="3">
        <v>45365</v>
      </c>
      <c r="X640" s="2" t="b">
        <v>0</v>
      </c>
      <c r="Y640" s="2" t="b">
        <v>0</v>
      </c>
      <c r="Z640" s="2" t="s">
        <v>52</v>
      </c>
      <c r="AA640" s="2" t="s">
        <v>41</v>
      </c>
      <c r="AB640" s="2">
        <v>3</v>
      </c>
      <c r="AC640" s="2">
        <f>SUMIF(N:N,Ecommerce_Consumer_Behavior_Analysis_Data3[[#This Row],[Brand_Loyalty]],M:M)</f>
        <v>603</v>
      </c>
      <c r="AD640" s="2" t="e" cm="1" vm="1">
        <f t="array" aca="1" ref="AD640" ca="1">SUMIFS(Y:Y,Ecommerce_Consumer_Behavior_Analysis_Data3[[#This Row],[Payment_Method]],V:V)</f>
        <v>#VALUE!</v>
      </c>
      <c r="AE640" s="2">
        <f t="shared" si="13"/>
        <v>101.31</v>
      </c>
    </row>
    <row r="641" spans="1:31" x14ac:dyDescent="0.25">
      <c r="A641" s="2" t="s">
        <v>1355</v>
      </c>
      <c r="B641" s="2">
        <v>20</v>
      </c>
      <c r="C641" s="2" t="s">
        <v>29</v>
      </c>
      <c r="D641" s="2" t="s">
        <v>30</v>
      </c>
      <c r="E641" s="2" t="s">
        <v>69</v>
      </c>
      <c r="F641" s="2" t="s">
        <v>45</v>
      </c>
      <c r="G641" s="2" t="s">
        <v>30</v>
      </c>
      <c r="H641" s="2" t="s">
        <v>1356</v>
      </c>
      <c r="I641" s="2" t="s">
        <v>246</v>
      </c>
      <c r="J641" s="2">
        <v>473.28</v>
      </c>
      <c r="K641" s="2">
        <v>5</v>
      </c>
      <c r="L641" s="2" t="s">
        <v>78</v>
      </c>
      <c r="M641" s="2">
        <v>5</v>
      </c>
      <c r="N641" s="2">
        <v>5</v>
      </c>
      <c r="O641" s="2">
        <v>1</v>
      </c>
      <c r="P641" s="2" t="s">
        <v>49</v>
      </c>
      <c r="Q641" s="2" t="s">
        <v>85</v>
      </c>
      <c r="R641" s="2">
        <v>1</v>
      </c>
      <c r="S641" s="2">
        <v>9</v>
      </c>
      <c r="T641" s="2" t="s">
        <v>36</v>
      </c>
      <c r="U641" s="2" t="s">
        <v>60</v>
      </c>
      <c r="V641" s="2" t="s">
        <v>86</v>
      </c>
      <c r="W641" s="3">
        <v>45635</v>
      </c>
      <c r="X641" s="2" t="b">
        <v>0</v>
      </c>
      <c r="Y641" s="2" t="b">
        <v>0</v>
      </c>
      <c r="Z641" s="2" t="s">
        <v>40</v>
      </c>
      <c r="AA641" s="2" t="s">
        <v>53</v>
      </c>
      <c r="AB641" s="2">
        <v>13</v>
      </c>
      <c r="AC641" s="2">
        <f>SUMIF(N:N,Ecommerce_Consumer_Behavior_Analysis_Data3[[#This Row],[Brand_Loyalty]],M:M)</f>
        <v>641</v>
      </c>
      <c r="AD641" s="2" t="e" cm="1" vm="1">
        <f t="array" aca="1" ref="AD641" ca="1">SUMIFS(Y:Y,Ecommerce_Consumer_Behavior_Analysis_Data3[[#This Row],[Payment_Method]],V:V)</f>
        <v>#VALUE!</v>
      </c>
      <c r="AE641" s="2">
        <f t="shared" si="13"/>
        <v>333.8</v>
      </c>
    </row>
    <row r="642" spans="1:31" x14ac:dyDescent="0.25">
      <c r="A642" s="2" t="s">
        <v>1357</v>
      </c>
      <c r="B642" s="2">
        <v>39</v>
      </c>
      <c r="C642" s="2" t="s">
        <v>43</v>
      </c>
      <c r="D642" s="2" t="s">
        <v>44</v>
      </c>
      <c r="E642" s="2" t="s">
        <v>69</v>
      </c>
      <c r="F642" s="2" t="s">
        <v>32</v>
      </c>
      <c r="G642" s="2" t="s">
        <v>44</v>
      </c>
      <c r="H642" s="2" t="s">
        <v>1358</v>
      </c>
      <c r="I642" s="2" t="s">
        <v>246</v>
      </c>
      <c r="J642" s="2">
        <v>446.03</v>
      </c>
      <c r="K642" s="2">
        <v>9</v>
      </c>
      <c r="L642" s="2" t="s">
        <v>48</v>
      </c>
      <c r="M642" s="2">
        <v>2</v>
      </c>
      <c r="N642" s="2">
        <v>1</v>
      </c>
      <c r="O642" s="2">
        <v>2</v>
      </c>
      <c r="P642" s="2" t="s">
        <v>59</v>
      </c>
      <c r="Q642" s="2" t="s">
        <v>37</v>
      </c>
      <c r="R642" s="2">
        <v>2</v>
      </c>
      <c r="S642" s="2">
        <v>7</v>
      </c>
      <c r="T642" s="2" t="s">
        <v>36</v>
      </c>
      <c r="U642" s="2" t="s">
        <v>38</v>
      </c>
      <c r="V642" s="2" t="s">
        <v>66</v>
      </c>
      <c r="W642" s="3">
        <v>45469</v>
      </c>
      <c r="X642" s="2" t="b">
        <v>1</v>
      </c>
      <c r="Y642" s="2" t="b">
        <v>1</v>
      </c>
      <c r="Z642" s="2" t="s">
        <v>40</v>
      </c>
      <c r="AA642" s="2" t="s">
        <v>67</v>
      </c>
      <c r="AB642" s="2">
        <v>12</v>
      </c>
      <c r="AC642" s="2">
        <f>SUMIF(N:N,Ecommerce_Consumer_Behavior_Analysis_Data3[[#This Row],[Brand_Loyalty]],M:M)</f>
        <v>582</v>
      </c>
      <c r="AD642" s="2" t="e" cm="1" vm="1">
        <f t="array" aca="1" ref="AD642" ca="1">SUMIFS(Y:Y,Ecommerce_Consumer_Behavior_Analysis_Data3[[#This Row],[Payment_Method]],V:V)</f>
        <v>#VALUE!</v>
      </c>
      <c r="AE642" s="2">
        <f t="shared" ref="AE642:AE705" si="14">INDEX(J:J,MATCH(O643,O:O,0))</f>
        <v>333.8</v>
      </c>
    </row>
    <row r="643" spans="1:31" x14ac:dyDescent="0.25">
      <c r="A643" s="2" t="s">
        <v>1359</v>
      </c>
      <c r="B643" s="2">
        <v>19</v>
      </c>
      <c r="C643" s="2" t="s">
        <v>29</v>
      </c>
      <c r="D643" s="2" t="s">
        <v>44</v>
      </c>
      <c r="E643" s="2" t="s">
        <v>55</v>
      </c>
      <c r="F643" s="2" t="s">
        <v>32</v>
      </c>
      <c r="G643" s="2" t="s">
        <v>44</v>
      </c>
      <c r="H643" s="2" t="s">
        <v>1360</v>
      </c>
      <c r="I643" s="2" t="s">
        <v>135</v>
      </c>
      <c r="J643" s="2">
        <v>287.95</v>
      </c>
      <c r="K643" s="2">
        <v>3</v>
      </c>
      <c r="L643" s="2" t="s">
        <v>35</v>
      </c>
      <c r="M643" s="2">
        <v>2</v>
      </c>
      <c r="N643" s="2">
        <v>3</v>
      </c>
      <c r="O643" s="2">
        <v>2</v>
      </c>
      <c r="P643" s="2" t="s">
        <v>36</v>
      </c>
      <c r="Q643" s="2" t="s">
        <v>85</v>
      </c>
      <c r="R643" s="2">
        <v>2</v>
      </c>
      <c r="S643" s="2">
        <v>7</v>
      </c>
      <c r="T643" s="2" t="s">
        <v>44</v>
      </c>
      <c r="U643" s="2" t="s">
        <v>38</v>
      </c>
      <c r="V643" s="2" t="s">
        <v>51</v>
      </c>
      <c r="W643" s="3">
        <v>45608</v>
      </c>
      <c r="X643" s="2" t="b">
        <v>1</v>
      </c>
      <c r="Y643" s="2" t="b">
        <v>1</v>
      </c>
      <c r="Z643" s="2" t="s">
        <v>74</v>
      </c>
      <c r="AA643" s="2" t="s">
        <v>53</v>
      </c>
      <c r="AB643" s="2">
        <v>11</v>
      </c>
      <c r="AC643" s="2">
        <f>SUMIF(N:N,Ecommerce_Consumer_Behavior_Analysis_Data3[[#This Row],[Brand_Loyalty]],M:M)</f>
        <v>582</v>
      </c>
      <c r="AD643" s="2" t="e" cm="1" vm="1">
        <f t="array" aca="1" ref="AD643" ca="1">SUMIFS(Y:Y,Ecommerce_Consumer_Behavior_Analysis_Data3[[#This Row],[Payment_Method]],V:V)</f>
        <v>#VALUE!</v>
      </c>
      <c r="AE643" s="2">
        <f t="shared" si="14"/>
        <v>211.7</v>
      </c>
    </row>
    <row r="644" spans="1:31" x14ac:dyDescent="0.25">
      <c r="A644" s="2" t="s">
        <v>1361</v>
      </c>
      <c r="B644" s="2">
        <v>31</v>
      </c>
      <c r="C644" s="2" t="s">
        <v>29</v>
      </c>
      <c r="D644" s="2" t="s">
        <v>30</v>
      </c>
      <c r="E644" s="2" t="s">
        <v>69</v>
      </c>
      <c r="F644" s="2" t="s">
        <v>56</v>
      </c>
      <c r="G644" s="2" t="s">
        <v>44</v>
      </c>
      <c r="H644" s="2" t="s">
        <v>1362</v>
      </c>
      <c r="I644" s="2" t="s">
        <v>98</v>
      </c>
      <c r="J644" s="2">
        <v>132.52000000000001</v>
      </c>
      <c r="K644" s="2">
        <v>6</v>
      </c>
      <c r="L644" s="2" t="s">
        <v>35</v>
      </c>
      <c r="M644" s="2">
        <v>1</v>
      </c>
      <c r="N644" s="2">
        <v>2</v>
      </c>
      <c r="O644" s="2">
        <v>0</v>
      </c>
      <c r="P644" s="2" t="s">
        <v>49</v>
      </c>
      <c r="Q644" s="2" t="s">
        <v>37</v>
      </c>
      <c r="R644" s="2">
        <v>2</v>
      </c>
      <c r="S644" s="2">
        <v>10</v>
      </c>
      <c r="T644" s="2" t="s">
        <v>59</v>
      </c>
      <c r="U644" s="2" t="s">
        <v>60</v>
      </c>
      <c r="V644" s="2" t="s">
        <v>61</v>
      </c>
      <c r="W644" s="3">
        <v>45646</v>
      </c>
      <c r="X644" s="2" t="b">
        <v>1</v>
      </c>
      <c r="Y644" s="2" t="b">
        <v>1</v>
      </c>
      <c r="Z644" s="2" t="s">
        <v>62</v>
      </c>
      <c r="AA644" s="2" t="s">
        <v>67</v>
      </c>
      <c r="AB644" s="2">
        <v>12</v>
      </c>
      <c r="AC644" s="2">
        <f>SUMIF(N:N,Ecommerce_Consumer_Behavior_Analysis_Data3[[#This Row],[Brand_Loyalty]],M:M)</f>
        <v>603</v>
      </c>
      <c r="AD644" s="2" t="e" cm="1" vm="1">
        <f t="array" aca="1" ref="AD644" ca="1">SUMIFS(Y:Y,Ecommerce_Consumer_Behavior_Analysis_Data3[[#This Row],[Payment_Method]],V:V)</f>
        <v>#VALUE!</v>
      </c>
      <c r="AE644" s="2">
        <f t="shared" si="14"/>
        <v>211.7</v>
      </c>
    </row>
    <row r="645" spans="1:31" x14ac:dyDescent="0.25">
      <c r="A645" s="2" t="s">
        <v>1363</v>
      </c>
      <c r="B645" s="2">
        <v>36</v>
      </c>
      <c r="C645" s="2" t="s">
        <v>29</v>
      </c>
      <c r="D645" s="2" t="s">
        <v>30</v>
      </c>
      <c r="E645" s="2" t="s">
        <v>31</v>
      </c>
      <c r="F645" s="2" t="s">
        <v>32</v>
      </c>
      <c r="G645" s="2" t="s">
        <v>30</v>
      </c>
      <c r="H645" s="2" t="s">
        <v>1364</v>
      </c>
      <c r="I645" s="2" t="s">
        <v>90</v>
      </c>
      <c r="J645" s="2">
        <v>379.2</v>
      </c>
      <c r="K645" s="2">
        <v>7</v>
      </c>
      <c r="L645" s="2" t="s">
        <v>78</v>
      </c>
      <c r="M645" s="2">
        <v>5</v>
      </c>
      <c r="N645" s="2">
        <v>1</v>
      </c>
      <c r="O645" s="2">
        <v>0</v>
      </c>
      <c r="P645" s="2" t="s">
        <v>49</v>
      </c>
      <c r="Q645" s="2" t="s">
        <v>85</v>
      </c>
      <c r="R645" s="2">
        <v>2</v>
      </c>
      <c r="S645" s="2">
        <v>2</v>
      </c>
      <c r="T645" s="2" t="s">
        <v>44</v>
      </c>
      <c r="U645" s="2" t="s">
        <v>60</v>
      </c>
      <c r="V645" s="2" t="s">
        <v>61</v>
      </c>
      <c r="W645" s="3">
        <v>45440</v>
      </c>
      <c r="X645" s="2" t="b">
        <v>1</v>
      </c>
      <c r="Y645" s="2" t="b">
        <v>1</v>
      </c>
      <c r="Z645" s="2" t="s">
        <v>40</v>
      </c>
      <c r="AA645" s="2" t="s">
        <v>41</v>
      </c>
      <c r="AB645" s="2">
        <v>7</v>
      </c>
      <c r="AC645" s="2">
        <f>SUMIF(N:N,Ecommerce_Consumer_Behavior_Analysis_Data3[[#This Row],[Brand_Loyalty]],M:M)</f>
        <v>641</v>
      </c>
      <c r="AD645" s="2" t="e" cm="1" vm="1">
        <f t="array" aca="1" ref="AD645" ca="1">SUMIFS(Y:Y,Ecommerce_Consumer_Behavior_Analysis_Data3[[#This Row],[Payment_Method]],V:V)</f>
        <v>#VALUE!</v>
      </c>
      <c r="AE645" s="2">
        <f t="shared" si="14"/>
        <v>333.8</v>
      </c>
    </row>
    <row r="646" spans="1:31" x14ac:dyDescent="0.25">
      <c r="A646" s="2" t="s">
        <v>1365</v>
      </c>
      <c r="B646" s="2">
        <v>31</v>
      </c>
      <c r="C646" s="2" t="s">
        <v>148</v>
      </c>
      <c r="D646" s="2" t="s">
        <v>30</v>
      </c>
      <c r="E646" s="2" t="s">
        <v>31</v>
      </c>
      <c r="F646" s="2" t="s">
        <v>45</v>
      </c>
      <c r="G646" s="2" t="s">
        <v>44</v>
      </c>
      <c r="H646" s="2" t="s">
        <v>1366</v>
      </c>
      <c r="I646" s="2" t="s">
        <v>158</v>
      </c>
      <c r="J646" s="2">
        <v>447.53</v>
      </c>
      <c r="K646" s="2">
        <v>4</v>
      </c>
      <c r="L646" s="2" t="s">
        <v>78</v>
      </c>
      <c r="M646" s="2">
        <v>2</v>
      </c>
      <c r="N646" s="2">
        <v>1</v>
      </c>
      <c r="O646" s="2">
        <v>2</v>
      </c>
      <c r="P646" s="2" t="s">
        <v>44</v>
      </c>
      <c r="Q646" s="2" t="s">
        <v>37</v>
      </c>
      <c r="R646" s="2">
        <v>1</v>
      </c>
      <c r="S646" s="2">
        <v>6</v>
      </c>
      <c r="T646" s="2" t="s">
        <v>36</v>
      </c>
      <c r="U646" s="2" t="s">
        <v>60</v>
      </c>
      <c r="V646" s="2" t="s">
        <v>51</v>
      </c>
      <c r="W646" s="3">
        <v>45578</v>
      </c>
      <c r="X646" s="2" t="b">
        <v>1</v>
      </c>
      <c r="Y646" s="2" t="b">
        <v>1</v>
      </c>
      <c r="Z646" s="2" t="s">
        <v>52</v>
      </c>
      <c r="AA646" s="2" t="s">
        <v>41</v>
      </c>
      <c r="AB646" s="2">
        <v>3</v>
      </c>
      <c r="AC646" s="2">
        <f>SUMIF(N:N,Ecommerce_Consumer_Behavior_Analysis_Data3[[#This Row],[Brand_Loyalty]],M:M)</f>
        <v>582</v>
      </c>
      <c r="AD646" s="2" t="e" cm="1" vm="1">
        <f t="array" aca="1" ref="AD646" ca="1">SUMIFS(Y:Y,Ecommerce_Consumer_Behavior_Analysis_Data3[[#This Row],[Payment_Method]],V:V)</f>
        <v>#VALUE!</v>
      </c>
      <c r="AE646" s="2">
        <f t="shared" si="14"/>
        <v>101.31</v>
      </c>
    </row>
    <row r="647" spans="1:31" x14ac:dyDescent="0.25">
      <c r="A647" s="2" t="s">
        <v>1367</v>
      </c>
      <c r="B647" s="2">
        <v>45</v>
      </c>
      <c r="C647" s="2" t="s">
        <v>29</v>
      </c>
      <c r="D647" s="2" t="s">
        <v>44</v>
      </c>
      <c r="E647" s="2" t="s">
        <v>76</v>
      </c>
      <c r="F647" s="2" t="s">
        <v>32</v>
      </c>
      <c r="G647" s="2" t="s">
        <v>30</v>
      </c>
      <c r="H647" s="2" t="s">
        <v>1368</v>
      </c>
      <c r="I647" s="2" t="s">
        <v>58</v>
      </c>
      <c r="J647" s="2">
        <v>138.44</v>
      </c>
      <c r="K647" s="2">
        <v>4</v>
      </c>
      <c r="L647" s="2" t="s">
        <v>35</v>
      </c>
      <c r="M647" s="2">
        <v>5</v>
      </c>
      <c r="N647" s="2">
        <v>1</v>
      </c>
      <c r="O647" s="2">
        <v>1</v>
      </c>
      <c r="P647" s="2" t="s">
        <v>36</v>
      </c>
      <c r="Q647" s="2" t="s">
        <v>85</v>
      </c>
      <c r="R647" s="2">
        <v>1</v>
      </c>
      <c r="S647" s="2">
        <v>2</v>
      </c>
      <c r="T647" s="2" t="s">
        <v>36</v>
      </c>
      <c r="U647" s="2" t="s">
        <v>60</v>
      </c>
      <c r="V647" s="2" t="s">
        <v>86</v>
      </c>
      <c r="W647" s="3">
        <v>45344</v>
      </c>
      <c r="X647" s="2" t="b">
        <v>0</v>
      </c>
      <c r="Y647" s="2" t="b">
        <v>1</v>
      </c>
      <c r="Z647" s="2" t="s">
        <v>52</v>
      </c>
      <c r="AA647" s="2" t="s">
        <v>67</v>
      </c>
      <c r="AB647" s="2">
        <v>1</v>
      </c>
      <c r="AC647" s="2">
        <f>SUMIF(N:N,Ecommerce_Consumer_Behavior_Analysis_Data3[[#This Row],[Brand_Loyalty]],M:M)</f>
        <v>641</v>
      </c>
      <c r="AD647" s="2" t="e" cm="1" vm="1">
        <f t="array" aca="1" ref="AD647" ca="1">SUMIFS(Y:Y,Ecommerce_Consumer_Behavior_Analysis_Data3[[#This Row],[Payment_Method]],V:V)</f>
        <v>#VALUE!</v>
      </c>
      <c r="AE647" s="2">
        <f t="shared" si="14"/>
        <v>333.8</v>
      </c>
    </row>
    <row r="648" spans="1:31" x14ac:dyDescent="0.25">
      <c r="A648" s="2" t="s">
        <v>1369</v>
      </c>
      <c r="B648" s="2">
        <v>45</v>
      </c>
      <c r="C648" s="2" t="s">
        <v>274</v>
      </c>
      <c r="D648" s="2" t="s">
        <v>30</v>
      </c>
      <c r="E648" s="2" t="s">
        <v>55</v>
      </c>
      <c r="F648" s="2" t="s">
        <v>45</v>
      </c>
      <c r="G648" s="2" t="s">
        <v>30</v>
      </c>
      <c r="H648" s="2" t="s">
        <v>1370</v>
      </c>
      <c r="I648" s="2" t="s">
        <v>65</v>
      </c>
      <c r="J648" s="2">
        <v>440.62</v>
      </c>
      <c r="K648" s="2">
        <v>8</v>
      </c>
      <c r="L648" s="2" t="s">
        <v>35</v>
      </c>
      <c r="M648" s="2">
        <v>2</v>
      </c>
      <c r="N648" s="2">
        <v>2</v>
      </c>
      <c r="O648" s="2">
        <v>2</v>
      </c>
      <c r="P648" s="2" t="s">
        <v>36</v>
      </c>
      <c r="Q648" s="2" t="s">
        <v>85</v>
      </c>
      <c r="R648" s="2">
        <v>1</v>
      </c>
      <c r="S648" s="2">
        <v>3</v>
      </c>
      <c r="T648" s="2" t="s">
        <v>49</v>
      </c>
      <c r="U648" s="2" t="s">
        <v>38</v>
      </c>
      <c r="V648" s="2" t="s">
        <v>61</v>
      </c>
      <c r="W648" s="3">
        <v>45323</v>
      </c>
      <c r="X648" s="2" t="b">
        <v>1</v>
      </c>
      <c r="Y648" s="2" t="b">
        <v>1</v>
      </c>
      <c r="Z648" s="2" t="s">
        <v>40</v>
      </c>
      <c r="AA648" s="2" t="s">
        <v>67</v>
      </c>
      <c r="AB648" s="2">
        <v>6</v>
      </c>
      <c r="AC648" s="2">
        <f>SUMIF(N:N,Ecommerce_Consumer_Behavior_Analysis_Data3[[#This Row],[Brand_Loyalty]],M:M)</f>
        <v>582</v>
      </c>
      <c r="AD648" s="2" t="e" cm="1" vm="1">
        <f t="array" aca="1" ref="AD648" ca="1">SUMIFS(Y:Y,Ecommerce_Consumer_Behavior_Analysis_Data3[[#This Row],[Payment_Method]],V:V)</f>
        <v>#VALUE!</v>
      </c>
      <c r="AE648" s="2">
        <f t="shared" si="14"/>
        <v>101.31</v>
      </c>
    </row>
    <row r="649" spans="1:31" x14ac:dyDescent="0.25">
      <c r="A649" s="2" t="s">
        <v>1371</v>
      </c>
      <c r="B649" s="2">
        <v>23</v>
      </c>
      <c r="C649" s="2" t="s">
        <v>29</v>
      </c>
      <c r="D649" s="2" t="s">
        <v>44</v>
      </c>
      <c r="E649" s="2" t="s">
        <v>76</v>
      </c>
      <c r="F649" s="2" t="s">
        <v>56</v>
      </c>
      <c r="G649" s="2" t="s">
        <v>44</v>
      </c>
      <c r="H649" s="2" t="s">
        <v>1372</v>
      </c>
      <c r="I649" s="2" t="s">
        <v>90</v>
      </c>
      <c r="J649" s="2">
        <v>145.97999999999999</v>
      </c>
      <c r="K649" s="2">
        <v>4</v>
      </c>
      <c r="L649" s="2" t="s">
        <v>48</v>
      </c>
      <c r="M649" s="2">
        <v>1</v>
      </c>
      <c r="N649" s="2">
        <v>2</v>
      </c>
      <c r="O649" s="2">
        <v>1</v>
      </c>
      <c r="P649" s="2" t="s">
        <v>59</v>
      </c>
      <c r="Q649" s="2" t="s">
        <v>85</v>
      </c>
      <c r="R649" s="2">
        <v>2</v>
      </c>
      <c r="S649" s="2">
        <v>5</v>
      </c>
      <c r="T649" s="2" t="s">
        <v>44</v>
      </c>
      <c r="U649" s="2" t="s">
        <v>79</v>
      </c>
      <c r="V649" s="2" t="s">
        <v>66</v>
      </c>
      <c r="W649" s="3">
        <v>45551</v>
      </c>
      <c r="X649" s="2" t="b">
        <v>0</v>
      </c>
      <c r="Y649" s="2" t="b">
        <v>0</v>
      </c>
      <c r="Z649" s="2" t="s">
        <v>40</v>
      </c>
      <c r="AA649" s="2" t="s">
        <v>41</v>
      </c>
      <c r="AB649" s="2">
        <v>1</v>
      </c>
      <c r="AC649" s="2">
        <f>SUMIF(N:N,Ecommerce_Consumer_Behavior_Analysis_Data3[[#This Row],[Brand_Loyalty]],M:M)</f>
        <v>603</v>
      </c>
      <c r="AD649" s="2" t="e" cm="1" vm="1">
        <f t="array" aca="1" ref="AD649" ca="1">SUMIFS(Y:Y,Ecommerce_Consumer_Behavior_Analysis_Data3[[#This Row],[Payment_Method]],V:V)</f>
        <v>#VALUE!</v>
      </c>
      <c r="AE649" s="2">
        <f t="shared" si="14"/>
        <v>101.31</v>
      </c>
    </row>
    <row r="650" spans="1:31" x14ac:dyDescent="0.25">
      <c r="A650" s="2" t="s">
        <v>1373</v>
      </c>
      <c r="B650" s="2">
        <v>28</v>
      </c>
      <c r="C650" s="2" t="s">
        <v>43</v>
      </c>
      <c r="D650" s="2" t="s">
        <v>30</v>
      </c>
      <c r="E650" s="2" t="s">
        <v>31</v>
      </c>
      <c r="F650" s="2" t="s">
        <v>45</v>
      </c>
      <c r="G650" s="2" t="s">
        <v>44</v>
      </c>
      <c r="H650" s="2" t="s">
        <v>1374</v>
      </c>
      <c r="I650" s="2" t="s">
        <v>120</v>
      </c>
      <c r="J650" s="2">
        <v>405.66</v>
      </c>
      <c r="K650" s="2">
        <v>11</v>
      </c>
      <c r="L650" s="2" t="s">
        <v>78</v>
      </c>
      <c r="M650" s="2">
        <v>5</v>
      </c>
      <c r="N650" s="2">
        <v>2</v>
      </c>
      <c r="O650" s="2">
        <v>1</v>
      </c>
      <c r="P650" s="2" t="s">
        <v>49</v>
      </c>
      <c r="Q650" s="2" t="s">
        <v>37</v>
      </c>
      <c r="R650" s="2">
        <v>1</v>
      </c>
      <c r="S650" s="2">
        <v>3</v>
      </c>
      <c r="T650" s="2" t="s">
        <v>44</v>
      </c>
      <c r="U650" s="2" t="s">
        <v>38</v>
      </c>
      <c r="V650" s="2" t="s">
        <v>86</v>
      </c>
      <c r="W650" s="3">
        <v>45409</v>
      </c>
      <c r="X650" s="2" t="b">
        <v>1</v>
      </c>
      <c r="Y650" s="2" t="b">
        <v>0</v>
      </c>
      <c r="Z650" s="2" t="s">
        <v>62</v>
      </c>
      <c r="AA650" s="2" t="s">
        <v>67</v>
      </c>
      <c r="AB650" s="2">
        <v>11</v>
      </c>
      <c r="AC650" s="2">
        <f>SUMIF(N:N,Ecommerce_Consumer_Behavior_Analysis_Data3[[#This Row],[Brand_Loyalty]],M:M)</f>
        <v>641</v>
      </c>
      <c r="AD650" s="2" t="e" cm="1" vm="1">
        <f t="array" aca="1" ref="AD650" ca="1">SUMIFS(Y:Y,Ecommerce_Consumer_Behavior_Analysis_Data3[[#This Row],[Payment_Method]],V:V)</f>
        <v>#VALUE!</v>
      </c>
      <c r="AE650" s="2">
        <f t="shared" si="14"/>
        <v>211.7</v>
      </c>
    </row>
    <row r="651" spans="1:31" x14ac:dyDescent="0.25">
      <c r="A651" s="2" t="s">
        <v>1375</v>
      </c>
      <c r="B651" s="2">
        <v>26</v>
      </c>
      <c r="C651" s="2" t="s">
        <v>29</v>
      </c>
      <c r="D651" s="2" t="s">
        <v>44</v>
      </c>
      <c r="E651" s="2" t="s">
        <v>55</v>
      </c>
      <c r="F651" s="2" t="s">
        <v>45</v>
      </c>
      <c r="G651" s="2" t="s">
        <v>30</v>
      </c>
      <c r="H651" s="2" t="s">
        <v>1376</v>
      </c>
      <c r="I651" s="2" t="s">
        <v>183</v>
      </c>
      <c r="J651" s="2">
        <v>419.98</v>
      </c>
      <c r="K651" s="2">
        <v>7</v>
      </c>
      <c r="L651" s="2" t="s">
        <v>48</v>
      </c>
      <c r="M651" s="2">
        <v>4</v>
      </c>
      <c r="N651" s="2">
        <v>4</v>
      </c>
      <c r="O651" s="2">
        <v>0</v>
      </c>
      <c r="P651" s="2" t="s">
        <v>36</v>
      </c>
      <c r="Q651" s="2" t="s">
        <v>85</v>
      </c>
      <c r="R651" s="2">
        <v>0</v>
      </c>
      <c r="S651" s="2">
        <v>10</v>
      </c>
      <c r="T651" s="2" t="s">
        <v>49</v>
      </c>
      <c r="U651" s="2" t="s">
        <v>79</v>
      </c>
      <c r="V651" s="2" t="s">
        <v>51</v>
      </c>
      <c r="W651" s="3">
        <v>45410</v>
      </c>
      <c r="X651" s="2" t="b">
        <v>1</v>
      </c>
      <c r="Y651" s="2" t="b">
        <v>1</v>
      </c>
      <c r="Z651" s="2" t="s">
        <v>62</v>
      </c>
      <c r="AA651" s="2" t="s">
        <v>41</v>
      </c>
      <c r="AB651" s="2">
        <v>14</v>
      </c>
      <c r="AC651" s="2">
        <f>SUMIF(N:N,Ecommerce_Consumer_Behavior_Analysis_Data3[[#This Row],[Brand_Loyalty]],M:M)</f>
        <v>603</v>
      </c>
      <c r="AD651" s="2" t="e" cm="1" vm="1">
        <f t="array" aca="1" ref="AD651" ca="1">SUMIFS(Y:Y,Ecommerce_Consumer_Behavior_Analysis_Data3[[#This Row],[Payment_Method]],V:V)</f>
        <v>#VALUE!</v>
      </c>
      <c r="AE651" s="2">
        <f t="shared" si="14"/>
        <v>101.31</v>
      </c>
    </row>
    <row r="652" spans="1:31" x14ac:dyDescent="0.25">
      <c r="A652" s="2" t="s">
        <v>1377</v>
      </c>
      <c r="B652" s="2">
        <v>50</v>
      </c>
      <c r="C652" s="2" t="s">
        <v>29</v>
      </c>
      <c r="D652" s="2" t="s">
        <v>30</v>
      </c>
      <c r="E652" s="2" t="s">
        <v>76</v>
      </c>
      <c r="F652" s="2" t="s">
        <v>56</v>
      </c>
      <c r="G652" s="2" t="s">
        <v>44</v>
      </c>
      <c r="H652" s="2" t="s">
        <v>1378</v>
      </c>
      <c r="I652" s="2" t="s">
        <v>135</v>
      </c>
      <c r="J652" s="2">
        <v>260.14</v>
      </c>
      <c r="K652" s="2">
        <v>5</v>
      </c>
      <c r="L652" s="2" t="s">
        <v>78</v>
      </c>
      <c r="M652" s="2">
        <v>3</v>
      </c>
      <c r="N652" s="2">
        <v>2</v>
      </c>
      <c r="O652" s="2">
        <v>1</v>
      </c>
      <c r="P652" s="2" t="s">
        <v>36</v>
      </c>
      <c r="Q652" s="2" t="s">
        <v>37</v>
      </c>
      <c r="R652" s="2">
        <v>1</v>
      </c>
      <c r="S652" s="2">
        <v>7</v>
      </c>
      <c r="T652" s="2" t="s">
        <v>59</v>
      </c>
      <c r="U652" s="2" t="s">
        <v>60</v>
      </c>
      <c r="V652" s="2" t="s">
        <v>66</v>
      </c>
      <c r="W652" s="3">
        <v>45536</v>
      </c>
      <c r="X652" s="2" t="b">
        <v>1</v>
      </c>
      <c r="Y652" s="2" t="b">
        <v>1</v>
      </c>
      <c r="Z652" s="2" t="s">
        <v>40</v>
      </c>
      <c r="AA652" s="2" t="s">
        <v>53</v>
      </c>
      <c r="AB652" s="2">
        <v>7</v>
      </c>
      <c r="AC652" s="2">
        <f>SUMIF(N:N,Ecommerce_Consumer_Behavior_Analysis_Data3[[#This Row],[Brand_Loyalty]],M:M)</f>
        <v>597</v>
      </c>
      <c r="AD652" s="2" t="e" cm="1" vm="1">
        <f t="array" aca="1" ref="AD652" ca="1">SUMIFS(Y:Y,Ecommerce_Consumer_Behavior_Analysis_Data3[[#This Row],[Payment_Method]],V:V)</f>
        <v>#VALUE!</v>
      </c>
      <c r="AE652" s="2">
        <f t="shared" si="14"/>
        <v>333.8</v>
      </c>
    </row>
    <row r="653" spans="1:31" x14ac:dyDescent="0.25">
      <c r="A653" s="2" t="s">
        <v>1379</v>
      </c>
      <c r="B653" s="2">
        <v>36</v>
      </c>
      <c r="C653" s="2" t="s">
        <v>29</v>
      </c>
      <c r="D653" s="2" t="s">
        <v>30</v>
      </c>
      <c r="E653" s="2" t="s">
        <v>69</v>
      </c>
      <c r="F653" s="2" t="s">
        <v>32</v>
      </c>
      <c r="G653" s="2" t="s">
        <v>44</v>
      </c>
      <c r="H653" s="2" t="s">
        <v>1380</v>
      </c>
      <c r="I653" s="2" t="s">
        <v>135</v>
      </c>
      <c r="J653" s="2">
        <v>368.91</v>
      </c>
      <c r="K653" s="2">
        <v>10</v>
      </c>
      <c r="L653" s="2" t="s">
        <v>48</v>
      </c>
      <c r="M653" s="2">
        <v>1</v>
      </c>
      <c r="N653" s="2">
        <v>3</v>
      </c>
      <c r="O653" s="2">
        <v>2</v>
      </c>
      <c r="P653" s="2" t="s">
        <v>44</v>
      </c>
      <c r="Q653" s="2" t="s">
        <v>50</v>
      </c>
      <c r="R653" s="2">
        <v>2</v>
      </c>
      <c r="S653" s="2">
        <v>10</v>
      </c>
      <c r="T653" s="2" t="s">
        <v>44</v>
      </c>
      <c r="U653" s="2" t="s">
        <v>79</v>
      </c>
      <c r="V653" s="2" t="s">
        <v>61</v>
      </c>
      <c r="W653" s="3">
        <v>45372</v>
      </c>
      <c r="X653" s="2" t="b">
        <v>0</v>
      </c>
      <c r="Y653" s="2" t="b">
        <v>0</v>
      </c>
      <c r="Z653" s="2" t="s">
        <v>40</v>
      </c>
      <c r="AA653" s="2" t="s">
        <v>41</v>
      </c>
      <c r="AB653" s="2">
        <v>7</v>
      </c>
      <c r="AC653" s="2">
        <f>SUMIF(N:N,Ecommerce_Consumer_Behavior_Analysis_Data3[[#This Row],[Brand_Loyalty]],M:M)</f>
        <v>603</v>
      </c>
      <c r="AD653" s="2" t="e" cm="1" vm="1">
        <f t="array" aca="1" ref="AD653" ca="1">SUMIFS(Y:Y,Ecommerce_Consumer_Behavior_Analysis_Data3[[#This Row],[Payment_Method]],V:V)</f>
        <v>#VALUE!</v>
      </c>
      <c r="AE653" s="2">
        <f t="shared" si="14"/>
        <v>101.31</v>
      </c>
    </row>
    <row r="654" spans="1:31" x14ac:dyDescent="0.25">
      <c r="A654" s="2" t="s">
        <v>1381</v>
      </c>
      <c r="B654" s="2">
        <v>32</v>
      </c>
      <c r="C654" s="2" t="s">
        <v>43</v>
      </c>
      <c r="D654" s="2" t="s">
        <v>30</v>
      </c>
      <c r="E654" s="2" t="s">
        <v>69</v>
      </c>
      <c r="F654" s="2" t="s">
        <v>56</v>
      </c>
      <c r="G654" s="2" t="s">
        <v>30</v>
      </c>
      <c r="H654" s="2" t="s">
        <v>1382</v>
      </c>
      <c r="I654" s="2" t="s">
        <v>65</v>
      </c>
      <c r="J654" s="2">
        <v>100.32</v>
      </c>
      <c r="K654" s="2">
        <v>2</v>
      </c>
      <c r="L654" s="2" t="s">
        <v>48</v>
      </c>
      <c r="M654" s="2">
        <v>5</v>
      </c>
      <c r="N654" s="2">
        <v>1</v>
      </c>
      <c r="O654" s="2">
        <v>1</v>
      </c>
      <c r="P654" s="2" t="s">
        <v>59</v>
      </c>
      <c r="Q654" s="2" t="s">
        <v>85</v>
      </c>
      <c r="R654" s="2">
        <v>0</v>
      </c>
      <c r="S654" s="2">
        <v>1</v>
      </c>
      <c r="T654" s="2" t="s">
        <v>49</v>
      </c>
      <c r="U654" s="2" t="s">
        <v>38</v>
      </c>
      <c r="V654" s="2" t="s">
        <v>39</v>
      </c>
      <c r="W654" s="3">
        <v>45637</v>
      </c>
      <c r="X654" s="2" t="b">
        <v>0</v>
      </c>
      <c r="Y654" s="2" t="b">
        <v>1</v>
      </c>
      <c r="Z654" s="2" t="s">
        <v>74</v>
      </c>
      <c r="AA654" s="2" t="s">
        <v>67</v>
      </c>
      <c r="AB654" s="2">
        <v>8</v>
      </c>
      <c r="AC654" s="2">
        <f>SUMIF(N:N,Ecommerce_Consumer_Behavior_Analysis_Data3[[#This Row],[Brand_Loyalty]],M:M)</f>
        <v>641</v>
      </c>
      <c r="AD654" s="2" t="e" cm="1" vm="1">
        <f t="array" aca="1" ref="AD654" ca="1">SUMIFS(Y:Y,Ecommerce_Consumer_Behavior_Analysis_Data3[[#This Row],[Payment_Method]],V:V)</f>
        <v>#VALUE!</v>
      </c>
      <c r="AE654" s="2">
        <f t="shared" si="14"/>
        <v>333.8</v>
      </c>
    </row>
    <row r="655" spans="1:31" x14ac:dyDescent="0.25">
      <c r="A655" s="2" t="s">
        <v>1383</v>
      </c>
      <c r="B655" s="2">
        <v>34</v>
      </c>
      <c r="C655" s="2" t="s">
        <v>43</v>
      </c>
      <c r="D655" s="2" t="s">
        <v>44</v>
      </c>
      <c r="E655" s="2" t="s">
        <v>31</v>
      </c>
      <c r="F655" s="2" t="s">
        <v>56</v>
      </c>
      <c r="G655" s="2" t="s">
        <v>30</v>
      </c>
      <c r="H655" s="2" t="s">
        <v>1384</v>
      </c>
      <c r="I655" s="2" t="s">
        <v>47</v>
      </c>
      <c r="J655" s="2">
        <v>107.82</v>
      </c>
      <c r="K655" s="2">
        <v>7</v>
      </c>
      <c r="L655" s="2" t="s">
        <v>35</v>
      </c>
      <c r="M655" s="2">
        <v>5</v>
      </c>
      <c r="N655" s="2">
        <v>3</v>
      </c>
      <c r="O655" s="2">
        <v>2</v>
      </c>
      <c r="P655" s="2" t="s">
        <v>44</v>
      </c>
      <c r="Q655" s="2" t="s">
        <v>85</v>
      </c>
      <c r="R655" s="2">
        <v>2</v>
      </c>
      <c r="S655" s="2">
        <v>10</v>
      </c>
      <c r="T655" s="2" t="s">
        <v>59</v>
      </c>
      <c r="U655" s="2" t="s">
        <v>60</v>
      </c>
      <c r="V655" s="2" t="s">
        <v>39</v>
      </c>
      <c r="W655" s="3">
        <v>45630</v>
      </c>
      <c r="X655" s="2" t="b">
        <v>0</v>
      </c>
      <c r="Y655" s="2" t="b">
        <v>1</v>
      </c>
      <c r="Z655" s="2" t="s">
        <v>52</v>
      </c>
      <c r="AA655" s="2" t="s">
        <v>41</v>
      </c>
      <c r="AB655" s="2">
        <v>2</v>
      </c>
      <c r="AC655" s="2">
        <f>SUMIF(N:N,Ecommerce_Consumer_Behavior_Analysis_Data3[[#This Row],[Brand_Loyalty]],M:M)</f>
        <v>641</v>
      </c>
      <c r="AD655" s="2" t="e" cm="1" vm="1">
        <f t="array" aca="1" ref="AD655" ca="1">SUMIFS(Y:Y,Ecommerce_Consumer_Behavior_Analysis_Data3[[#This Row],[Payment_Method]],V:V)</f>
        <v>#VALUE!</v>
      </c>
      <c r="AE655" s="2">
        <f t="shared" si="14"/>
        <v>101.31</v>
      </c>
    </row>
    <row r="656" spans="1:31" x14ac:dyDescent="0.25">
      <c r="A656" s="2" t="s">
        <v>1385</v>
      </c>
      <c r="B656" s="2">
        <v>50</v>
      </c>
      <c r="C656" s="2" t="s">
        <v>43</v>
      </c>
      <c r="D656" s="2" t="s">
        <v>30</v>
      </c>
      <c r="E656" s="2" t="s">
        <v>31</v>
      </c>
      <c r="F656" s="2" t="s">
        <v>45</v>
      </c>
      <c r="G656" s="2" t="s">
        <v>30</v>
      </c>
      <c r="H656" s="2" t="s">
        <v>1386</v>
      </c>
      <c r="I656" s="2" t="s">
        <v>123</v>
      </c>
      <c r="J656" s="2">
        <v>83.88</v>
      </c>
      <c r="K656" s="2">
        <v>11</v>
      </c>
      <c r="L656" s="2" t="s">
        <v>78</v>
      </c>
      <c r="M656" s="2">
        <v>4</v>
      </c>
      <c r="N656" s="2">
        <v>2</v>
      </c>
      <c r="O656" s="2">
        <v>1</v>
      </c>
      <c r="P656" s="2" t="s">
        <v>49</v>
      </c>
      <c r="Q656" s="2" t="s">
        <v>50</v>
      </c>
      <c r="R656" s="2">
        <v>0</v>
      </c>
      <c r="S656" s="2">
        <v>6</v>
      </c>
      <c r="T656" s="2" t="s">
        <v>59</v>
      </c>
      <c r="U656" s="2" t="s">
        <v>79</v>
      </c>
      <c r="V656" s="2" t="s">
        <v>66</v>
      </c>
      <c r="W656" s="3">
        <v>45346</v>
      </c>
      <c r="X656" s="2" t="b">
        <v>1</v>
      </c>
      <c r="Y656" s="2" t="b">
        <v>1</v>
      </c>
      <c r="Z656" s="2" t="s">
        <v>74</v>
      </c>
      <c r="AA656" s="2" t="s">
        <v>67</v>
      </c>
      <c r="AB656" s="2">
        <v>4</v>
      </c>
      <c r="AC656" s="2">
        <f>SUMIF(N:N,Ecommerce_Consumer_Behavior_Analysis_Data3[[#This Row],[Brand_Loyalty]],M:M)</f>
        <v>603</v>
      </c>
      <c r="AD656" s="2" t="e" cm="1" vm="1">
        <f t="array" aca="1" ref="AD656" ca="1">SUMIFS(Y:Y,Ecommerce_Consumer_Behavior_Analysis_Data3[[#This Row],[Payment_Method]],V:V)</f>
        <v>#VALUE!</v>
      </c>
      <c r="AE656" s="2">
        <f t="shared" si="14"/>
        <v>101.31</v>
      </c>
    </row>
    <row r="657" spans="1:31" x14ac:dyDescent="0.25">
      <c r="A657" s="2" t="s">
        <v>1387</v>
      </c>
      <c r="B657" s="2">
        <v>24</v>
      </c>
      <c r="C657" s="2" t="s">
        <v>29</v>
      </c>
      <c r="D657" s="2" t="s">
        <v>30</v>
      </c>
      <c r="E657" s="2" t="s">
        <v>69</v>
      </c>
      <c r="F657" s="2" t="s">
        <v>32</v>
      </c>
      <c r="G657" s="2" t="s">
        <v>30</v>
      </c>
      <c r="H657" s="2" t="s">
        <v>1388</v>
      </c>
      <c r="I657" s="2" t="s">
        <v>194</v>
      </c>
      <c r="J657" s="2">
        <v>81.25</v>
      </c>
      <c r="K657" s="2">
        <v>9</v>
      </c>
      <c r="L657" s="2" t="s">
        <v>78</v>
      </c>
      <c r="M657" s="2">
        <v>1</v>
      </c>
      <c r="N657" s="2">
        <v>2</v>
      </c>
      <c r="O657" s="2">
        <v>1</v>
      </c>
      <c r="P657" s="2" t="s">
        <v>59</v>
      </c>
      <c r="Q657" s="2" t="s">
        <v>85</v>
      </c>
      <c r="R657" s="2">
        <v>2</v>
      </c>
      <c r="S657" s="2">
        <v>8</v>
      </c>
      <c r="T657" s="2" t="s">
        <v>49</v>
      </c>
      <c r="U657" s="2" t="s">
        <v>79</v>
      </c>
      <c r="V657" s="2" t="s">
        <v>86</v>
      </c>
      <c r="W657" s="3">
        <v>45436</v>
      </c>
      <c r="X657" s="2" t="b">
        <v>1</v>
      </c>
      <c r="Y657" s="2" t="b">
        <v>1</v>
      </c>
      <c r="Z657" s="2" t="s">
        <v>74</v>
      </c>
      <c r="AA657" s="2" t="s">
        <v>41</v>
      </c>
      <c r="AB657" s="2">
        <v>10</v>
      </c>
      <c r="AC657" s="2">
        <f>SUMIF(N:N,Ecommerce_Consumer_Behavior_Analysis_Data3[[#This Row],[Brand_Loyalty]],M:M)</f>
        <v>603</v>
      </c>
      <c r="AD657" s="2" t="e" cm="1" vm="1">
        <f t="array" aca="1" ref="AD657" ca="1">SUMIFS(Y:Y,Ecommerce_Consumer_Behavior_Analysis_Data3[[#This Row],[Payment_Method]],V:V)</f>
        <v>#VALUE!</v>
      </c>
      <c r="AE657" s="2">
        <f t="shared" si="14"/>
        <v>333.8</v>
      </c>
    </row>
    <row r="658" spans="1:31" x14ac:dyDescent="0.25">
      <c r="A658" s="2" t="s">
        <v>1389</v>
      </c>
      <c r="B658" s="2">
        <v>49</v>
      </c>
      <c r="C658" s="2" t="s">
        <v>43</v>
      </c>
      <c r="D658" s="2" t="s">
        <v>30</v>
      </c>
      <c r="E658" s="2" t="s">
        <v>69</v>
      </c>
      <c r="F658" s="2" t="s">
        <v>56</v>
      </c>
      <c r="G658" s="2" t="s">
        <v>44</v>
      </c>
      <c r="H658" s="2" t="s">
        <v>1390</v>
      </c>
      <c r="I658" s="2" t="s">
        <v>65</v>
      </c>
      <c r="J658" s="2">
        <v>125.8</v>
      </c>
      <c r="K658" s="2">
        <v>12</v>
      </c>
      <c r="L658" s="2" t="s">
        <v>48</v>
      </c>
      <c r="M658" s="2">
        <v>4</v>
      </c>
      <c r="N658" s="2">
        <v>4</v>
      </c>
      <c r="O658" s="2">
        <v>2</v>
      </c>
      <c r="P658" s="2" t="s">
        <v>36</v>
      </c>
      <c r="Q658" s="2" t="s">
        <v>37</v>
      </c>
      <c r="R658" s="2">
        <v>0</v>
      </c>
      <c r="S658" s="2">
        <v>8</v>
      </c>
      <c r="T658" s="2" t="s">
        <v>44</v>
      </c>
      <c r="U658" s="2" t="s">
        <v>79</v>
      </c>
      <c r="V658" s="2" t="s">
        <v>51</v>
      </c>
      <c r="W658" s="3">
        <v>45430</v>
      </c>
      <c r="X658" s="2" t="b">
        <v>0</v>
      </c>
      <c r="Y658" s="2" t="b">
        <v>1</v>
      </c>
      <c r="Z658" s="2" t="s">
        <v>74</v>
      </c>
      <c r="AA658" s="2" t="s">
        <v>41</v>
      </c>
      <c r="AB658" s="2">
        <v>1</v>
      </c>
      <c r="AC658" s="2">
        <f>SUMIF(N:N,Ecommerce_Consumer_Behavior_Analysis_Data3[[#This Row],[Brand_Loyalty]],M:M)</f>
        <v>603</v>
      </c>
      <c r="AD658" s="2" t="e" cm="1" vm="1">
        <f t="array" aca="1" ref="AD658" ca="1">SUMIFS(Y:Y,Ecommerce_Consumer_Behavior_Analysis_Data3[[#This Row],[Payment_Method]],V:V)</f>
        <v>#VALUE!</v>
      </c>
      <c r="AE658" s="2">
        <f t="shared" si="14"/>
        <v>333.8</v>
      </c>
    </row>
    <row r="659" spans="1:31" x14ac:dyDescent="0.25">
      <c r="A659" s="2" t="s">
        <v>1391</v>
      </c>
      <c r="B659" s="2">
        <v>18</v>
      </c>
      <c r="C659" s="2" t="s">
        <v>29</v>
      </c>
      <c r="D659" s="2" t="s">
        <v>30</v>
      </c>
      <c r="E659" s="2" t="s">
        <v>55</v>
      </c>
      <c r="F659" s="2" t="s">
        <v>32</v>
      </c>
      <c r="G659" s="2" t="s">
        <v>30</v>
      </c>
      <c r="H659" s="2" t="s">
        <v>1392</v>
      </c>
      <c r="I659" s="2" t="s">
        <v>142</v>
      </c>
      <c r="J659" s="2">
        <v>197.9</v>
      </c>
      <c r="K659" s="2">
        <v>11</v>
      </c>
      <c r="L659" s="2" t="s">
        <v>35</v>
      </c>
      <c r="M659" s="2">
        <v>2</v>
      </c>
      <c r="N659" s="2">
        <v>4</v>
      </c>
      <c r="O659" s="2">
        <v>2</v>
      </c>
      <c r="P659" s="2" t="s">
        <v>49</v>
      </c>
      <c r="Q659" s="2" t="s">
        <v>50</v>
      </c>
      <c r="R659" s="2">
        <v>1</v>
      </c>
      <c r="S659" s="2">
        <v>4</v>
      </c>
      <c r="T659" s="2" t="s">
        <v>59</v>
      </c>
      <c r="U659" s="2" t="s">
        <v>79</v>
      </c>
      <c r="V659" s="2" t="s">
        <v>61</v>
      </c>
      <c r="W659" s="3">
        <v>45384</v>
      </c>
      <c r="X659" s="2" t="b">
        <v>1</v>
      </c>
      <c r="Y659" s="2" t="b">
        <v>1</v>
      </c>
      <c r="Z659" s="2" t="s">
        <v>52</v>
      </c>
      <c r="AA659" s="2" t="s">
        <v>53</v>
      </c>
      <c r="AB659" s="2">
        <v>5</v>
      </c>
      <c r="AC659" s="2">
        <f>SUMIF(N:N,Ecommerce_Consumer_Behavior_Analysis_Data3[[#This Row],[Brand_Loyalty]],M:M)</f>
        <v>582</v>
      </c>
      <c r="AD659" s="2" t="e" cm="1" vm="1">
        <f t="array" aca="1" ref="AD659" ca="1">SUMIFS(Y:Y,Ecommerce_Consumer_Behavior_Analysis_Data3[[#This Row],[Payment_Method]],V:V)</f>
        <v>#VALUE!</v>
      </c>
      <c r="AE659" s="2">
        <f t="shared" si="14"/>
        <v>333.8</v>
      </c>
    </row>
    <row r="660" spans="1:31" x14ac:dyDescent="0.25">
      <c r="A660" s="2" t="s">
        <v>1393</v>
      </c>
      <c r="B660" s="2">
        <v>44</v>
      </c>
      <c r="C660" s="2" t="s">
        <v>43</v>
      </c>
      <c r="D660" s="2" t="s">
        <v>44</v>
      </c>
      <c r="E660" s="2" t="s">
        <v>76</v>
      </c>
      <c r="F660" s="2" t="s">
        <v>45</v>
      </c>
      <c r="G660" s="2" t="s">
        <v>30</v>
      </c>
      <c r="H660" s="2" t="s">
        <v>1394</v>
      </c>
      <c r="I660" s="2" t="s">
        <v>194</v>
      </c>
      <c r="J660" s="2">
        <v>299.08999999999997</v>
      </c>
      <c r="K660" s="2">
        <v>8</v>
      </c>
      <c r="L660" s="2" t="s">
        <v>48</v>
      </c>
      <c r="M660" s="2">
        <v>1</v>
      </c>
      <c r="N660" s="2">
        <v>1</v>
      </c>
      <c r="O660" s="2">
        <v>2</v>
      </c>
      <c r="P660" s="2" t="s">
        <v>44</v>
      </c>
      <c r="Q660" s="2" t="s">
        <v>85</v>
      </c>
      <c r="R660" s="2">
        <v>2</v>
      </c>
      <c r="S660" s="2">
        <v>7</v>
      </c>
      <c r="T660" s="2" t="s">
        <v>44</v>
      </c>
      <c r="U660" s="2" t="s">
        <v>38</v>
      </c>
      <c r="V660" s="2" t="s">
        <v>61</v>
      </c>
      <c r="W660" s="3">
        <v>45467</v>
      </c>
      <c r="X660" s="2" t="b">
        <v>0</v>
      </c>
      <c r="Y660" s="2" t="b">
        <v>0</v>
      </c>
      <c r="Z660" s="2" t="s">
        <v>62</v>
      </c>
      <c r="AA660" s="2" t="s">
        <v>53</v>
      </c>
      <c r="AB660" s="2">
        <v>14</v>
      </c>
      <c r="AC660" s="2">
        <f>SUMIF(N:N,Ecommerce_Consumer_Behavior_Analysis_Data3[[#This Row],[Brand_Loyalty]],M:M)</f>
        <v>603</v>
      </c>
      <c r="AD660" s="2" t="e" cm="1" vm="1">
        <f t="array" aca="1" ref="AD660" ca="1">SUMIFS(Y:Y,Ecommerce_Consumer_Behavior_Analysis_Data3[[#This Row],[Payment_Method]],V:V)</f>
        <v>#VALUE!</v>
      </c>
      <c r="AE660" s="2">
        <f t="shared" si="14"/>
        <v>101.31</v>
      </c>
    </row>
    <row r="661" spans="1:31" x14ac:dyDescent="0.25">
      <c r="A661" s="2" t="s">
        <v>1395</v>
      </c>
      <c r="B661" s="2">
        <v>41</v>
      </c>
      <c r="C661" s="2" t="s">
        <v>43</v>
      </c>
      <c r="D661" s="2" t="s">
        <v>44</v>
      </c>
      <c r="E661" s="2" t="s">
        <v>31</v>
      </c>
      <c r="F661" s="2" t="s">
        <v>45</v>
      </c>
      <c r="G661" s="2" t="s">
        <v>30</v>
      </c>
      <c r="H661" s="2" t="s">
        <v>1396</v>
      </c>
      <c r="I661" s="2" t="s">
        <v>194</v>
      </c>
      <c r="J661" s="2">
        <v>79.3</v>
      </c>
      <c r="K661" s="2">
        <v>10</v>
      </c>
      <c r="L661" s="2" t="s">
        <v>78</v>
      </c>
      <c r="M661" s="2">
        <v>3</v>
      </c>
      <c r="N661" s="2">
        <v>2</v>
      </c>
      <c r="O661" s="2">
        <v>1</v>
      </c>
      <c r="P661" s="2" t="s">
        <v>59</v>
      </c>
      <c r="Q661" s="2" t="s">
        <v>37</v>
      </c>
      <c r="R661" s="2">
        <v>2</v>
      </c>
      <c r="S661" s="2">
        <v>4</v>
      </c>
      <c r="T661" s="2" t="s">
        <v>44</v>
      </c>
      <c r="U661" s="2" t="s">
        <v>60</v>
      </c>
      <c r="V661" s="2" t="s">
        <v>61</v>
      </c>
      <c r="W661" s="3">
        <v>45538</v>
      </c>
      <c r="X661" s="2" t="b">
        <v>0</v>
      </c>
      <c r="Y661" s="2" t="b">
        <v>0</v>
      </c>
      <c r="Z661" s="2" t="s">
        <v>74</v>
      </c>
      <c r="AA661" s="2" t="s">
        <v>41</v>
      </c>
      <c r="AB661" s="2">
        <v>2</v>
      </c>
      <c r="AC661" s="2">
        <f>SUMIF(N:N,Ecommerce_Consumer_Behavior_Analysis_Data3[[#This Row],[Brand_Loyalty]],M:M)</f>
        <v>597</v>
      </c>
      <c r="AD661" s="2" t="e" cm="1" vm="1">
        <f t="array" aca="1" ref="AD661" ca="1">SUMIFS(Y:Y,Ecommerce_Consumer_Behavior_Analysis_Data3[[#This Row],[Payment_Method]],V:V)</f>
        <v>#VALUE!</v>
      </c>
      <c r="AE661" s="2">
        <f t="shared" si="14"/>
        <v>426.22</v>
      </c>
    </row>
    <row r="662" spans="1:31" x14ac:dyDescent="0.25">
      <c r="A662" s="2" t="s">
        <v>1397</v>
      </c>
      <c r="B662" s="2">
        <v>33</v>
      </c>
      <c r="C662" s="2" t="s">
        <v>43</v>
      </c>
      <c r="D662" s="2" t="s">
        <v>44</v>
      </c>
      <c r="E662" s="2" t="s">
        <v>76</v>
      </c>
      <c r="F662" s="2" t="s">
        <v>45</v>
      </c>
      <c r="G662" s="2" t="s">
        <v>44</v>
      </c>
      <c r="H662" s="2" t="s">
        <v>1398</v>
      </c>
      <c r="I662" s="2" t="s">
        <v>82</v>
      </c>
      <c r="J662" s="2">
        <v>55.73</v>
      </c>
      <c r="K662" s="2">
        <v>12</v>
      </c>
      <c r="L662" s="2" t="s">
        <v>48</v>
      </c>
      <c r="M662" s="2">
        <v>4</v>
      </c>
      <c r="N662" s="2">
        <v>3</v>
      </c>
      <c r="O662" s="2">
        <v>0.3</v>
      </c>
      <c r="P662" s="2" t="s">
        <v>49</v>
      </c>
      <c r="Q662" s="2" t="s">
        <v>50</v>
      </c>
      <c r="R662" s="2">
        <v>1</v>
      </c>
      <c r="S662" s="2">
        <v>3</v>
      </c>
      <c r="T662" s="2" t="s">
        <v>44</v>
      </c>
      <c r="U662" s="2" t="s">
        <v>38</v>
      </c>
      <c r="V662" s="2" t="s">
        <v>51</v>
      </c>
      <c r="W662" s="3">
        <v>45431</v>
      </c>
      <c r="X662" s="2" t="b">
        <v>0</v>
      </c>
      <c r="Y662" s="2" t="b">
        <v>1</v>
      </c>
      <c r="Z662" s="2" t="s">
        <v>40</v>
      </c>
      <c r="AA662" s="2" t="s">
        <v>67</v>
      </c>
      <c r="AB662" s="2">
        <v>3</v>
      </c>
      <c r="AC662" s="2">
        <f>SUMIF(N:N,Ecommerce_Consumer_Behavior_Analysis_Data3[[#This Row],[Brand_Loyalty]],M:M)</f>
        <v>603</v>
      </c>
      <c r="AD662" s="2" t="e" cm="1" vm="1">
        <f t="array" aca="1" ref="AD662" ca="1">SUMIFS(Y:Y,Ecommerce_Consumer_Behavior_Analysis_Data3[[#This Row],[Payment_Method]],V:V)</f>
        <v>#VALUE!</v>
      </c>
      <c r="AE662" s="2">
        <f t="shared" si="14"/>
        <v>333.8</v>
      </c>
    </row>
    <row r="663" spans="1:31" x14ac:dyDescent="0.25">
      <c r="A663" s="2" t="s">
        <v>1399</v>
      </c>
      <c r="B663" s="2">
        <v>46</v>
      </c>
      <c r="C663" s="2" t="s">
        <v>43</v>
      </c>
      <c r="D663" s="2" t="s">
        <v>44</v>
      </c>
      <c r="E663" s="2" t="s">
        <v>55</v>
      </c>
      <c r="F663" s="2" t="s">
        <v>32</v>
      </c>
      <c r="G663" s="2" t="s">
        <v>44</v>
      </c>
      <c r="H663" s="2" t="s">
        <v>1400</v>
      </c>
      <c r="I663" s="2" t="s">
        <v>120</v>
      </c>
      <c r="J663" s="2">
        <v>256.44</v>
      </c>
      <c r="K663" s="2">
        <v>8</v>
      </c>
      <c r="L663" s="2" t="s">
        <v>48</v>
      </c>
      <c r="M663" s="2">
        <v>4</v>
      </c>
      <c r="N663" s="2">
        <v>1</v>
      </c>
      <c r="O663" s="2">
        <v>2</v>
      </c>
      <c r="P663" s="2" t="s">
        <v>44</v>
      </c>
      <c r="Q663" s="2" t="s">
        <v>37</v>
      </c>
      <c r="R663" s="2">
        <v>1</v>
      </c>
      <c r="S663" s="2">
        <v>6</v>
      </c>
      <c r="T663" s="2" t="s">
        <v>49</v>
      </c>
      <c r="U663" s="2" t="s">
        <v>38</v>
      </c>
      <c r="V663" s="2" t="s">
        <v>66</v>
      </c>
      <c r="W663" s="3">
        <v>45508</v>
      </c>
      <c r="X663" s="2" t="b">
        <v>0</v>
      </c>
      <c r="Y663" s="2" t="b">
        <v>0</v>
      </c>
      <c r="Z663" s="2" t="s">
        <v>52</v>
      </c>
      <c r="AA663" s="2" t="s">
        <v>67</v>
      </c>
      <c r="AB663" s="2">
        <v>3</v>
      </c>
      <c r="AC663" s="2">
        <f>SUMIF(N:N,Ecommerce_Consumer_Behavior_Analysis_Data3[[#This Row],[Brand_Loyalty]],M:M)</f>
        <v>603</v>
      </c>
      <c r="AD663" s="2" t="e" cm="1" vm="1">
        <f t="array" aca="1" ref="AD663" ca="1">SUMIFS(Y:Y,Ecommerce_Consumer_Behavior_Analysis_Data3[[#This Row],[Payment_Method]],V:V)</f>
        <v>#VALUE!</v>
      </c>
      <c r="AE663" s="2">
        <f t="shared" si="14"/>
        <v>101.31</v>
      </c>
    </row>
    <row r="664" spans="1:31" x14ac:dyDescent="0.25">
      <c r="A664" s="2" t="s">
        <v>1401</v>
      </c>
      <c r="B664" s="2">
        <v>23</v>
      </c>
      <c r="C664" s="2" t="s">
        <v>29</v>
      </c>
      <c r="D664" s="2" t="s">
        <v>44</v>
      </c>
      <c r="E664" s="2" t="s">
        <v>31</v>
      </c>
      <c r="F664" s="2" t="s">
        <v>32</v>
      </c>
      <c r="G664" s="2" t="s">
        <v>44</v>
      </c>
      <c r="H664" s="2" t="s">
        <v>1402</v>
      </c>
      <c r="I664" s="2" t="s">
        <v>126</v>
      </c>
      <c r="J664" s="2">
        <v>337.21</v>
      </c>
      <c r="K664" s="2">
        <v>12</v>
      </c>
      <c r="L664" s="2" t="s">
        <v>78</v>
      </c>
      <c r="M664" s="2">
        <v>1</v>
      </c>
      <c r="N664" s="2">
        <v>5</v>
      </c>
      <c r="O664" s="2">
        <v>1</v>
      </c>
      <c r="P664" s="2" t="s">
        <v>59</v>
      </c>
      <c r="Q664" s="2" t="s">
        <v>37</v>
      </c>
      <c r="R664" s="2">
        <v>0</v>
      </c>
      <c r="S664" s="2">
        <v>9</v>
      </c>
      <c r="T664" s="2" t="s">
        <v>36</v>
      </c>
      <c r="U664" s="2" t="s">
        <v>60</v>
      </c>
      <c r="V664" s="2" t="s">
        <v>61</v>
      </c>
      <c r="W664" s="3">
        <v>45589</v>
      </c>
      <c r="X664" s="2" t="b">
        <v>1</v>
      </c>
      <c r="Y664" s="2" t="b">
        <v>1</v>
      </c>
      <c r="Z664" s="2" t="s">
        <v>74</v>
      </c>
      <c r="AA664" s="2" t="s">
        <v>67</v>
      </c>
      <c r="AB664" s="2">
        <v>11</v>
      </c>
      <c r="AC664" s="2">
        <f>SUMIF(N:N,Ecommerce_Consumer_Behavior_Analysis_Data3[[#This Row],[Brand_Loyalty]],M:M)</f>
        <v>603</v>
      </c>
      <c r="AD664" s="2" t="e" cm="1" vm="1">
        <f t="array" aca="1" ref="AD664" ca="1">SUMIFS(Y:Y,Ecommerce_Consumer_Behavior_Analysis_Data3[[#This Row],[Payment_Method]],V:V)</f>
        <v>#VALUE!</v>
      </c>
      <c r="AE664" s="2">
        <f t="shared" si="14"/>
        <v>333.8</v>
      </c>
    </row>
    <row r="665" spans="1:31" x14ac:dyDescent="0.25">
      <c r="A665" s="2" t="s">
        <v>1403</v>
      </c>
      <c r="B665" s="2">
        <v>35</v>
      </c>
      <c r="C665" s="2" t="s">
        <v>29</v>
      </c>
      <c r="D665" s="2" t="s">
        <v>44</v>
      </c>
      <c r="E665" s="2" t="s">
        <v>55</v>
      </c>
      <c r="F665" s="2" t="s">
        <v>56</v>
      </c>
      <c r="G665" s="2" t="s">
        <v>30</v>
      </c>
      <c r="H665" s="2" t="s">
        <v>1404</v>
      </c>
      <c r="I665" s="2" t="s">
        <v>120</v>
      </c>
      <c r="J665" s="2">
        <v>494.97</v>
      </c>
      <c r="K665" s="2">
        <v>12</v>
      </c>
      <c r="L665" s="2" t="s">
        <v>48</v>
      </c>
      <c r="M665" s="2">
        <v>5</v>
      </c>
      <c r="N665" s="2">
        <v>4</v>
      </c>
      <c r="O665" s="2">
        <v>2</v>
      </c>
      <c r="P665" s="2" t="s">
        <v>59</v>
      </c>
      <c r="Q665" s="2" t="s">
        <v>50</v>
      </c>
      <c r="R665" s="2">
        <v>1</v>
      </c>
      <c r="S665" s="2">
        <v>5</v>
      </c>
      <c r="T665" s="2" t="s">
        <v>59</v>
      </c>
      <c r="U665" s="2" t="s">
        <v>38</v>
      </c>
      <c r="V665" s="2" t="s">
        <v>61</v>
      </c>
      <c r="W665" s="3">
        <v>45520</v>
      </c>
      <c r="X665" s="2" t="b">
        <v>0</v>
      </c>
      <c r="Y665" s="2" t="b">
        <v>0</v>
      </c>
      <c r="Z665" s="2" t="s">
        <v>74</v>
      </c>
      <c r="AA665" s="2" t="s">
        <v>41</v>
      </c>
      <c r="AB665" s="2">
        <v>7</v>
      </c>
      <c r="AC665" s="2">
        <f>SUMIF(N:N,Ecommerce_Consumer_Behavior_Analysis_Data3[[#This Row],[Brand_Loyalty]],M:M)</f>
        <v>641</v>
      </c>
      <c r="AD665" s="2" t="e" cm="1" vm="1">
        <f t="array" aca="1" ref="AD665" ca="1">SUMIFS(Y:Y,Ecommerce_Consumer_Behavior_Analysis_Data3[[#This Row],[Payment_Method]],V:V)</f>
        <v>#VALUE!</v>
      </c>
      <c r="AE665" s="2">
        <f t="shared" si="14"/>
        <v>333.8</v>
      </c>
    </row>
    <row r="666" spans="1:31" x14ac:dyDescent="0.25">
      <c r="A666" s="2" t="s">
        <v>1405</v>
      </c>
      <c r="B666" s="2">
        <v>31</v>
      </c>
      <c r="C666" s="2" t="s">
        <v>29</v>
      </c>
      <c r="D666" s="2" t="s">
        <v>30</v>
      </c>
      <c r="E666" s="2" t="s">
        <v>69</v>
      </c>
      <c r="F666" s="2" t="s">
        <v>45</v>
      </c>
      <c r="G666" s="2" t="s">
        <v>44</v>
      </c>
      <c r="H666" s="2" t="s">
        <v>1406</v>
      </c>
      <c r="I666" s="2" t="s">
        <v>135</v>
      </c>
      <c r="J666" s="2">
        <v>238.58</v>
      </c>
      <c r="K666" s="2">
        <v>6</v>
      </c>
      <c r="L666" s="2" t="s">
        <v>78</v>
      </c>
      <c r="M666" s="2">
        <v>3</v>
      </c>
      <c r="N666" s="2">
        <v>2</v>
      </c>
      <c r="O666" s="2">
        <v>2</v>
      </c>
      <c r="P666" s="2" t="s">
        <v>49</v>
      </c>
      <c r="Q666" s="2" t="s">
        <v>85</v>
      </c>
      <c r="R666" s="2">
        <v>2</v>
      </c>
      <c r="S666" s="2">
        <v>9</v>
      </c>
      <c r="T666" s="2" t="s">
        <v>49</v>
      </c>
      <c r="U666" s="2" t="s">
        <v>38</v>
      </c>
      <c r="V666" s="2" t="s">
        <v>51</v>
      </c>
      <c r="W666" s="3">
        <v>45454</v>
      </c>
      <c r="X666" s="2" t="b">
        <v>1</v>
      </c>
      <c r="Y666" s="2" t="b">
        <v>1</v>
      </c>
      <c r="Z666" s="2" t="s">
        <v>52</v>
      </c>
      <c r="AA666" s="2" t="s">
        <v>53</v>
      </c>
      <c r="AB666" s="2">
        <v>8</v>
      </c>
      <c r="AC666" s="2">
        <f>SUMIF(N:N,Ecommerce_Consumer_Behavior_Analysis_Data3[[#This Row],[Brand_Loyalty]],M:M)</f>
        <v>597</v>
      </c>
      <c r="AD666" s="2" t="e" cm="1" vm="1">
        <f t="array" aca="1" ref="AD666" ca="1">SUMIFS(Y:Y,Ecommerce_Consumer_Behavior_Analysis_Data3[[#This Row],[Payment_Method]],V:V)</f>
        <v>#VALUE!</v>
      </c>
      <c r="AE666" s="2">
        <f t="shared" si="14"/>
        <v>211.7</v>
      </c>
    </row>
    <row r="667" spans="1:31" x14ac:dyDescent="0.25">
      <c r="A667" s="2" t="s">
        <v>1407</v>
      </c>
      <c r="B667" s="2">
        <v>20</v>
      </c>
      <c r="C667" s="2" t="s">
        <v>29</v>
      </c>
      <c r="D667" s="2" t="s">
        <v>44</v>
      </c>
      <c r="E667" s="2" t="s">
        <v>55</v>
      </c>
      <c r="F667" s="2" t="s">
        <v>32</v>
      </c>
      <c r="G667" s="2" t="s">
        <v>44</v>
      </c>
      <c r="H667" s="2" t="s">
        <v>1408</v>
      </c>
      <c r="I667" s="2" t="s">
        <v>90</v>
      </c>
      <c r="J667" s="2">
        <v>131.9</v>
      </c>
      <c r="K667" s="2">
        <v>8</v>
      </c>
      <c r="L667" s="2" t="s">
        <v>35</v>
      </c>
      <c r="M667" s="2">
        <v>3</v>
      </c>
      <c r="N667" s="2">
        <v>5</v>
      </c>
      <c r="O667" s="2">
        <v>0</v>
      </c>
      <c r="P667" s="2" t="s">
        <v>36</v>
      </c>
      <c r="Q667" s="2" t="s">
        <v>50</v>
      </c>
      <c r="R667" s="2">
        <v>2</v>
      </c>
      <c r="S667" s="2">
        <v>4</v>
      </c>
      <c r="T667" s="2" t="s">
        <v>49</v>
      </c>
      <c r="U667" s="2" t="s">
        <v>38</v>
      </c>
      <c r="V667" s="2" t="s">
        <v>39</v>
      </c>
      <c r="W667" s="3">
        <v>45597</v>
      </c>
      <c r="X667" s="2" t="b">
        <v>1</v>
      </c>
      <c r="Y667" s="2" t="b">
        <v>1</v>
      </c>
      <c r="Z667" s="2" t="s">
        <v>74</v>
      </c>
      <c r="AA667" s="2" t="s">
        <v>41</v>
      </c>
      <c r="AB667" s="2">
        <v>4</v>
      </c>
      <c r="AC667" s="2">
        <f>SUMIF(N:N,Ecommerce_Consumer_Behavior_Analysis_Data3[[#This Row],[Brand_Loyalty]],M:M)</f>
        <v>597</v>
      </c>
      <c r="AD667" s="2" t="e" cm="1" vm="1">
        <f t="array" aca="1" ref="AD667" ca="1">SUMIFS(Y:Y,Ecommerce_Consumer_Behavior_Analysis_Data3[[#This Row],[Payment_Method]],V:V)</f>
        <v>#VALUE!</v>
      </c>
      <c r="AE667" s="2">
        <f t="shared" si="14"/>
        <v>101.31</v>
      </c>
    </row>
    <row r="668" spans="1:31" x14ac:dyDescent="0.25">
      <c r="A668" s="2" t="s">
        <v>1409</v>
      </c>
      <c r="B668" s="2">
        <v>49</v>
      </c>
      <c r="C668" s="2" t="s">
        <v>29</v>
      </c>
      <c r="D668" s="2" t="s">
        <v>30</v>
      </c>
      <c r="E668" s="2" t="s">
        <v>31</v>
      </c>
      <c r="F668" s="2" t="s">
        <v>32</v>
      </c>
      <c r="G668" s="2" t="s">
        <v>44</v>
      </c>
      <c r="H668" s="2" t="s">
        <v>1410</v>
      </c>
      <c r="I668" s="2" t="s">
        <v>47</v>
      </c>
      <c r="J668" s="2">
        <v>403.03</v>
      </c>
      <c r="K668" s="2">
        <v>12</v>
      </c>
      <c r="L668" s="2" t="s">
        <v>35</v>
      </c>
      <c r="M668" s="2">
        <v>1</v>
      </c>
      <c r="N668" s="2">
        <v>5</v>
      </c>
      <c r="O668" s="2">
        <v>1</v>
      </c>
      <c r="P668" s="2" t="s">
        <v>49</v>
      </c>
      <c r="Q668" s="2" t="s">
        <v>37</v>
      </c>
      <c r="R668" s="2">
        <v>0</v>
      </c>
      <c r="S668" s="2">
        <v>1</v>
      </c>
      <c r="T668" s="2" t="s">
        <v>44</v>
      </c>
      <c r="U668" s="2" t="s">
        <v>38</v>
      </c>
      <c r="V668" s="2" t="s">
        <v>66</v>
      </c>
      <c r="W668" s="3">
        <v>45526</v>
      </c>
      <c r="X668" s="2" t="b">
        <v>1</v>
      </c>
      <c r="Y668" s="2" t="b">
        <v>1</v>
      </c>
      <c r="Z668" s="2" t="s">
        <v>52</v>
      </c>
      <c r="AA668" s="2" t="s">
        <v>53</v>
      </c>
      <c r="AB668" s="2">
        <v>2</v>
      </c>
      <c r="AC668" s="2">
        <f>SUMIF(N:N,Ecommerce_Consumer_Behavior_Analysis_Data3[[#This Row],[Brand_Loyalty]],M:M)</f>
        <v>603</v>
      </c>
      <c r="AD668" s="2" t="e" cm="1" vm="1">
        <f t="array" aca="1" ref="AD668" ca="1">SUMIFS(Y:Y,Ecommerce_Consumer_Behavior_Analysis_Data3[[#This Row],[Payment_Method]],V:V)</f>
        <v>#VALUE!</v>
      </c>
      <c r="AE668" s="2">
        <f t="shared" si="14"/>
        <v>333.8</v>
      </c>
    </row>
    <row r="669" spans="1:31" x14ac:dyDescent="0.25">
      <c r="A669" s="2" t="s">
        <v>1411</v>
      </c>
      <c r="B669" s="2">
        <v>26</v>
      </c>
      <c r="C669" s="2" t="s">
        <v>29</v>
      </c>
      <c r="D669" s="2" t="s">
        <v>44</v>
      </c>
      <c r="E669" s="2" t="s">
        <v>69</v>
      </c>
      <c r="F669" s="2" t="s">
        <v>32</v>
      </c>
      <c r="G669" s="2" t="s">
        <v>44</v>
      </c>
      <c r="H669" s="2" t="s">
        <v>1412</v>
      </c>
      <c r="I669" s="2" t="s">
        <v>142</v>
      </c>
      <c r="J669" s="2">
        <v>338.6</v>
      </c>
      <c r="K669" s="2">
        <v>10</v>
      </c>
      <c r="L669" s="2" t="s">
        <v>48</v>
      </c>
      <c r="M669" s="2">
        <v>1</v>
      </c>
      <c r="N669" s="2">
        <v>3</v>
      </c>
      <c r="O669" s="2">
        <v>2</v>
      </c>
      <c r="P669" s="2" t="s">
        <v>49</v>
      </c>
      <c r="Q669" s="2" t="s">
        <v>37</v>
      </c>
      <c r="R669" s="2">
        <v>1</v>
      </c>
      <c r="S669" s="2">
        <v>3</v>
      </c>
      <c r="T669" s="2" t="s">
        <v>49</v>
      </c>
      <c r="U669" s="2" t="s">
        <v>79</v>
      </c>
      <c r="V669" s="2" t="s">
        <v>66</v>
      </c>
      <c r="W669" s="3">
        <v>45528</v>
      </c>
      <c r="X669" s="2" t="b">
        <v>0</v>
      </c>
      <c r="Y669" s="2" t="b">
        <v>0</v>
      </c>
      <c r="Z669" s="2" t="s">
        <v>74</v>
      </c>
      <c r="AA669" s="2" t="s">
        <v>41</v>
      </c>
      <c r="AB669" s="2">
        <v>9</v>
      </c>
      <c r="AC669" s="2">
        <f>SUMIF(N:N,Ecommerce_Consumer_Behavior_Analysis_Data3[[#This Row],[Brand_Loyalty]],M:M)</f>
        <v>603</v>
      </c>
      <c r="AD669" s="2" t="e" cm="1" vm="1">
        <f t="array" aca="1" ref="AD669" ca="1">SUMIFS(Y:Y,Ecommerce_Consumer_Behavior_Analysis_Data3[[#This Row],[Payment_Method]],V:V)</f>
        <v>#VALUE!</v>
      </c>
      <c r="AE669" s="2">
        <f t="shared" si="14"/>
        <v>211.7</v>
      </c>
    </row>
    <row r="670" spans="1:31" x14ac:dyDescent="0.25">
      <c r="A670" s="2" t="s">
        <v>1413</v>
      </c>
      <c r="B670" s="2">
        <v>36</v>
      </c>
      <c r="C670" s="2" t="s">
        <v>43</v>
      </c>
      <c r="D670" s="2" t="s">
        <v>30</v>
      </c>
      <c r="E670" s="2" t="s">
        <v>69</v>
      </c>
      <c r="F670" s="2" t="s">
        <v>45</v>
      </c>
      <c r="G670" s="2" t="s">
        <v>44</v>
      </c>
      <c r="H670" s="2" t="s">
        <v>1414</v>
      </c>
      <c r="I670" s="2" t="s">
        <v>71</v>
      </c>
      <c r="J670" s="2">
        <v>365.38</v>
      </c>
      <c r="K670" s="2">
        <v>11</v>
      </c>
      <c r="L670" s="2" t="s">
        <v>78</v>
      </c>
      <c r="M670" s="2">
        <v>1</v>
      </c>
      <c r="N670" s="2">
        <v>4</v>
      </c>
      <c r="O670" s="2">
        <v>0</v>
      </c>
      <c r="P670" s="2" t="s">
        <v>44</v>
      </c>
      <c r="Q670" s="2" t="s">
        <v>37</v>
      </c>
      <c r="R670" s="2">
        <v>0</v>
      </c>
      <c r="S670" s="2">
        <v>9</v>
      </c>
      <c r="T670" s="2" t="s">
        <v>49</v>
      </c>
      <c r="U670" s="2" t="s">
        <v>79</v>
      </c>
      <c r="V670" s="2" t="s">
        <v>86</v>
      </c>
      <c r="W670" s="3">
        <v>45505</v>
      </c>
      <c r="X670" s="2" t="b">
        <v>0</v>
      </c>
      <c r="Y670" s="2" t="b">
        <v>0</v>
      </c>
      <c r="Z670" s="2" t="s">
        <v>52</v>
      </c>
      <c r="AA670" s="2" t="s">
        <v>67</v>
      </c>
      <c r="AB670" s="2">
        <v>14</v>
      </c>
      <c r="AC670" s="2">
        <f>SUMIF(N:N,Ecommerce_Consumer_Behavior_Analysis_Data3[[#This Row],[Brand_Loyalty]],M:M)</f>
        <v>603</v>
      </c>
      <c r="AD670" s="2" t="e" cm="1" vm="1">
        <f t="array" aca="1" ref="AD670" ca="1">SUMIFS(Y:Y,Ecommerce_Consumer_Behavior_Analysis_Data3[[#This Row],[Payment_Method]],V:V)</f>
        <v>#VALUE!</v>
      </c>
      <c r="AE670" s="2">
        <f t="shared" si="14"/>
        <v>101.31</v>
      </c>
    </row>
    <row r="671" spans="1:31" x14ac:dyDescent="0.25">
      <c r="A671" s="2" t="s">
        <v>1415</v>
      </c>
      <c r="B671" s="2">
        <v>21</v>
      </c>
      <c r="C671" s="2" t="s">
        <v>43</v>
      </c>
      <c r="D671" s="2" t="s">
        <v>30</v>
      </c>
      <c r="E671" s="2" t="s">
        <v>31</v>
      </c>
      <c r="F671" s="2" t="s">
        <v>45</v>
      </c>
      <c r="G671" s="2" t="s">
        <v>44</v>
      </c>
      <c r="H671" s="2" t="s">
        <v>1416</v>
      </c>
      <c r="I671" s="2" t="s">
        <v>90</v>
      </c>
      <c r="J671" s="2">
        <v>433.99</v>
      </c>
      <c r="K671" s="2">
        <v>11</v>
      </c>
      <c r="L671" s="2" t="s">
        <v>35</v>
      </c>
      <c r="M671" s="2">
        <v>3</v>
      </c>
      <c r="N671" s="2">
        <v>2</v>
      </c>
      <c r="O671" s="2">
        <v>1</v>
      </c>
      <c r="P671" s="2" t="s">
        <v>44</v>
      </c>
      <c r="Q671" s="2" t="s">
        <v>50</v>
      </c>
      <c r="R671" s="2">
        <v>0</v>
      </c>
      <c r="S671" s="2">
        <v>2</v>
      </c>
      <c r="T671" s="2" t="s">
        <v>36</v>
      </c>
      <c r="U671" s="2" t="s">
        <v>79</v>
      </c>
      <c r="V671" s="2" t="s">
        <v>39</v>
      </c>
      <c r="W671" s="3">
        <v>45331</v>
      </c>
      <c r="X671" s="2" t="b">
        <v>0</v>
      </c>
      <c r="Y671" s="2" t="b">
        <v>0</v>
      </c>
      <c r="Z671" s="2" t="s">
        <v>40</v>
      </c>
      <c r="AA671" s="2" t="s">
        <v>41</v>
      </c>
      <c r="AB671" s="2">
        <v>8</v>
      </c>
      <c r="AC671" s="2">
        <f>SUMIF(N:N,Ecommerce_Consumer_Behavior_Analysis_Data3[[#This Row],[Brand_Loyalty]],M:M)</f>
        <v>597</v>
      </c>
      <c r="AD671" s="2" t="e" cm="1" vm="1">
        <f t="array" aca="1" ref="AD671" ca="1">SUMIFS(Y:Y,Ecommerce_Consumer_Behavior_Analysis_Data3[[#This Row],[Payment_Method]],V:V)</f>
        <v>#VALUE!</v>
      </c>
      <c r="AE671" s="2">
        <f t="shared" si="14"/>
        <v>211.7</v>
      </c>
    </row>
    <row r="672" spans="1:31" x14ac:dyDescent="0.25">
      <c r="A672" s="2" t="s">
        <v>1417</v>
      </c>
      <c r="B672" s="2">
        <v>35</v>
      </c>
      <c r="C672" s="2" t="s">
        <v>29</v>
      </c>
      <c r="D672" s="2" t="s">
        <v>30</v>
      </c>
      <c r="E672" s="2" t="s">
        <v>69</v>
      </c>
      <c r="F672" s="2" t="s">
        <v>45</v>
      </c>
      <c r="G672" s="2" t="s">
        <v>30</v>
      </c>
      <c r="H672" s="2" t="s">
        <v>1418</v>
      </c>
      <c r="I672" s="2" t="s">
        <v>104</v>
      </c>
      <c r="J672" s="2">
        <v>495.95</v>
      </c>
      <c r="K672" s="2">
        <v>5</v>
      </c>
      <c r="L672" s="2" t="s">
        <v>48</v>
      </c>
      <c r="M672" s="2">
        <v>4</v>
      </c>
      <c r="N672" s="2">
        <v>2</v>
      </c>
      <c r="O672" s="2">
        <v>0</v>
      </c>
      <c r="P672" s="2" t="s">
        <v>44</v>
      </c>
      <c r="Q672" s="2" t="s">
        <v>85</v>
      </c>
      <c r="R672" s="2">
        <v>1</v>
      </c>
      <c r="S672" s="2">
        <v>7</v>
      </c>
      <c r="T672" s="2" t="s">
        <v>36</v>
      </c>
      <c r="U672" s="2" t="s">
        <v>60</v>
      </c>
      <c r="V672" s="2" t="s">
        <v>66</v>
      </c>
      <c r="W672" s="3">
        <v>45392</v>
      </c>
      <c r="X672" s="2" t="b">
        <v>0</v>
      </c>
      <c r="Y672" s="2" t="b">
        <v>0</v>
      </c>
      <c r="Z672" s="2" t="s">
        <v>74</v>
      </c>
      <c r="AA672" s="2" t="s">
        <v>41</v>
      </c>
      <c r="AB672" s="2">
        <v>6</v>
      </c>
      <c r="AC672" s="2">
        <f>SUMIF(N:N,Ecommerce_Consumer_Behavior_Analysis_Data3[[#This Row],[Brand_Loyalty]],M:M)</f>
        <v>603</v>
      </c>
      <c r="AD672" s="2" t="e" cm="1" vm="1">
        <f t="array" aca="1" ref="AD672" ca="1">SUMIFS(Y:Y,Ecommerce_Consumer_Behavior_Analysis_Data3[[#This Row],[Payment_Method]],V:V)</f>
        <v>#VALUE!</v>
      </c>
      <c r="AE672" s="2">
        <f t="shared" si="14"/>
        <v>211.7</v>
      </c>
    </row>
    <row r="673" spans="1:31" x14ac:dyDescent="0.25">
      <c r="A673" s="2" t="s">
        <v>1419</v>
      </c>
      <c r="B673" s="2">
        <v>41</v>
      </c>
      <c r="C673" s="2" t="s">
        <v>43</v>
      </c>
      <c r="D673" s="2" t="s">
        <v>44</v>
      </c>
      <c r="E673" s="2" t="s">
        <v>31</v>
      </c>
      <c r="F673" s="2" t="s">
        <v>45</v>
      </c>
      <c r="G673" s="2" t="s">
        <v>30</v>
      </c>
      <c r="H673" s="2" t="s">
        <v>1420</v>
      </c>
      <c r="I673" s="2" t="s">
        <v>123</v>
      </c>
      <c r="J673" s="2">
        <v>356.22</v>
      </c>
      <c r="K673" s="2">
        <v>7</v>
      </c>
      <c r="L673" s="2" t="s">
        <v>48</v>
      </c>
      <c r="M673" s="2">
        <v>2</v>
      </c>
      <c r="N673" s="2">
        <v>5</v>
      </c>
      <c r="O673" s="2">
        <v>0</v>
      </c>
      <c r="P673" s="2" t="s">
        <v>49</v>
      </c>
      <c r="Q673" s="2" t="s">
        <v>85</v>
      </c>
      <c r="R673" s="2">
        <v>1</v>
      </c>
      <c r="S673" s="2">
        <v>7</v>
      </c>
      <c r="T673" s="2" t="s">
        <v>44</v>
      </c>
      <c r="U673" s="2" t="s">
        <v>60</v>
      </c>
      <c r="V673" s="2" t="s">
        <v>39</v>
      </c>
      <c r="W673" s="3">
        <v>45453</v>
      </c>
      <c r="X673" s="2" t="b">
        <v>0</v>
      </c>
      <c r="Y673" s="2" t="b">
        <v>1</v>
      </c>
      <c r="Z673" s="2" t="s">
        <v>74</v>
      </c>
      <c r="AA673" s="2" t="s">
        <v>67</v>
      </c>
      <c r="AB673" s="2">
        <v>6</v>
      </c>
      <c r="AC673" s="2">
        <f>SUMIF(N:N,Ecommerce_Consumer_Behavior_Analysis_Data3[[#This Row],[Brand_Loyalty]],M:M)</f>
        <v>582</v>
      </c>
      <c r="AD673" s="2" t="e" cm="1" vm="1">
        <f t="array" aca="1" ref="AD673" ca="1">SUMIFS(Y:Y,Ecommerce_Consumer_Behavior_Analysis_Data3[[#This Row],[Payment_Method]],V:V)</f>
        <v>#VALUE!</v>
      </c>
      <c r="AE673" s="2">
        <f t="shared" si="14"/>
        <v>333.8</v>
      </c>
    </row>
    <row r="674" spans="1:31" x14ac:dyDescent="0.25">
      <c r="A674" s="2" t="s">
        <v>1421</v>
      </c>
      <c r="B674" s="2">
        <v>22</v>
      </c>
      <c r="C674" s="2" t="s">
        <v>352</v>
      </c>
      <c r="D674" s="2" t="s">
        <v>44</v>
      </c>
      <c r="E674" s="2" t="s">
        <v>55</v>
      </c>
      <c r="F674" s="2" t="s">
        <v>45</v>
      </c>
      <c r="G674" s="2" t="s">
        <v>30</v>
      </c>
      <c r="H674" s="2" t="s">
        <v>1422</v>
      </c>
      <c r="I674" s="2" t="s">
        <v>142</v>
      </c>
      <c r="J674" s="2">
        <v>156.4</v>
      </c>
      <c r="K674" s="2">
        <v>7</v>
      </c>
      <c r="L674" s="2" t="s">
        <v>48</v>
      </c>
      <c r="M674" s="2">
        <v>4</v>
      </c>
      <c r="N674" s="2">
        <v>5</v>
      </c>
      <c r="O674" s="2">
        <v>2</v>
      </c>
      <c r="P674" s="2" t="s">
        <v>59</v>
      </c>
      <c r="Q674" s="2" t="s">
        <v>37</v>
      </c>
      <c r="R674" s="2">
        <v>1</v>
      </c>
      <c r="S674" s="2">
        <v>7</v>
      </c>
      <c r="T674" s="2" t="s">
        <v>59</v>
      </c>
      <c r="U674" s="2" t="s">
        <v>79</v>
      </c>
      <c r="V674" s="2" t="s">
        <v>39</v>
      </c>
      <c r="W674" s="3">
        <v>45603</v>
      </c>
      <c r="X674" s="2" t="b">
        <v>0</v>
      </c>
      <c r="Y674" s="2" t="b">
        <v>1</v>
      </c>
      <c r="Z674" s="2" t="s">
        <v>40</v>
      </c>
      <c r="AA674" s="2" t="s">
        <v>53</v>
      </c>
      <c r="AB674" s="2">
        <v>4</v>
      </c>
      <c r="AC674" s="2">
        <f>SUMIF(N:N,Ecommerce_Consumer_Behavior_Analysis_Data3[[#This Row],[Brand_Loyalty]],M:M)</f>
        <v>603</v>
      </c>
      <c r="AD674" s="2" t="e" cm="1" vm="1">
        <f t="array" aca="1" ref="AD674" ca="1">SUMIFS(Y:Y,Ecommerce_Consumer_Behavior_Analysis_Data3[[#This Row],[Payment_Method]],V:V)</f>
        <v>#VALUE!</v>
      </c>
      <c r="AE674" s="2">
        <f t="shared" si="14"/>
        <v>101.31</v>
      </c>
    </row>
    <row r="675" spans="1:31" x14ac:dyDescent="0.25">
      <c r="A675" s="2" t="s">
        <v>1423</v>
      </c>
      <c r="B675" s="2">
        <v>42</v>
      </c>
      <c r="C675" s="2" t="s">
        <v>43</v>
      </c>
      <c r="D675" s="2" t="s">
        <v>30</v>
      </c>
      <c r="E675" s="2" t="s">
        <v>55</v>
      </c>
      <c r="F675" s="2" t="s">
        <v>56</v>
      </c>
      <c r="G675" s="2" t="s">
        <v>30</v>
      </c>
      <c r="H675" s="2" t="s">
        <v>1424</v>
      </c>
      <c r="I675" s="2" t="s">
        <v>90</v>
      </c>
      <c r="J675" s="2">
        <v>454.36</v>
      </c>
      <c r="K675" s="2">
        <v>3</v>
      </c>
      <c r="L675" s="2" t="s">
        <v>48</v>
      </c>
      <c r="M675" s="2">
        <v>4</v>
      </c>
      <c r="N675" s="2">
        <v>5</v>
      </c>
      <c r="O675" s="2">
        <v>1</v>
      </c>
      <c r="P675" s="2" t="s">
        <v>59</v>
      </c>
      <c r="Q675" s="2" t="s">
        <v>85</v>
      </c>
      <c r="R675" s="2">
        <v>1</v>
      </c>
      <c r="S675" s="2">
        <v>8</v>
      </c>
      <c r="T675" s="2" t="s">
        <v>49</v>
      </c>
      <c r="U675" s="2" t="s">
        <v>38</v>
      </c>
      <c r="V675" s="2" t="s">
        <v>86</v>
      </c>
      <c r="W675" s="3">
        <v>45551</v>
      </c>
      <c r="X675" s="2" t="b">
        <v>1</v>
      </c>
      <c r="Y675" s="2" t="b">
        <v>0</v>
      </c>
      <c r="Z675" s="2" t="s">
        <v>74</v>
      </c>
      <c r="AA675" s="2" t="s">
        <v>41</v>
      </c>
      <c r="AB675" s="2">
        <v>12</v>
      </c>
      <c r="AC675" s="2">
        <f>SUMIF(N:N,Ecommerce_Consumer_Behavior_Analysis_Data3[[#This Row],[Brand_Loyalty]],M:M)</f>
        <v>603</v>
      </c>
      <c r="AD675" s="2" t="e" cm="1" vm="1">
        <f t="array" aca="1" ref="AD675" ca="1">SUMIFS(Y:Y,Ecommerce_Consumer_Behavior_Analysis_Data3[[#This Row],[Payment_Method]],V:V)</f>
        <v>#VALUE!</v>
      </c>
      <c r="AE675" s="2">
        <f t="shared" si="14"/>
        <v>211.7</v>
      </c>
    </row>
    <row r="676" spans="1:31" x14ac:dyDescent="0.25">
      <c r="A676" s="2" t="s">
        <v>1425</v>
      </c>
      <c r="B676" s="2">
        <v>50</v>
      </c>
      <c r="C676" s="2" t="s">
        <v>43</v>
      </c>
      <c r="D676" s="2" t="s">
        <v>44</v>
      </c>
      <c r="E676" s="2" t="s">
        <v>55</v>
      </c>
      <c r="F676" s="2" t="s">
        <v>32</v>
      </c>
      <c r="G676" s="2" t="s">
        <v>44</v>
      </c>
      <c r="H676" s="2" t="s">
        <v>1426</v>
      </c>
      <c r="I676" s="2" t="s">
        <v>120</v>
      </c>
      <c r="J676" s="2">
        <v>486.07</v>
      </c>
      <c r="K676" s="2">
        <v>11</v>
      </c>
      <c r="L676" s="2" t="s">
        <v>35</v>
      </c>
      <c r="M676" s="2">
        <v>5</v>
      </c>
      <c r="N676" s="2">
        <v>1</v>
      </c>
      <c r="O676" s="2">
        <v>0</v>
      </c>
      <c r="P676" s="2" t="s">
        <v>49</v>
      </c>
      <c r="Q676" s="2" t="s">
        <v>37</v>
      </c>
      <c r="R676" s="2">
        <v>2</v>
      </c>
      <c r="S676" s="2">
        <v>6</v>
      </c>
      <c r="T676" s="2" t="s">
        <v>36</v>
      </c>
      <c r="U676" s="2" t="s">
        <v>38</v>
      </c>
      <c r="V676" s="2" t="s">
        <v>39</v>
      </c>
      <c r="W676" s="3">
        <v>45307</v>
      </c>
      <c r="X676" s="2" t="b">
        <v>0</v>
      </c>
      <c r="Y676" s="2" t="b">
        <v>0</v>
      </c>
      <c r="Z676" s="2" t="s">
        <v>74</v>
      </c>
      <c r="AA676" s="2" t="s">
        <v>53</v>
      </c>
      <c r="AB676" s="2">
        <v>12</v>
      </c>
      <c r="AC676" s="2">
        <f>SUMIF(N:N,Ecommerce_Consumer_Behavior_Analysis_Data3[[#This Row],[Brand_Loyalty]],M:M)</f>
        <v>641</v>
      </c>
      <c r="AD676" s="2" t="e" cm="1" vm="1">
        <f t="array" aca="1" ref="AD676" ca="1">SUMIFS(Y:Y,Ecommerce_Consumer_Behavior_Analysis_Data3[[#This Row],[Payment_Method]],V:V)</f>
        <v>#VALUE!</v>
      </c>
      <c r="AE676" s="2">
        <f t="shared" si="14"/>
        <v>101.31</v>
      </c>
    </row>
    <row r="677" spans="1:31" x14ac:dyDescent="0.25">
      <c r="A677" s="2" t="s">
        <v>1427</v>
      </c>
      <c r="B677" s="2">
        <v>30</v>
      </c>
      <c r="C677" s="2" t="s">
        <v>29</v>
      </c>
      <c r="D677" s="2" t="s">
        <v>44</v>
      </c>
      <c r="E677" s="2" t="s">
        <v>76</v>
      </c>
      <c r="F677" s="2" t="s">
        <v>45</v>
      </c>
      <c r="G677" s="2" t="s">
        <v>30</v>
      </c>
      <c r="H677" s="2" t="s">
        <v>332</v>
      </c>
      <c r="I677" s="2" t="s">
        <v>114</v>
      </c>
      <c r="J677" s="2">
        <v>427.86</v>
      </c>
      <c r="K677" s="2">
        <v>11</v>
      </c>
      <c r="L677" s="2" t="s">
        <v>35</v>
      </c>
      <c r="M677" s="2">
        <v>4</v>
      </c>
      <c r="N677" s="2">
        <v>3</v>
      </c>
      <c r="O677" s="2">
        <v>1</v>
      </c>
      <c r="P677" s="2" t="s">
        <v>49</v>
      </c>
      <c r="Q677" s="2" t="s">
        <v>50</v>
      </c>
      <c r="R677" s="2">
        <v>0</v>
      </c>
      <c r="S677" s="2">
        <v>6</v>
      </c>
      <c r="T677" s="2" t="s">
        <v>49</v>
      </c>
      <c r="U677" s="2" t="s">
        <v>79</v>
      </c>
      <c r="V677" s="2" t="s">
        <v>61</v>
      </c>
      <c r="W677" s="3">
        <v>45354</v>
      </c>
      <c r="X677" s="2" t="b">
        <v>1</v>
      </c>
      <c r="Y677" s="2" t="b">
        <v>1</v>
      </c>
      <c r="Z677" s="2" t="s">
        <v>40</v>
      </c>
      <c r="AA677" s="2" t="s">
        <v>67</v>
      </c>
      <c r="AB677" s="2">
        <v>8</v>
      </c>
      <c r="AC677" s="2">
        <f>SUMIF(N:N,Ecommerce_Consumer_Behavior_Analysis_Data3[[#This Row],[Brand_Loyalty]],M:M)</f>
        <v>603</v>
      </c>
      <c r="AD677" s="2" t="e" cm="1" vm="1">
        <f t="array" aca="1" ref="AD677" ca="1">SUMIFS(Y:Y,Ecommerce_Consumer_Behavior_Analysis_Data3[[#This Row],[Payment_Method]],V:V)</f>
        <v>#VALUE!</v>
      </c>
      <c r="AE677" s="2">
        <f t="shared" si="14"/>
        <v>101.31</v>
      </c>
    </row>
    <row r="678" spans="1:31" x14ac:dyDescent="0.25">
      <c r="A678" s="2" t="s">
        <v>1428</v>
      </c>
      <c r="B678" s="2">
        <v>49</v>
      </c>
      <c r="C678" s="2" t="s">
        <v>29</v>
      </c>
      <c r="D678" s="2" t="s">
        <v>44</v>
      </c>
      <c r="E678" s="2" t="s">
        <v>76</v>
      </c>
      <c r="F678" s="2" t="s">
        <v>56</v>
      </c>
      <c r="G678" s="2" t="s">
        <v>44</v>
      </c>
      <c r="H678" s="2" t="s">
        <v>1429</v>
      </c>
      <c r="I678" s="2" t="s">
        <v>188</v>
      </c>
      <c r="J678" s="2">
        <v>235.13</v>
      </c>
      <c r="K678" s="2">
        <v>10</v>
      </c>
      <c r="L678" s="2" t="s">
        <v>78</v>
      </c>
      <c r="M678" s="2">
        <v>5</v>
      </c>
      <c r="N678" s="2">
        <v>4</v>
      </c>
      <c r="O678" s="2">
        <v>1</v>
      </c>
      <c r="P678" s="2" t="s">
        <v>49</v>
      </c>
      <c r="Q678" s="2" t="s">
        <v>85</v>
      </c>
      <c r="R678" s="2">
        <v>2</v>
      </c>
      <c r="S678" s="2">
        <v>3</v>
      </c>
      <c r="T678" s="2" t="s">
        <v>36</v>
      </c>
      <c r="U678" s="2" t="s">
        <v>60</v>
      </c>
      <c r="V678" s="2" t="s">
        <v>66</v>
      </c>
      <c r="W678" s="3">
        <v>45380</v>
      </c>
      <c r="X678" s="2" t="b">
        <v>1</v>
      </c>
      <c r="Y678" s="2" t="b">
        <v>0</v>
      </c>
      <c r="Z678" s="2" t="s">
        <v>74</v>
      </c>
      <c r="AA678" s="2" t="s">
        <v>41</v>
      </c>
      <c r="AB678" s="2">
        <v>6</v>
      </c>
      <c r="AC678" s="2">
        <f>SUMIF(N:N,Ecommerce_Consumer_Behavior_Analysis_Data3[[#This Row],[Brand_Loyalty]],M:M)</f>
        <v>641</v>
      </c>
      <c r="AD678" s="2" t="e" cm="1" vm="1">
        <f t="array" aca="1" ref="AD678" ca="1">SUMIFS(Y:Y,Ecommerce_Consumer_Behavior_Analysis_Data3[[#This Row],[Payment_Method]],V:V)</f>
        <v>#VALUE!</v>
      </c>
      <c r="AE678" s="2">
        <f t="shared" si="14"/>
        <v>101.31</v>
      </c>
    </row>
    <row r="679" spans="1:31" x14ac:dyDescent="0.25">
      <c r="A679" s="2" t="s">
        <v>1430</v>
      </c>
      <c r="B679" s="2">
        <v>40</v>
      </c>
      <c r="C679" s="2" t="s">
        <v>29</v>
      </c>
      <c r="D679" s="2" t="s">
        <v>30</v>
      </c>
      <c r="E679" s="2" t="s">
        <v>76</v>
      </c>
      <c r="F679" s="2" t="s">
        <v>32</v>
      </c>
      <c r="G679" s="2" t="s">
        <v>30</v>
      </c>
      <c r="H679" s="2" t="s">
        <v>1431</v>
      </c>
      <c r="I679" s="2" t="s">
        <v>158</v>
      </c>
      <c r="J679" s="2">
        <v>361.27</v>
      </c>
      <c r="K679" s="2">
        <v>4</v>
      </c>
      <c r="L679" s="2" t="s">
        <v>78</v>
      </c>
      <c r="M679" s="2">
        <v>3</v>
      </c>
      <c r="N679" s="2">
        <v>3</v>
      </c>
      <c r="O679" s="2">
        <v>1</v>
      </c>
      <c r="P679" s="2" t="s">
        <v>36</v>
      </c>
      <c r="Q679" s="2" t="s">
        <v>50</v>
      </c>
      <c r="R679" s="2">
        <v>0</v>
      </c>
      <c r="S679" s="2">
        <v>5</v>
      </c>
      <c r="T679" s="2" t="s">
        <v>44</v>
      </c>
      <c r="U679" s="2" t="s">
        <v>38</v>
      </c>
      <c r="V679" s="2" t="s">
        <v>39</v>
      </c>
      <c r="W679" s="3">
        <v>45550</v>
      </c>
      <c r="X679" s="2" t="b">
        <v>1</v>
      </c>
      <c r="Y679" s="2" t="b">
        <v>0</v>
      </c>
      <c r="Z679" s="2" t="s">
        <v>40</v>
      </c>
      <c r="AA679" s="2" t="s">
        <v>53</v>
      </c>
      <c r="AB679" s="2">
        <v>2</v>
      </c>
      <c r="AC679" s="2">
        <f>SUMIF(N:N,Ecommerce_Consumer_Behavior_Analysis_Data3[[#This Row],[Brand_Loyalty]],M:M)</f>
        <v>597</v>
      </c>
      <c r="AD679" s="2" t="e" cm="1" vm="1">
        <f t="array" aca="1" ref="AD679" ca="1">SUMIFS(Y:Y,Ecommerce_Consumer_Behavior_Analysis_Data3[[#This Row],[Payment_Method]],V:V)</f>
        <v>#VALUE!</v>
      </c>
      <c r="AE679" s="2">
        <f t="shared" si="14"/>
        <v>333.8</v>
      </c>
    </row>
    <row r="680" spans="1:31" x14ac:dyDescent="0.25">
      <c r="A680" s="2" t="s">
        <v>1432</v>
      </c>
      <c r="B680" s="2">
        <v>38</v>
      </c>
      <c r="C680" s="2" t="s">
        <v>29</v>
      </c>
      <c r="D680" s="2" t="s">
        <v>30</v>
      </c>
      <c r="E680" s="2" t="s">
        <v>55</v>
      </c>
      <c r="F680" s="2" t="s">
        <v>32</v>
      </c>
      <c r="G680" s="2" t="s">
        <v>30</v>
      </c>
      <c r="H680" s="2" t="s">
        <v>1433</v>
      </c>
      <c r="I680" s="2" t="s">
        <v>71</v>
      </c>
      <c r="J680" s="2">
        <v>195.83</v>
      </c>
      <c r="K680" s="2">
        <v>10</v>
      </c>
      <c r="L680" s="2" t="s">
        <v>35</v>
      </c>
      <c r="M680" s="2">
        <v>1</v>
      </c>
      <c r="N680" s="2">
        <v>2</v>
      </c>
      <c r="O680" s="2">
        <v>2</v>
      </c>
      <c r="P680" s="2" t="s">
        <v>36</v>
      </c>
      <c r="Q680" s="2" t="s">
        <v>50</v>
      </c>
      <c r="R680" s="2">
        <v>1</v>
      </c>
      <c r="S680" s="2">
        <v>7</v>
      </c>
      <c r="T680" s="2" t="s">
        <v>44</v>
      </c>
      <c r="U680" s="2" t="s">
        <v>79</v>
      </c>
      <c r="V680" s="2" t="s">
        <v>61</v>
      </c>
      <c r="W680" s="3">
        <v>45316</v>
      </c>
      <c r="X680" s="2" t="b">
        <v>1</v>
      </c>
      <c r="Y680" s="2" t="b">
        <v>0</v>
      </c>
      <c r="Z680" s="2" t="s">
        <v>40</v>
      </c>
      <c r="AA680" s="2" t="s">
        <v>41</v>
      </c>
      <c r="AB680" s="2">
        <v>13</v>
      </c>
      <c r="AC680" s="2">
        <f>SUMIF(N:N,Ecommerce_Consumer_Behavior_Analysis_Data3[[#This Row],[Brand_Loyalty]],M:M)</f>
        <v>603</v>
      </c>
      <c r="AD680" s="2" t="e" cm="1" vm="1">
        <f t="array" aca="1" ref="AD680" ca="1">SUMIFS(Y:Y,Ecommerce_Consumer_Behavior_Analysis_Data3[[#This Row],[Payment_Method]],V:V)</f>
        <v>#VALUE!</v>
      </c>
      <c r="AE680" s="2">
        <f t="shared" si="14"/>
        <v>101.31</v>
      </c>
    </row>
    <row r="681" spans="1:31" x14ac:dyDescent="0.25">
      <c r="A681" s="2" t="s">
        <v>1434</v>
      </c>
      <c r="B681" s="2">
        <v>21</v>
      </c>
      <c r="C681" s="2" t="s">
        <v>43</v>
      </c>
      <c r="D681" s="2" t="s">
        <v>44</v>
      </c>
      <c r="E681" s="2" t="s">
        <v>31</v>
      </c>
      <c r="F681" s="2" t="s">
        <v>56</v>
      </c>
      <c r="G681" s="2" t="s">
        <v>44</v>
      </c>
      <c r="H681" s="2" t="s">
        <v>1435</v>
      </c>
      <c r="I681" s="2" t="s">
        <v>90</v>
      </c>
      <c r="J681" s="2">
        <v>340.31</v>
      </c>
      <c r="K681" s="2">
        <v>10</v>
      </c>
      <c r="L681" s="2" t="s">
        <v>78</v>
      </c>
      <c r="M681" s="2">
        <v>5</v>
      </c>
      <c r="N681" s="2">
        <v>1</v>
      </c>
      <c r="O681" s="2">
        <v>1</v>
      </c>
      <c r="P681" s="2" t="s">
        <v>59</v>
      </c>
      <c r="Q681" s="2" t="s">
        <v>37</v>
      </c>
      <c r="R681" s="2">
        <v>0</v>
      </c>
      <c r="S681" s="2">
        <v>5</v>
      </c>
      <c r="T681" s="2" t="s">
        <v>59</v>
      </c>
      <c r="U681" s="2" t="s">
        <v>79</v>
      </c>
      <c r="V681" s="2" t="s">
        <v>66</v>
      </c>
      <c r="W681" s="3">
        <v>45553</v>
      </c>
      <c r="X681" s="2" t="b">
        <v>0</v>
      </c>
      <c r="Y681" s="2" t="b">
        <v>1</v>
      </c>
      <c r="Z681" s="2" t="s">
        <v>62</v>
      </c>
      <c r="AA681" s="2" t="s">
        <v>41</v>
      </c>
      <c r="AB681" s="2">
        <v>14</v>
      </c>
      <c r="AC681" s="2">
        <f>SUMIF(N:N,Ecommerce_Consumer_Behavior_Analysis_Data3[[#This Row],[Brand_Loyalty]],M:M)</f>
        <v>641</v>
      </c>
      <c r="AD681" s="2" t="e" cm="1" vm="1">
        <f t="array" aca="1" ref="AD681" ca="1">SUMIFS(Y:Y,Ecommerce_Consumer_Behavior_Analysis_Data3[[#This Row],[Payment_Method]],V:V)</f>
        <v>#VALUE!</v>
      </c>
      <c r="AE681" s="2">
        <f t="shared" si="14"/>
        <v>101.31</v>
      </c>
    </row>
    <row r="682" spans="1:31" x14ac:dyDescent="0.25">
      <c r="A682" s="2" t="s">
        <v>1436</v>
      </c>
      <c r="B682" s="2">
        <v>40</v>
      </c>
      <c r="C682" s="2" t="s">
        <v>43</v>
      </c>
      <c r="D682" s="2" t="s">
        <v>44</v>
      </c>
      <c r="E682" s="2" t="s">
        <v>76</v>
      </c>
      <c r="F682" s="2" t="s">
        <v>56</v>
      </c>
      <c r="G682" s="2" t="s">
        <v>44</v>
      </c>
      <c r="H682" s="2" t="s">
        <v>1437</v>
      </c>
      <c r="I682" s="2" t="s">
        <v>101</v>
      </c>
      <c r="J682" s="2">
        <v>489.67</v>
      </c>
      <c r="K682" s="2">
        <v>5</v>
      </c>
      <c r="L682" s="2" t="s">
        <v>35</v>
      </c>
      <c r="M682" s="2">
        <v>5</v>
      </c>
      <c r="N682" s="2">
        <v>5</v>
      </c>
      <c r="O682" s="2">
        <v>1</v>
      </c>
      <c r="P682" s="2" t="s">
        <v>36</v>
      </c>
      <c r="Q682" s="2" t="s">
        <v>85</v>
      </c>
      <c r="R682" s="2">
        <v>1</v>
      </c>
      <c r="S682" s="2">
        <v>5</v>
      </c>
      <c r="T682" s="2" t="s">
        <v>49</v>
      </c>
      <c r="U682" s="2" t="s">
        <v>38</v>
      </c>
      <c r="V682" s="2" t="s">
        <v>61</v>
      </c>
      <c r="W682" s="3">
        <v>45647</v>
      </c>
      <c r="X682" s="2" t="b">
        <v>0</v>
      </c>
      <c r="Y682" s="2" t="b">
        <v>0</v>
      </c>
      <c r="Z682" s="2" t="s">
        <v>52</v>
      </c>
      <c r="AA682" s="2" t="s">
        <v>53</v>
      </c>
      <c r="AB682" s="2">
        <v>11</v>
      </c>
      <c r="AC682" s="2">
        <f>SUMIF(N:N,Ecommerce_Consumer_Behavior_Analysis_Data3[[#This Row],[Brand_Loyalty]],M:M)</f>
        <v>641</v>
      </c>
      <c r="AD682" s="2" t="e" cm="1" vm="1">
        <f t="array" aca="1" ref="AD682" ca="1">SUMIFS(Y:Y,Ecommerce_Consumer_Behavior_Analysis_Data3[[#This Row],[Payment_Method]],V:V)</f>
        <v>#VALUE!</v>
      </c>
      <c r="AE682" s="2">
        <f t="shared" si="14"/>
        <v>101.31</v>
      </c>
    </row>
    <row r="683" spans="1:31" x14ac:dyDescent="0.25">
      <c r="A683" s="2" t="s">
        <v>1438</v>
      </c>
      <c r="B683" s="2">
        <v>26</v>
      </c>
      <c r="C683" s="2" t="s">
        <v>43</v>
      </c>
      <c r="D683" s="2" t="s">
        <v>44</v>
      </c>
      <c r="E683" s="2" t="s">
        <v>76</v>
      </c>
      <c r="F683" s="2" t="s">
        <v>56</v>
      </c>
      <c r="G683" s="2" t="s">
        <v>30</v>
      </c>
      <c r="H683" s="2" t="s">
        <v>1439</v>
      </c>
      <c r="I683" s="2" t="s">
        <v>93</v>
      </c>
      <c r="J683" s="2">
        <v>482.5</v>
      </c>
      <c r="K683" s="2">
        <v>11</v>
      </c>
      <c r="L683" s="2" t="s">
        <v>35</v>
      </c>
      <c r="M683" s="2">
        <v>1</v>
      </c>
      <c r="N683" s="2">
        <v>1</v>
      </c>
      <c r="O683" s="2">
        <v>1</v>
      </c>
      <c r="P683" s="2" t="s">
        <v>36</v>
      </c>
      <c r="Q683" s="2" t="s">
        <v>85</v>
      </c>
      <c r="R683" s="2">
        <v>2</v>
      </c>
      <c r="S683" s="2">
        <v>1</v>
      </c>
      <c r="T683" s="2" t="s">
        <v>36</v>
      </c>
      <c r="U683" s="2" t="s">
        <v>60</v>
      </c>
      <c r="V683" s="2" t="s">
        <v>86</v>
      </c>
      <c r="W683" s="3">
        <v>45563</v>
      </c>
      <c r="X683" s="2" t="b">
        <v>1</v>
      </c>
      <c r="Y683" s="2" t="b">
        <v>1</v>
      </c>
      <c r="Z683" s="2" t="s">
        <v>40</v>
      </c>
      <c r="AA683" s="2" t="s">
        <v>41</v>
      </c>
      <c r="AB683" s="2">
        <v>13</v>
      </c>
      <c r="AC683" s="2">
        <f>SUMIF(N:N,Ecommerce_Consumer_Behavior_Analysis_Data3[[#This Row],[Brand_Loyalty]],M:M)</f>
        <v>603</v>
      </c>
      <c r="AD683" s="2" t="e" cm="1" vm="1">
        <f t="array" aca="1" ref="AD683" ca="1">SUMIFS(Y:Y,Ecommerce_Consumer_Behavior_Analysis_Data3[[#This Row],[Payment_Method]],V:V)</f>
        <v>#VALUE!</v>
      </c>
      <c r="AE683" s="2">
        <f t="shared" si="14"/>
        <v>333.8</v>
      </c>
    </row>
    <row r="684" spans="1:31" x14ac:dyDescent="0.25">
      <c r="A684" s="2" t="s">
        <v>1440</v>
      </c>
      <c r="B684" s="2">
        <v>32</v>
      </c>
      <c r="C684" s="2" t="s">
        <v>29</v>
      </c>
      <c r="D684" s="2" t="s">
        <v>30</v>
      </c>
      <c r="E684" s="2" t="s">
        <v>31</v>
      </c>
      <c r="F684" s="2" t="s">
        <v>56</v>
      </c>
      <c r="G684" s="2" t="s">
        <v>30</v>
      </c>
      <c r="H684" s="2" t="s">
        <v>1441</v>
      </c>
      <c r="I684" s="2" t="s">
        <v>246</v>
      </c>
      <c r="J684" s="2">
        <v>433.14</v>
      </c>
      <c r="K684" s="2">
        <v>10</v>
      </c>
      <c r="L684" s="2" t="s">
        <v>48</v>
      </c>
      <c r="M684" s="2">
        <v>3</v>
      </c>
      <c r="N684" s="2">
        <v>1</v>
      </c>
      <c r="O684" s="2">
        <v>2</v>
      </c>
      <c r="P684" s="2" t="s">
        <v>49</v>
      </c>
      <c r="Q684" s="2" t="s">
        <v>50</v>
      </c>
      <c r="R684" s="2">
        <v>2</v>
      </c>
      <c r="S684" s="2">
        <v>3</v>
      </c>
      <c r="T684" s="2" t="s">
        <v>44</v>
      </c>
      <c r="U684" s="2" t="s">
        <v>38</v>
      </c>
      <c r="V684" s="2" t="s">
        <v>61</v>
      </c>
      <c r="W684" s="3">
        <v>45482</v>
      </c>
      <c r="X684" s="2" t="b">
        <v>0</v>
      </c>
      <c r="Y684" s="2" t="b">
        <v>0</v>
      </c>
      <c r="Z684" s="2" t="s">
        <v>62</v>
      </c>
      <c r="AA684" s="2" t="s">
        <v>41</v>
      </c>
      <c r="AB684" s="2">
        <v>5</v>
      </c>
      <c r="AC684" s="2">
        <f>SUMIF(N:N,Ecommerce_Consumer_Behavior_Analysis_Data3[[#This Row],[Brand_Loyalty]],M:M)</f>
        <v>597</v>
      </c>
      <c r="AD684" s="2" t="e" cm="1" vm="1">
        <f t="array" aca="1" ref="AD684" ca="1">SUMIFS(Y:Y,Ecommerce_Consumer_Behavior_Analysis_Data3[[#This Row],[Payment_Method]],V:V)</f>
        <v>#VALUE!</v>
      </c>
      <c r="AE684" s="2">
        <f t="shared" si="14"/>
        <v>333.8</v>
      </c>
    </row>
    <row r="685" spans="1:31" x14ac:dyDescent="0.25">
      <c r="A685" s="2" t="s">
        <v>1442</v>
      </c>
      <c r="B685" s="2">
        <v>47</v>
      </c>
      <c r="C685" s="2" t="s">
        <v>29</v>
      </c>
      <c r="D685" s="2" t="s">
        <v>30</v>
      </c>
      <c r="E685" s="2" t="s">
        <v>69</v>
      </c>
      <c r="F685" s="2" t="s">
        <v>45</v>
      </c>
      <c r="G685" s="2" t="s">
        <v>44</v>
      </c>
      <c r="H685" s="2" t="s">
        <v>1443</v>
      </c>
      <c r="I685" s="2" t="s">
        <v>246</v>
      </c>
      <c r="J685" s="2">
        <v>375.7</v>
      </c>
      <c r="K685" s="2">
        <v>6</v>
      </c>
      <c r="L685" s="2" t="s">
        <v>78</v>
      </c>
      <c r="M685" s="2">
        <v>3</v>
      </c>
      <c r="N685" s="2">
        <v>1</v>
      </c>
      <c r="O685" s="2">
        <v>2</v>
      </c>
      <c r="P685" s="2" t="s">
        <v>59</v>
      </c>
      <c r="Q685" s="2" t="s">
        <v>85</v>
      </c>
      <c r="R685" s="2">
        <v>2</v>
      </c>
      <c r="S685" s="2">
        <v>10</v>
      </c>
      <c r="T685" s="2" t="s">
        <v>49</v>
      </c>
      <c r="U685" s="2" t="s">
        <v>38</v>
      </c>
      <c r="V685" s="2" t="s">
        <v>66</v>
      </c>
      <c r="W685" s="3">
        <v>45562</v>
      </c>
      <c r="X685" s="2" t="b">
        <v>1</v>
      </c>
      <c r="Y685" s="2" t="b">
        <v>0</v>
      </c>
      <c r="Z685" s="2" t="s">
        <v>52</v>
      </c>
      <c r="AA685" s="2" t="s">
        <v>41</v>
      </c>
      <c r="AB685" s="2">
        <v>10</v>
      </c>
      <c r="AC685" s="2">
        <f>SUMIF(N:N,Ecommerce_Consumer_Behavior_Analysis_Data3[[#This Row],[Brand_Loyalty]],M:M)</f>
        <v>597</v>
      </c>
      <c r="AD685" s="2" t="e" cm="1" vm="1">
        <f t="array" aca="1" ref="AD685" ca="1">SUMIFS(Y:Y,Ecommerce_Consumer_Behavior_Analysis_Data3[[#This Row],[Payment_Method]],V:V)</f>
        <v>#VALUE!</v>
      </c>
      <c r="AE685" s="2">
        <f t="shared" si="14"/>
        <v>101.31</v>
      </c>
    </row>
    <row r="686" spans="1:31" x14ac:dyDescent="0.25">
      <c r="A686" s="2" t="s">
        <v>1444</v>
      </c>
      <c r="B686" s="2">
        <v>21</v>
      </c>
      <c r="C686" s="2" t="s">
        <v>43</v>
      </c>
      <c r="D686" s="2" t="s">
        <v>30</v>
      </c>
      <c r="E686" s="2" t="s">
        <v>55</v>
      </c>
      <c r="F686" s="2" t="s">
        <v>56</v>
      </c>
      <c r="G686" s="2" t="s">
        <v>30</v>
      </c>
      <c r="H686" s="2" t="s">
        <v>1445</v>
      </c>
      <c r="I686" s="2" t="s">
        <v>194</v>
      </c>
      <c r="J686" s="2">
        <v>381.3</v>
      </c>
      <c r="K686" s="2">
        <v>12</v>
      </c>
      <c r="L686" s="2" t="s">
        <v>78</v>
      </c>
      <c r="M686" s="2">
        <v>2</v>
      </c>
      <c r="N686" s="2">
        <v>1</v>
      </c>
      <c r="O686" s="2">
        <v>1</v>
      </c>
      <c r="P686" s="2" t="s">
        <v>44</v>
      </c>
      <c r="Q686" s="2" t="s">
        <v>85</v>
      </c>
      <c r="R686" s="2">
        <v>0</v>
      </c>
      <c r="S686" s="2">
        <v>4</v>
      </c>
      <c r="T686" s="2" t="s">
        <v>59</v>
      </c>
      <c r="U686" s="2" t="s">
        <v>79</v>
      </c>
      <c r="V686" s="2" t="s">
        <v>39</v>
      </c>
      <c r="W686" s="3">
        <v>45300</v>
      </c>
      <c r="X686" s="2" t="b">
        <v>0</v>
      </c>
      <c r="Y686" s="2" t="b">
        <v>0</v>
      </c>
      <c r="Z686" s="2" t="s">
        <v>74</v>
      </c>
      <c r="AA686" s="2" t="s">
        <v>67</v>
      </c>
      <c r="AB686" s="2">
        <v>7</v>
      </c>
      <c r="AC686" s="2">
        <f>SUMIF(N:N,Ecommerce_Consumer_Behavior_Analysis_Data3[[#This Row],[Brand_Loyalty]],M:M)</f>
        <v>582</v>
      </c>
      <c r="AD686" s="2" t="e" cm="1" vm="1">
        <f t="array" aca="1" ref="AD686" ca="1">SUMIFS(Y:Y,Ecommerce_Consumer_Behavior_Analysis_Data3[[#This Row],[Payment_Method]],V:V)</f>
        <v>#VALUE!</v>
      </c>
      <c r="AE686" s="2">
        <f t="shared" si="14"/>
        <v>333.8</v>
      </c>
    </row>
    <row r="687" spans="1:31" x14ac:dyDescent="0.25">
      <c r="A687" s="2" t="s">
        <v>1446</v>
      </c>
      <c r="B687" s="2">
        <v>34</v>
      </c>
      <c r="C687" s="2" t="s">
        <v>43</v>
      </c>
      <c r="D687" s="2" t="s">
        <v>44</v>
      </c>
      <c r="E687" s="2" t="s">
        <v>69</v>
      </c>
      <c r="F687" s="2" t="s">
        <v>45</v>
      </c>
      <c r="G687" s="2" t="s">
        <v>44</v>
      </c>
      <c r="H687" s="2" t="s">
        <v>1447</v>
      </c>
      <c r="I687" s="2" t="s">
        <v>117</v>
      </c>
      <c r="J687" s="2">
        <v>210.21</v>
      </c>
      <c r="K687" s="2">
        <v>4</v>
      </c>
      <c r="L687" s="2" t="s">
        <v>35</v>
      </c>
      <c r="M687" s="2">
        <v>4</v>
      </c>
      <c r="N687" s="2">
        <v>1</v>
      </c>
      <c r="O687" s="2">
        <v>2</v>
      </c>
      <c r="P687" s="2" t="s">
        <v>44</v>
      </c>
      <c r="Q687" s="2" t="s">
        <v>85</v>
      </c>
      <c r="R687" s="2">
        <v>0</v>
      </c>
      <c r="S687" s="2">
        <v>10</v>
      </c>
      <c r="T687" s="2" t="s">
        <v>44</v>
      </c>
      <c r="U687" s="2" t="s">
        <v>79</v>
      </c>
      <c r="V687" s="2" t="s">
        <v>51</v>
      </c>
      <c r="W687" s="3">
        <v>45478</v>
      </c>
      <c r="X687" s="2" t="b">
        <v>0</v>
      </c>
      <c r="Y687" s="2" t="b">
        <v>1</v>
      </c>
      <c r="Z687" s="2" t="s">
        <v>40</v>
      </c>
      <c r="AA687" s="2" t="s">
        <v>41</v>
      </c>
      <c r="AB687" s="2">
        <v>14</v>
      </c>
      <c r="AC687" s="2">
        <f>SUMIF(N:N,Ecommerce_Consumer_Behavior_Analysis_Data3[[#This Row],[Brand_Loyalty]],M:M)</f>
        <v>603</v>
      </c>
      <c r="AD687" s="2" t="e" cm="1" vm="1">
        <f t="array" aca="1" ref="AD687" ca="1">SUMIFS(Y:Y,Ecommerce_Consumer_Behavior_Analysis_Data3[[#This Row],[Payment_Method]],V:V)</f>
        <v>#VALUE!</v>
      </c>
      <c r="AE687" s="2">
        <f t="shared" si="14"/>
        <v>333.8</v>
      </c>
    </row>
    <row r="688" spans="1:31" x14ac:dyDescent="0.25">
      <c r="A688" s="2" t="s">
        <v>1448</v>
      </c>
      <c r="B688" s="2">
        <v>29</v>
      </c>
      <c r="C688" s="2" t="s">
        <v>43</v>
      </c>
      <c r="D688" s="2" t="s">
        <v>30</v>
      </c>
      <c r="E688" s="2" t="s">
        <v>69</v>
      </c>
      <c r="F688" s="2" t="s">
        <v>56</v>
      </c>
      <c r="G688" s="2" t="s">
        <v>44</v>
      </c>
      <c r="H688" s="2" t="s">
        <v>1449</v>
      </c>
      <c r="I688" s="2" t="s">
        <v>142</v>
      </c>
      <c r="J688" s="2">
        <v>408.81</v>
      </c>
      <c r="K688" s="2">
        <v>8</v>
      </c>
      <c r="L688" s="2" t="s">
        <v>35</v>
      </c>
      <c r="M688" s="2">
        <v>5</v>
      </c>
      <c r="N688" s="2">
        <v>4</v>
      </c>
      <c r="O688" s="2">
        <v>2</v>
      </c>
      <c r="P688" s="2" t="s">
        <v>59</v>
      </c>
      <c r="Q688" s="2" t="s">
        <v>85</v>
      </c>
      <c r="R688" s="2">
        <v>1</v>
      </c>
      <c r="S688" s="2">
        <v>3</v>
      </c>
      <c r="T688" s="2" t="s">
        <v>49</v>
      </c>
      <c r="U688" s="2" t="s">
        <v>79</v>
      </c>
      <c r="V688" s="2" t="s">
        <v>61</v>
      </c>
      <c r="W688" s="3">
        <v>45489</v>
      </c>
      <c r="X688" s="2" t="b">
        <v>0</v>
      </c>
      <c r="Y688" s="2" t="b">
        <v>1</v>
      </c>
      <c r="Z688" s="2" t="s">
        <v>52</v>
      </c>
      <c r="AA688" s="2" t="s">
        <v>67</v>
      </c>
      <c r="AB688" s="2">
        <v>12</v>
      </c>
      <c r="AC688" s="2">
        <f>SUMIF(N:N,Ecommerce_Consumer_Behavior_Analysis_Data3[[#This Row],[Brand_Loyalty]],M:M)</f>
        <v>641</v>
      </c>
      <c r="AD688" s="2" t="e" cm="1" vm="1">
        <f t="array" aca="1" ref="AD688" ca="1">SUMIFS(Y:Y,Ecommerce_Consumer_Behavior_Analysis_Data3[[#This Row],[Payment_Method]],V:V)</f>
        <v>#VALUE!</v>
      </c>
      <c r="AE688" s="2">
        <f t="shared" si="14"/>
        <v>211.7</v>
      </c>
    </row>
    <row r="689" spans="1:31" x14ac:dyDescent="0.25">
      <c r="A689" s="2" t="s">
        <v>1450</v>
      </c>
      <c r="B689" s="2">
        <v>20</v>
      </c>
      <c r="C689" s="2" t="s">
        <v>29</v>
      </c>
      <c r="D689" s="2" t="s">
        <v>30</v>
      </c>
      <c r="E689" s="2" t="s">
        <v>76</v>
      </c>
      <c r="F689" s="2" t="s">
        <v>32</v>
      </c>
      <c r="G689" s="2" t="s">
        <v>44</v>
      </c>
      <c r="H689" s="2" t="s">
        <v>1451</v>
      </c>
      <c r="I689" s="2" t="s">
        <v>246</v>
      </c>
      <c r="J689" s="2">
        <v>118.65</v>
      </c>
      <c r="K689" s="2">
        <v>10</v>
      </c>
      <c r="L689" s="2" t="s">
        <v>35</v>
      </c>
      <c r="M689" s="2">
        <v>1</v>
      </c>
      <c r="N689" s="2">
        <v>3</v>
      </c>
      <c r="O689" s="2">
        <v>0</v>
      </c>
      <c r="P689" s="2" t="s">
        <v>59</v>
      </c>
      <c r="Q689" s="2" t="s">
        <v>85</v>
      </c>
      <c r="R689" s="2">
        <v>0</v>
      </c>
      <c r="S689" s="2">
        <v>2</v>
      </c>
      <c r="T689" s="2" t="s">
        <v>59</v>
      </c>
      <c r="U689" s="2" t="s">
        <v>60</v>
      </c>
      <c r="V689" s="2" t="s">
        <v>39</v>
      </c>
      <c r="W689" s="3">
        <v>45300</v>
      </c>
      <c r="X689" s="2" t="b">
        <v>1</v>
      </c>
      <c r="Y689" s="2" t="b">
        <v>1</v>
      </c>
      <c r="Z689" s="2" t="s">
        <v>62</v>
      </c>
      <c r="AA689" s="2" t="s">
        <v>53</v>
      </c>
      <c r="AB689" s="2">
        <v>13</v>
      </c>
      <c r="AC689" s="2">
        <f>SUMIF(N:N,Ecommerce_Consumer_Behavior_Analysis_Data3[[#This Row],[Brand_Loyalty]],M:M)</f>
        <v>603</v>
      </c>
      <c r="AD689" s="2" t="e" cm="1" vm="1">
        <f t="array" aca="1" ref="AD689" ca="1">SUMIFS(Y:Y,Ecommerce_Consumer_Behavior_Analysis_Data3[[#This Row],[Payment_Method]],V:V)</f>
        <v>#VALUE!</v>
      </c>
      <c r="AE689" s="2">
        <f t="shared" si="14"/>
        <v>333.8</v>
      </c>
    </row>
    <row r="690" spans="1:31" x14ac:dyDescent="0.25">
      <c r="A690" s="2" t="s">
        <v>1452</v>
      </c>
      <c r="B690" s="2">
        <v>50</v>
      </c>
      <c r="C690" s="2" t="s">
        <v>43</v>
      </c>
      <c r="D690" s="2" t="s">
        <v>44</v>
      </c>
      <c r="E690" s="2" t="s">
        <v>76</v>
      </c>
      <c r="F690" s="2" t="s">
        <v>32</v>
      </c>
      <c r="G690" s="2" t="s">
        <v>30</v>
      </c>
      <c r="H690" s="2" t="s">
        <v>1453</v>
      </c>
      <c r="I690" s="2" t="s">
        <v>120</v>
      </c>
      <c r="J690" s="2">
        <v>166.45</v>
      </c>
      <c r="K690" s="2">
        <v>7</v>
      </c>
      <c r="L690" s="2" t="s">
        <v>35</v>
      </c>
      <c r="M690" s="2">
        <v>5</v>
      </c>
      <c r="N690" s="2">
        <v>2</v>
      </c>
      <c r="O690" s="2">
        <v>2</v>
      </c>
      <c r="P690" s="2" t="s">
        <v>59</v>
      </c>
      <c r="Q690" s="2" t="s">
        <v>85</v>
      </c>
      <c r="R690" s="2">
        <v>2</v>
      </c>
      <c r="S690" s="2">
        <v>1</v>
      </c>
      <c r="T690" s="2" t="s">
        <v>44</v>
      </c>
      <c r="U690" s="2" t="s">
        <v>60</v>
      </c>
      <c r="V690" s="2" t="s">
        <v>86</v>
      </c>
      <c r="W690" s="3">
        <v>45517</v>
      </c>
      <c r="X690" s="2" t="b">
        <v>1</v>
      </c>
      <c r="Y690" s="2" t="b">
        <v>0</v>
      </c>
      <c r="Z690" s="2" t="s">
        <v>74</v>
      </c>
      <c r="AA690" s="2" t="s">
        <v>67</v>
      </c>
      <c r="AB690" s="2">
        <v>12</v>
      </c>
      <c r="AC690" s="2">
        <f>SUMIF(N:N,Ecommerce_Consumer_Behavior_Analysis_Data3[[#This Row],[Brand_Loyalty]],M:M)</f>
        <v>641</v>
      </c>
      <c r="AD690" s="2" t="e" cm="1" vm="1">
        <f t="array" aca="1" ref="AD690" ca="1">SUMIFS(Y:Y,Ecommerce_Consumer_Behavior_Analysis_Data3[[#This Row],[Payment_Method]],V:V)</f>
        <v>#VALUE!</v>
      </c>
      <c r="AE690" s="2">
        <f t="shared" si="14"/>
        <v>101.31</v>
      </c>
    </row>
    <row r="691" spans="1:31" x14ac:dyDescent="0.25">
      <c r="A691" s="2" t="s">
        <v>1454</v>
      </c>
      <c r="B691" s="2">
        <v>29</v>
      </c>
      <c r="C691" s="2" t="s">
        <v>29</v>
      </c>
      <c r="D691" s="2" t="s">
        <v>30</v>
      </c>
      <c r="E691" s="2" t="s">
        <v>76</v>
      </c>
      <c r="F691" s="2" t="s">
        <v>56</v>
      </c>
      <c r="G691" s="2" t="s">
        <v>44</v>
      </c>
      <c r="H691" s="2" t="s">
        <v>1455</v>
      </c>
      <c r="I691" s="2" t="s">
        <v>194</v>
      </c>
      <c r="J691" s="2">
        <v>385.32</v>
      </c>
      <c r="K691" s="2">
        <v>10</v>
      </c>
      <c r="L691" s="2" t="s">
        <v>78</v>
      </c>
      <c r="M691" s="2">
        <v>1</v>
      </c>
      <c r="N691" s="2">
        <v>1</v>
      </c>
      <c r="O691" s="2">
        <v>1</v>
      </c>
      <c r="P691" s="2" t="s">
        <v>59</v>
      </c>
      <c r="Q691" s="2" t="s">
        <v>85</v>
      </c>
      <c r="R691" s="2">
        <v>0</v>
      </c>
      <c r="S691" s="2">
        <v>1</v>
      </c>
      <c r="T691" s="2" t="s">
        <v>49</v>
      </c>
      <c r="U691" s="2" t="s">
        <v>60</v>
      </c>
      <c r="V691" s="2" t="s">
        <v>51</v>
      </c>
      <c r="W691" s="3">
        <v>45540</v>
      </c>
      <c r="X691" s="2" t="b">
        <v>1</v>
      </c>
      <c r="Y691" s="2" t="b">
        <v>1</v>
      </c>
      <c r="Z691" s="2" t="s">
        <v>62</v>
      </c>
      <c r="AA691" s="2" t="s">
        <v>53</v>
      </c>
      <c r="AB691" s="2">
        <v>9</v>
      </c>
      <c r="AC691" s="2">
        <f>SUMIF(N:N,Ecommerce_Consumer_Behavior_Analysis_Data3[[#This Row],[Brand_Loyalty]],M:M)</f>
        <v>603</v>
      </c>
      <c r="AD691" s="2" t="e" cm="1" vm="1">
        <f t="array" aca="1" ref="AD691" ca="1">SUMIFS(Y:Y,Ecommerce_Consumer_Behavior_Analysis_Data3[[#This Row],[Payment_Method]],V:V)</f>
        <v>#VALUE!</v>
      </c>
      <c r="AE691" s="2">
        <f t="shared" si="14"/>
        <v>211.7</v>
      </c>
    </row>
    <row r="692" spans="1:31" x14ac:dyDescent="0.25">
      <c r="A692" s="2" t="s">
        <v>1456</v>
      </c>
      <c r="B692" s="2">
        <v>25</v>
      </c>
      <c r="C692" s="2" t="s">
        <v>190</v>
      </c>
      <c r="D692" s="2" t="s">
        <v>30</v>
      </c>
      <c r="E692" s="2" t="s">
        <v>31</v>
      </c>
      <c r="F692" s="2" t="s">
        <v>32</v>
      </c>
      <c r="G692" s="2" t="s">
        <v>44</v>
      </c>
      <c r="H692" s="2" t="s">
        <v>1457</v>
      </c>
      <c r="I692" s="2" t="s">
        <v>93</v>
      </c>
      <c r="J692" s="2">
        <v>293.99</v>
      </c>
      <c r="K692" s="2">
        <v>10</v>
      </c>
      <c r="L692" s="2" t="s">
        <v>35</v>
      </c>
      <c r="M692" s="2">
        <v>3</v>
      </c>
      <c r="N692" s="2">
        <v>4</v>
      </c>
      <c r="O692" s="2">
        <v>0</v>
      </c>
      <c r="P692" s="2" t="s">
        <v>36</v>
      </c>
      <c r="Q692" s="2" t="s">
        <v>37</v>
      </c>
      <c r="R692" s="2">
        <v>2</v>
      </c>
      <c r="S692" s="2">
        <v>7</v>
      </c>
      <c r="T692" s="2" t="s">
        <v>36</v>
      </c>
      <c r="U692" s="2" t="s">
        <v>38</v>
      </c>
      <c r="V692" s="2" t="s">
        <v>39</v>
      </c>
      <c r="W692" s="3">
        <v>45564</v>
      </c>
      <c r="X692" s="2" t="b">
        <v>0</v>
      </c>
      <c r="Y692" s="2" t="b">
        <v>1</v>
      </c>
      <c r="Z692" s="2" t="s">
        <v>52</v>
      </c>
      <c r="AA692" s="2" t="s">
        <v>41</v>
      </c>
      <c r="AB692" s="2">
        <v>5</v>
      </c>
      <c r="AC692" s="2">
        <f>SUMIF(N:N,Ecommerce_Consumer_Behavior_Analysis_Data3[[#This Row],[Brand_Loyalty]],M:M)</f>
        <v>597</v>
      </c>
      <c r="AD692" s="2" t="e" cm="1" vm="1">
        <f t="array" aca="1" ref="AD692" ca="1">SUMIFS(Y:Y,Ecommerce_Consumer_Behavior_Analysis_Data3[[#This Row],[Payment_Method]],V:V)</f>
        <v>#VALUE!</v>
      </c>
      <c r="AE692" s="2">
        <f t="shared" si="14"/>
        <v>211.7</v>
      </c>
    </row>
    <row r="693" spans="1:31" x14ac:dyDescent="0.25">
      <c r="A693" s="2" t="s">
        <v>1458</v>
      </c>
      <c r="B693" s="2">
        <v>37</v>
      </c>
      <c r="C693" s="2" t="s">
        <v>43</v>
      </c>
      <c r="D693" s="2" t="s">
        <v>30</v>
      </c>
      <c r="E693" s="2" t="s">
        <v>69</v>
      </c>
      <c r="F693" s="2" t="s">
        <v>45</v>
      </c>
      <c r="G693" s="2" t="s">
        <v>30</v>
      </c>
      <c r="H693" s="2" t="s">
        <v>1459</v>
      </c>
      <c r="I693" s="2" t="s">
        <v>126</v>
      </c>
      <c r="J693" s="2">
        <v>161.41</v>
      </c>
      <c r="K693" s="2">
        <v>9</v>
      </c>
      <c r="L693" s="2" t="s">
        <v>35</v>
      </c>
      <c r="M693" s="2">
        <v>1</v>
      </c>
      <c r="N693" s="2">
        <v>4</v>
      </c>
      <c r="O693" s="2">
        <v>0</v>
      </c>
      <c r="P693" s="2" t="s">
        <v>59</v>
      </c>
      <c r="Q693" s="2" t="s">
        <v>85</v>
      </c>
      <c r="R693" s="2">
        <v>1</v>
      </c>
      <c r="S693" s="2">
        <v>8</v>
      </c>
      <c r="T693" s="2" t="s">
        <v>44</v>
      </c>
      <c r="U693" s="2" t="s">
        <v>79</v>
      </c>
      <c r="V693" s="2" t="s">
        <v>51</v>
      </c>
      <c r="W693" s="3">
        <v>45389</v>
      </c>
      <c r="X693" s="2" t="b">
        <v>1</v>
      </c>
      <c r="Y693" s="2" t="b">
        <v>0</v>
      </c>
      <c r="Z693" s="2" t="s">
        <v>62</v>
      </c>
      <c r="AA693" s="2" t="s">
        <v>53</v>
      </c>
      <c r="AB693" s="2">
        <v>3</v>
      </c>
      <c r="AC693" s="2">
        <f>SUMIF(N:N,Ecommerce_Consumer_Behavior_Analysis_Data3[[#This Row],[Brand_Loyalty]],M:M)</f>
        <v>603</v>
      </c>
      <c r="AD693" s="2" t="e" cm="1" vm="1">
        <f t="array" aca="1" ref="AD693" ca="1">SUMIFS(Y:Y,Ecommerce_Consumer_Behavior_Analysis_Data3[[#This Row],[Payment_Method]],V:V)</f>
        <v>#VALUE!</v>
      </c>
      <c r="AE693" s="2">
        <f t="shared" si="14"/>
        <v>101.31</v>
      </c>
    </row>
    <row r="694" spans="1:31" x14ac:dyDescent="0.25">
      <c r="A694" s="2" t="s">
        <v>1460</v>
      </c>
      <c r="B694" s="2">
        <v>39</v>
      </c>
      <c r="C694" s="2" t="s">
        <v>43</v>
      </c>
      <c r="D694" s="2" t="s">
        <v>30</v>
      </c>
      <c r="E694" s="2" t="s">
        <v>55</v>
      </c>
      <c r="F694" s="2" t="s">
        <v>56</v>
      </c>
      <c r="G694" s="2" t="s">
        <v>30</v>
      </c>
      <c r="H694" s="2" t="s">
        <v>675</v>
      </c>
      <c r="I694" s="2" t="s">
        <v>158</v>
      </c>
      <c r="J694" s="2">
        <v>130.91999999999999</v>
      </c>
      <c r="K694" s="2">
        <v>2</v>
      </c>
      <c r="L694" s="2" t="s">
        <v>78</v>
      </c>
      <c r="M694" s="2">
        <v>1</v>
      </c>
      <c r="N694" s="2">
        <v>2</v>
      </c>
      <c r="O694" s="2">
        <v>1</v>
      </c>
      <c r="P694" s="2" t="s">
        <v>44</v>
      </c>
      <c r="Q694" s="2" t="s">
        <v>85</v>
      </c>
      <c r="R694" s="2">
        <v>2</v>
      </c>
      <c r="S694" s="2">
        <v>2</v>
      </c>
      <c r="T694" s="2" t="s">
        <v>36</v>
      </c>
      <c r="U694" s="2" t="s">
        <v>38</v>
      </c>
      <c r="V694" s="2" t="s">
        <v>86</v>
      </c>
      <c r="W694" s="3">
        <v>45644</v>
      </c>
      <c r="X694" s="2" t="b">
        <v>1</v>
      </c>
      <c r="Y694" s="2" t="b">
        <v>1</v>
      </c>
      <c r="Z694" s="2" t="s">
        <v>62</v>
      </c>
      <c r="AA694" s="2" t="s">
        <v>41</v>
      </c>
      <c r="AB694" s="2">
        <v>9</v>
      </c>
      <c r="AC694" s="2">
        <f>SUMIF(N:N,Ecommerce_Consumer_Behavior_Analysis_Data3[[#This Row],[Brand_Loyalty]],M:M)</f>
        <v>603</v>
      </c>
      <c r="AD694" s="2" t="e" cm="1" vm="1">
        <f t="array" aca="1" ref="AD694" ca="1">SUMIFS(Y:Y,Ecommerce_Consumer_Behavior_Analysis_Data3[[#This Row],[Payment_Method]],V:V)</f>
        <v>#VALUE!</v>
      </c>
      <c r="AE694" s="2">
        <f t="shared" si="14"/>
        <v>333.8</v>
      </c>
    </row>
    <row r="695" spans="1:31" x14ac:dyDescent="0.25">
      <c r="A695" s="2" t="s">
        <v>1461</v>
      </c>
      <c r="B695" s="2">
        <v>48</v>
      </c>
      <c r="C695" s="2" t="s">
        <v>29</v>
      </c>
      <c r="D695" s="2" t="s">
        <v>30</v>
      </c>
      <c r="E695" s="2" t="s">
        <v>76</v>
      </c>
      <c r="F695" s="2" t="s">
        <v>32</v>
      </c>
      <c r="G695" s="2" t="s">
        <v>44</v>
      </c>
      <c r="H695" s="2" t="s">
        <v>1462</v>
      </c>
      <c r="I695" s="2" t="s">
        <v>126</v>
      </c>
      <c r="J695" s="2">
        <v>468.6</v>
      </c>
      <c r="K695" s="2">
        <v>4</v>
      </c>
      <c r="L695" s="2" t="s">
        <v>35</v>
      </c>
      <c r="M695" s="2">
        <v>3</v>
      </c>
      <c r="N695" s="2">
        <v>4</v>
      </c>
      <c r="O695" s="2">
        <v>2</v>
      </c>
      <c r="P695" s="2" t="s">
        <v>49</v>
      </c>
      <c r="Q695" s="2" t="s">
        <v>37</v>
      </c>
      <c r="R695" s="2">
        <v>0</v>
      </c>
      <c r="S695" s="2">
        <v>6</v>
      </c>
      <c r="T695" s="2" t="s">
        <v>36</v>
      </c>
      <c r="U695" s="2" t="s">
        <v>79</v>
      </c>
      <c r="V695" s="2" t="s">
        <v>51</v>
      </c>
      <c r="W695" s="3">
        <v>45457</v>
      </c>
      <c r="X695" s="2" t="b">
        <v>0</v>
      </c>
      <c r="Y695" s="2" t="b">
        <v>1</v>
      </c>
      <c r="Z695" s="2" t="s">
        <v>40</v>
      </c>
      <c r="AA695" s="2" t="s">
        <v>41</v>
      </c>
      <c r="AB695" s="2">
        <v>2</v>
      </c>
      <c r="AC695" s="2">
        <f>SUMIF(N:N,Ecommerce_Consumer_Behavior_Analysis_Data3[[#This Row],[Brand_Loyalty]],M:M)</f>
        <v>597</v>
      </c>
      <c r="AD695" s="2" t="e" cm="1" vm="1">
        <f t="array" aca="1" ref="AD695" ca="1">SUMIFS(Y:Y,Ecommerce_Consumer_Behavior_Analysis_Data3[[#This Row],[Payment_Method]],V:V)</f>
        <v>#VALUE!</v>
      </c>
      <c r="AE695" s="2">
        <f t="shared" si="14"/>
        <v>211.7</v>
      </c>
    </row>
    <row r="696" spans="1:31" x14ac:dyDescent="0.25">
      <c r="A696" s="2" t="s">
        <v>1463</v>
      </c>
      <c r="B696" s="2">
        <v>47</v>
      </c>
      <c r="C696" s="2" t="s">
        <v>43</v>
      </c>
      <c r="D696" s="2" t="s">
        <v>44</v>
      </c>
      <c r="E696" s="2" t="s">
        <v>76</v>
      </c>
      <c r="F696" s="2" t="s">
        <v>32</v>
      </c>
      <c r="G696" s="2" t="s">
        <v>30</v>
      </c>
      <c r="H696" s="2" t="s">
        <v>1464</v>
      </c>
      <c r="I696" s="2" t="s">
        <v>126</v>
      </c>
      <c r="J696" s="2">
        <v>237.57</v>
      </c>
      <c r="K696" s="2">
        <v>5</v>
      </c>
      <c r="L696" s="2" t="s">
        <v>78</v>
      </c>
      <c r="M696" s="2">
        <v>3</v>
      </c>
      <c r="N696" s="2">
        <v>3</v>
      </c>
      <c r="O696" s="2">
        <v>0</v>
      </c>
      <c r="P696" s="2" t="s">
        <v>49</v>
      </c>
      <c r="Q696" s="2" t="s">
        <v>37</v>
      </c>
      <c r="R696" s="2">
        <v>0</v>
      </c>
      <c r="S696" s="2">
        <v>3</v>
      </c>
      <c r="T696" s="2" t="s">
        <v>49</v>
      </c>
      <c r="U696" s="2" t="s">
        <v>60</v>
      </c>
      <c r="V696" s="2" t="s">
        <v>86</v>
      </c>
      <c r="W696" s="3">
        <v>45407</v>
      </c>
      <c r="X696" s="2" t="b">
        <v>1</v>
      </c>
      <c r="Y696" s="2" t="b">
        <v>1</v>
      </c>
      <c r="Z696" s="2" t="s">
        <v>40</v>
      </c>
      <c r="AA696" s="2" t="s">
        <v>41</v>
      </c>
      <c r="AB696" s="2">
        <v>11</v>
      </c>
      <c r="AC696" s="2">
        <f>SUMIF(N:N,Ecommerce_Consumer_Behavior_Analysis_Data3[[#This Row],[Brand_Loyalty]],M:M)</f>
        <v>597</v>
      </c>
      <c r="AD696" s="2" t="e" cm="1" vm="1">
        <f t="array" aca="1" ref="AD696" ca="1">SUMIFS(Y:Y,Ecommerce_Consumer_Behavior_Analysis_Data3[[#This Row],[Payment_Method]],V:V)</f>
        <v>#VALUE!</v>
      </c>
      <c r="AE696" s="2">
        <f t="shared" si="14"/>
        <v>101.31</v>
      </c>
    </row>
    <row r="697" spans="1:31" x14ac:dyDescent="0.25">
      <c r="A697" s="2" t="s">
        <v>1465</v>
      </c>
      <c r="B697" s="2">
        <v>50</v>
      </c>
      <c r="C697" s="2" t="s">
        <v>29</v>
      </c>
      <c r="D697" s="2" t="s">
        <v>30</v>
      </c>
      <c r="E697" s="2" t="s">
        <v>76</v>
      </c>
      <c r="F697" s="2" t="s">
        <v>45</v>
      </c>
      <c r="G697" s="2" t="s">
        <v>44</v>
      </c>
      <c r="H697" s="2" t="s">
        <v>1466</v>
      </c>
      <c r="I697" s="2" t="s">
        <v>71</v>
      </c>
      <c r="J697" s="2">
        <v>395.18</v>
      </c>
      <c r="K697" s="2">
        <v>5</v>
      </c>
      <c r="L697" s="2" t="s">
        <v>48</v>
      </c>
      <c r="M697" s="2">
        <v>2</v>
      </c>
      <c r="N697" s="2">
        <v>2</v>
      </c>
      <c r="O697" s="2">
        <v>1</v>
      </c>
      <c r="P697" s="2" t="s">
        <v>36</v>
      </c>
      <c r="Q697" s="2" t="s">
        <v>50</v>
      </c>
      <c r="R697" s="2">
        <v>0</v>
      </c>
      <c r="S697" s="2">
        <v>5</v>
      </c>
      <c r="T697" s="2" t="s">
        <v>44</v>
      </c>
      <c r="U697" s="2" t="s">
        <v>60</v>
      </c>
      <c r="V697" s="2" t="s">
        <v>66</v>
      </c>
      <c r="W697" s="3">
        <v>45493</v>
      </c>
      <c r="X697" s="2" t="b">
        <v>1</v>
      </c>
      <c r="Y697" s="2" t="b">
        <v>1</v>
      </c>
      <c r="Z697" s="2" t="s">
        <v>40</v>
      </c>
      <c r="AA697" s="2" t="s">
        <v>53</v>
      </c>
      <c r="AB697" s="2">
        <v>6</v>
      </c>
      <c r="AC697" s="2">
        <f>SUMIF(N:N,Ecommerce_Consumer_Behavior_Analysis_Data3[[#This Row],[Brand_Loyalty]],M:M)</f>
        <v>582</v>
      </c>
      <c r="AD697" s="2" t="e" cm="1" vm="1">
        <f t="array" aca="1" ref="AD697" ca="1">SUMIFS(Y:Y,Ecommerce_Consumer_Behavior_Analysis_Data3[[#This Row],[Payment_Method]],V:V)</f>
        <v>#VALUE!</v>
      </c>
      <c r="AE697" s="2">
        <f t="shared" si="14"/>
        <v>106.69</v>
      </c>
    </row>
    <row r="698" spans="1:31" x14ac:dyDescent="0.25">
      <c r="A698" s="2" t="s">
        <v>1467</v>
      </c>
      <c r="B698" s="2">
        <v>42</v>
      </c>
      <c r="C698" s="2" t="s">
        <v>212</v>
      </c>
      <c r="D698" s="2" t="s">
        <v>44</v>
      </c>
      <c r="E698" s="2" t="s">
        <v>31</v>
      </c>
      <c r="F698" s="2" t="s">
        <v>45</v>
      </c>
      <c r="G698" s="2" t="s">
        <v>30</v>
      </c>
      <c r="H698" s="2" t="s">
        <v>1468</v>
      </c>
      <c r="I698" s="2" t="s">
        <v>117</v>
      </c>
      <c r="J698" s="2">
        <v>427.94</v>
      </c>
      <c r="K698" s="2">
        <v>12</v>
      </c>
      <c r="L698" s="2" t="s">
        <v>35</v>
      </c>
      <c r="M698" s="2">
        <v>5</v>
      </c>
      <c r="N698" s="2">
        <v>4</v>
      </c>
      <c r="O698" s="2">
        <v>1.3</v>
      </c>
      <c r="P698" s="2" t="s">
        <v>44</v>
      </c>
      <c r="Q698" s="2" t="s">
        <v>50</v>
      </c>
      <c r="R698" s="2">
        <v>1</v>
      </c>
      <c r="S698" s="2">
        <v>2</v>
      </c>
      <c r="T698" s="2" t="s">
        <v>36</v>
      </c>
      <c r="U698" s="2" t="s">
        <v>60</v>
      </c>
      <c r="V698" s="2" t="s">
        <v>66</v>
      </c>
      <c r="W698" s="3">
        <v>45380</v>
      </c>
      <c r="X698" s="2" t="b">
        <v>0</v>
      </c>
      <c r="Y698" s="2" t="b">
        <v>0</v>
      </c>
      <c r="Z698" s="2" t="s">
        <v>62</v>
      </c>
      <c r="AA698" s="2" t="s">
        <v>41</v>
      </c>
      <c r="AB698" s="2">
        <v>10</v>
      </c>
      <c r="AC698" s="2">
        <f>SUMIF(N:N,Ecommerce_Consumer_Behavior_Analysis_Data3[[#This Row],[Brand_Loyalty]],M:M)</f>
        <v>641</v>
      </c>
      <c r="AD698" s="2" t="e" cm="1" vm="1">
        <f t="array" aca="1" ref="AD698" ca="1">SUMIFS(Y:Y,Ecommerce_Consumer_Behavior_Analysis_Data3[[#This Row],[Payment_Method]],V:V)</f>
        <v>#VALUE!</v>
      </c>
      <c r="AE698" s="2">
        <f t="shared" si="14"/>
        <v>333.8</v>
      </c>
    </row>
    <row r="699" spans="1:31" x14ac:dyDescent="0.25">
      <c r="A699" s="2" t="s">
        <v>1469</v>
      </c>
      <c r="B699" s="2">
        <v>28</v>
      </c>
      <c r="C699" s="2" t="s">
        <v>29</v>
      </c>
      <c r="D699" s="2" t="s">
        <v>44</v>
      </c>
      <c r="E699" s="2" t="s">
        <v>55</v>
      </c>
      <c r="F699" s="2" t="s">
        <v>32</v>
      </c>
      <c r="G699" s="2" t="s">
        <v>44</v>
      </c>
      <c r="H699" s="2" t="s">
        <v>1470</v>
      </c>
      <c r="I699" s="2" t="s">
        <v>107</v>
      </c>
      <c r="J699" s="2">
        <v>81.23</v>
      </c>
      <c r="K699" s="2">
        <v>9</v>
      </c>
      <c r="L699" s="2" t="s">
        <v>35</v>
      </c>
      <c r="M699" s="2">
        <v>2</v>
      </c>
      <c r="N699" s="2">
        <v>5</v>
      </c>
      <c r="O699" s="2">
        <v>2</v>
      </c>
      <c r="P699" s="2" t="s">
        <v>44</v>
      </c>
      <c r="Q699" s="2" t="s">
        <v>50</v>
      </c>
      <c r="R699" s="2">
        <v>1</v>
      </c>
      <c r="S699" s="2">
        <v>10</v>
      </c>
      <c r="T699" s="2" t="s">
        <v>49</v>
      </c>
      <c r="U699" s="2" t="s">
        <v>38</v>
      </c>
      <c r="V699" s="2" t="s">
        <v>86</v>
      </c>
      <c r="W699" s="3">
        <v>45377</v>
      </c>
      <c r="X699" s="2" t="b">
        <v>0</v>
      </c>
      <c r="Y699" s="2" t="b">
        <v>1</v>
      </c>
      <c r="Z699" s="2" t="s">
        <v>52</v>
      </c>
      <c r="AA699" s="2" t="s">
        <v>53</v>
      </c>
      <c r="AB699" s="2">
        <v>6</v>
      </c>
      <c r="AC699" s="2">
        <f>SUMIF(N:N,Ecommerce_Consumer_Behavior_Analysis_Data3[[#This Row],[Brand_Loyalty]],M:M)</f>
        <v>582</v>
      </c>
      <c r="AD699" s="2" t="e" cm="1" vm="1">
        <f t="array" aca="1" ref="AD699" ca="1">SUMIFS(Y:Y,Ecommerce_Consumer_Behavior_Analysis_Data3[[#This Row],[Payment_Method]],V:V)</f>
        <v>#VALUE!</v>
      </c>
      <c r="AE699" s="2">
        <f t="shared" si="14"/>
        <v>211.7</v>
      </c>
    </row>
    <row r="700" spans="1:31" x14ac:dyDescent="0.25">
      <c r="A700" s="2" t="s">
        <v>1471</v>
      </c>
      <c r="B700" s="2">
        <v>23</v>
      </c>
      <c r="C700" s="2" t="s">
        <v>43</v>
      </c>
      <c r="D700" s="2" t="s">
        <v>30</v>
      </c>
      <c r="E700" s="2" t="s">
        <v>55</v>
      </c>
      <c r="F700" s="2" t="s">
        <v>45</v>
      </c>
      <c r="G700" s="2" t="s">
        <v>30</v>
      </c>
      <c r="H700" s="2" t="s">
        <v>1472</v>
      </c>
      <c r="I700" s="2" t="s">
        <v>107</v>
      </c>
      <c r="J700" s="2">
        <v>257.43</v>
      </c>
      <c r="K700" s="2">
        <v>5</v>
      </c>
      <c r="L700" s="2" t="s">
        <v>78</v>
      </c>
      <c r="M700" s="2">
        <v>4</v>
      </c>
      <c r="N700" s="2">
        <v>2</v>
      </c>
      <c r="O700" s="2">
        <v>0</v>
      </c>
      <c r="P700" s="2" t="s">
        <v>59</v>
      </c>
      <c r="Q700" s="2" t="s">
        <v>37</v>
      </c>
      <c r="R700" s="2">
        <v>1</v>
      </c>
      <c r="S700" s="2">
        <v>7</v>
      </c>
      <c r="T700" s="2" t="s">
        <v>59</v>
      </c>
      <c r="U700" s="2" t="s">
        <v>79</v>
      </c>
      <c r="V700" s="2" t="s">
        <v>66</v>
      </c>
      <c r="W700" s="3">
        <v>45396</v>
      </c>
      <c r="X700" s="2" t="b">
        <v>1</v>
      </c>
      <c r="Y700" s="2" t="b">
        <v>1</v>
      </c>
      <c r="Z700" s="2" t="s">
        <v>40</v>
      </c>
      <c r="AA700" s="2" t="s">
        <v>53</v>
      </c>
      <c r="AB700" s="2">
        <v>13</v>
      </c>
      <c r="AC700" s="2">
        <f>SUMIF(N:N,Ecommerce_Consumer_Behavior_Analysis_Data3[[#This Row],[Brand_Loyalty]],M:M)</f>
        <v>603</v>
      </c>
      <c r="AD700" s="2" t="e" cm="1" vm="1">
        <f t="array" aca="1" ref="AD700" ca="1">SUMIFS(Y:Y,Ecommerce_Consumer_Behavior_Analysis_Data3[[#This Row],[Payment_Method]],V:V)</f>
        <v>#VALUE!</v>
      </c>
      <c r="AE700" s="2">
        <f t="shared" si="14"/>
        <v>101.31</v>
      </c>
    </row>
    <row r="701" spans="1:31" x14ac:dyDescent="0.25">
      <c r="A701" s="2" t="s">
        <v>1473</v>
      </c>
      <c r="B701" s="2">
        <v>42</v>
      </c>
      <c r="C701" s="2" t="s">
        <v>43</v>
      </c>
      <c r="D701" s="2" t="s">
        <v>44</v>
      </c>
      <c r="E701" s="2" t="s">
        <v>76</v>
      </c>
      <c r="F701" s="2" t="s">
        <v>45</v>
      </c>
      <c r="G701" s="2" t="s">
        <v>44</v>
      </c>
      <c r="H701" s="2" t="s">
        <v>1474</v>
      </c>
      <c r="I701" s="2" t="s">
        <v>135</v>
      </c>
      <c r="J701" s="2">
        <v>305.73</v>
      </c>
      <c r="K701" s="2">
        <v>7</v>
      </c>
      <c r="L701" s="2" t="s">
        <v>35</v>
      </c>
      <c r="M701" s="2">
        <v>2</v>
      </c>
      <c r="N701" s="2">
        <v>5</v>
      </c>
      <c r="O701" s="2">
        <v>1</v>
      </c>
      <c r="P701" s="2" t="s">
        <v>49</v>
      </c>
      <c r="Q701" s="2" t="s">
        <v>50</v>
      </c>
      <c r="R701" s="2">
        <v>2</v>
      </c>
      <c r="S701" s="2">
        <v>8</v>
      </c>
      <c r="T701" s="2" t="s">
        <v>49</v>
      </c>
      <c r="U701" s="2" t="s">
        <v>38</v>
      </c>
      <c r="V701" s="2" t="s">
        <v>86</v>
      </c>
      <c r="W701" s="3">
        <v>45640</v>
      </c>
      <c r="X701" s="2" t="b">
        <v>1</v>
      </c>
      <c r="Y701" s="2" t="b">
        <v>0</v>
      </c>
      <c r="Z701" s="2" t="s">
        <v>74</v>
      </c>
      <c r="AA701" s="2" t="s">
        <v>67</v>
      </c>
      <c r="AB701" s="2">
        <v>14</v>
      </c>
      <c r="AC701" s="2">
        <f>SUMIF(N:N,Ecommerce_Consumer_Behavior_Analysis_Data3[[#This Row],[Brand_Loyalty]],M:M)</f>
        <v>582</v>
      </c>
      <c r="AD701" s="2" t="e" cm="1" vm="1">
        <f t="array" aca="1" ref="AD701" ca="1">SUMIFS(Y:Y,Ecommerce_Consumer_Behavior_Analysis_Data3[[#This Row],[Payment_Method]],V:V)</f>
        <v>#VALUE!</v>
      </c>
      <c r="AE701" s="2">
        <f t="shared" si="14"/>
        <v>101.31</v>
      </c>
    </row>
    <row r="702" spans="1:31" x14ac:dyDescent="0.25">
      <c r="A702" s="2" t="s">
        <v>1475</v>
      </c>
      <c r="B702" s="2">
        <v>32</v>
      </c>
      <c r="C702" s="2" t="s">
        <v>43</v>
      </c>
      <c r="D702" s="2" t="s">
        <v>44</v>
      </c>
      <c r="E702" s="2" t="s">
        <v>55</v>
      </c>
      <c r="F702" s="2" t="s">
        <v>32</v>
      </c>
      <c r="G702" s="2" t="s">
        <v>44</v>
      </c>
      <c r="H702" s="2" t="s">
        <v>1476</v>
      </c>
      <c r="I702" s="2" t="s">
        <v>126</v>
      </c>
      <c r="J702" s="2">
        <v>249.82</v>
      </c>
      <c r="K702" s="2">
        <v>10</v>
      </c>
      <c r="L702" s="2" t="s">
        <v>48</v>
      </c>
      <c r="M702" s="2">
        <v>5</v>
      </c>
      <c r="N702" s="2">
        <v>3</v>
      </c>
      <c r="O702" s="2">
        <v>1</v>
      </c>
      <c r="P702" s="2" t="s">
        <v>44</v>
      </c>
      <c r="Q702" s="2" t="s">
        <v>50</v>
      </c>
      <c r="R702" s="2">
        <v>2</v>
      </c>
      <c r="S702" s="2">
        <v>6</v>
      </c>
      <c r="T702" s="2" t="s">
        <v>49</v>
      </c>
      <c r="U702" s="2" t="s">
        <v>38</v>
      </c>
      <c r="V702" s="2" t="s">
        <v>51</v>
      </c>
      <c r="W702" s="3">
        <v>45516</v>
      </c>
      <c r="X702" s="2" t="b">
        <v>1</v>
      </c>
      <c r="Y702" s="2" t="b">
        <v>0</v>
      </c>
      <c r="Z702" s="2" t="s">
        <v>52</v>
      </c>
      <c r="AA702" s="2" t="s">
        <v>41</v>
      </c>
      <c r="AB702" s="2">
        <v>10</v>
      </c>
      <c r="AC702" s="2">
        <f>SUMIF(N:N,Ecommerce_Consumer_Behavior_Analysis_Data3[[#This Row],[Brand_Loyalty]],M:M)</f>
        <v>641</v>
      </c>
      <c r="AD702" s="2" t="e" cm="1" vm="1">
        <f t="array" aca="1" ref="AD702" ca="1">SUMIFS(Y:Y,Ecommerce_Consumer_Behavior_Analysis_Data3[[#This Row],[Payment_Method]],V:V)</f>
        <v>#VALUE!</v>
      </c>
      <c r="AE702" s="2">
        <f t="shared" si="14"/>
        <v>333.8</v>
      </c>
    </row>
    <row r="703" spans="1:31" x14ac:dyDescent="0.25">
      <c r="A703" s="2" t="s">
        <v>1477</v>
      </c>
      <c r="B703" s="2">
        <v>33</v>
      </c>
      <c r="C703" s="2" t="s">
        <v>43</v>
      </c>
      <c r="D703" s="2" t="s">
        <v>30</v>
      </c>
      <c r="E703" s="2" t="s">
        <v>76</v>
      </c>
      <c r="F703" s="2" t="s">
        <v>32</v>
      </c>
      <c r="G703" s="2" t="s">
        <v>44</v>
      </c>
      <c r="H703" s="2" t="s">
        <v>1478</v>
      </c>
      <c r="I703" s="2" t="s">
        <v>101</v>
      </c>
      <c r="J703" s="2">
        <v>332.79</v>
      </c>
      <c r="K703" s="2">
        <v>11</v>
      </c>
      <c r="L703" s="2" t="s">
        <v>78</v>
      </c>
      <c r="M703" s="2">
        <v>3</v>
      </c>
      <c r="N703" s="2">
        <v>5</v>
      </c>
      <c r="O703" s="2">
        <v>2</v>
      </c>
      <c r="P703" s="2" t="s">
        <v>36</v>
      </c>
      <c r="Q703" s="2" t="s">
        <v>50</v>
      </c>
      <c r="R703" s="2">
        <v>2</v>
      </c>
      <c r="S703" s="2">
        <v>1</v>
      </c>
      <c r="T703" s="2" t="s">
        <v>44</v>
      </c>
      <c r="U703" s="2" t="s">
        <v>38</v>
      </c>
      <c r="V703" s="2" t="s">
        <v>51</v>
      </c>
      <c r="W703" s="3">
        <v>45533</v>
      </c>
      <c r="X703" s="2" t="b">
        <v>0</v>
      </c>
      <c r="Y703" s="2" t="b">
        <v>0</v>
      </c>
      <c r="Z703" s="2" t="s">
        <v>52</v>
      </c>
      <c r="AA703" s="2" t="s">
        <v>41</v>
      </c>
      <c r="AB703" s="2">
        <v>4</v>
      </c>
      <c r="AC703" s="2">
        <f>SUMIF(N:N,Ecommerce_Consumer_Behavior_Analysis_Data3[[#This Row],[Brand_Loyalty]],M:M)</f>
        <v>597</v>
      </c>
      <c r="AD703" s="2" t="e" cm="1" vm="1">
        <f t="array" aca="1" ref="AD703" ca="1">SUMIFS(Y:Y,Ecommerce_Consumer_Behavior_Analysis_Data3[[#This Row],[Payment_Method]],V:V)</f>
        <v>#VALUE!</v>
      </c>
      <c r="AE703" s="2">
        <f t="shared" si="14"/>
        <v>101.31</v>
      </c>
    </row>
    <row r="704" spans="1:31" x14ac:dyDescent="0.25">
      <c r="A704" s="2" t="s">
        <v>1479</v>
      </c>
      <c r="B704" s="2">
        <v>32</v>
      </c>
      <c r="C704" s="2" t="s">
        <v>43</v>
      </c>
      <c r="D704" s="2" t="s">
        <v>44</v>
      </c>
      <c r="E704" s="2" t="s">
        <v>55</v>
      </c>
      <c r="F704" s="2" t="s">
        <v>32</v>
      </c>
      <c r="G704" s="2" t="s">
        <v>30</v>
      </c>
      <c r="H704" s="2" t="s">
        <v>1480</v>
      </c>
      <c r="I704" s="2" t="s">
        <v>135</v>
      </c>
      <c r="J704" s="2">
        <v>78.900000000000006</v>
      </c>
      <c r="K704" s="2">
        <v>3</v>
      </c>
      <c r="L704" s="2" t="s">
        <v>48</v>
      </c>
      <c r="M704" s="2">
        <v>4</v>
      </c>
      <c r="N704" s="2">
        <v>1</v>
      </c>
      <c r="O704" s="2">
        <v>1</v>
      </c>
      <c r="P704" s="2" t="s">
        <v>59</v>
      </c>
      <c r="Q704" s="2" t="s">
        <v>50</v>
      </c>
      <c r="R704" s="2">
        <v>0</v>
      </c>
      <c r="S704" s="2">
        <v>1</v>
      </c>
      <c r="T704" s="2" t="s">
        <v>49</v>
      </c>
      <c r="U704" s="2" t="s">
        <v>38</v>
      </c>
      <c r="V704" s="2" t="s">
        <v>61</v>
      </c>
      <c r="W704" s="3">
        <v>45542</v>
      </c>
      <c r="X704" s="2" t="b">
        <v>0</v>
      </c>
      <c r="Y704" s="2" t="b">
        <v>1</v>
      </c>
      <c r="Z704" s="2" t="s">
        <v>74</v>
      </c>
      <c r="AA704" s="2" t="s">
        <v>53</v>
      </c>
      <c r="AB704" s="2">
        <v>10</v>
      </c>
      <c r="AC704" s="2">
        <f>SUMIF(N:N,Ecommerce_Consumer_Behavior_Analysis_Data3[[#This Row],[Brand_Loyalty]],M:M)</f>
        <v>603</v>
      </c>
      <c r="AD704" s="2" t="e" cm="1" vm="1">
        <f t="array" aca="1" ref="AD704" ca="1">SUMIFS(Y:Y,Ecommerce_Consumer_Behavior_Analysis_Data3[[#This Row],[Payment_Method]],V:V)</f>
        <v>#VALUE!</v>
      </c>
      <c r="AE704" s="2">
        <f t="shared" si="14"/>
        <v>426.22</v>
      </c>
    </row>
    <row r="705" spans="1:31" x14ac:dyDescent="0.25">
      <c r="A705" s="2" t="s">
        <v>1481</v>
      </c>
      <c r="B705" s="2">
        <v>29</v>
      </c>
      <c r="C705" s="2" t="s">
        <v>43</v>
      </c>
      <c r="D705" s="2" t="s">
        <v>44</v>
      </c>
      <c r="E705" s="2" t="s">
        <v>69</v>
      </c>
      <c r="F705" s="2" t="s">
        <v>45</v>
      </c>
      <c r="G705" s="2" t="s">
        <v>44</v>
      </c>
      <c r="H705" s="2" t="s">
        <v>1482</v>
      </c>
      <c r="I705" s="2" t="s">
        <v>104</v>
      </c>
      <c r="J705" s="2">
        <v>122.55</v>
      </c>
      <c r="K705" s="2">
        <v>9</v>
      </c>
      <c r="L705" s="2" t="s">
        <v>35</v>
      </c>
      <c r="M705" s="2">
        <v>2</v>
      </c>
      <c r="N705" s="2">
        <v>4</v>
      </c>
      <c r="O705" s="2">
        <v>0.3</v>
      </c>
      <c r="P705" s="2" t="s">
        <v>59</v>
      </c>
      <c r="Q705" s="2" t="s">
        <v>50</v>
      </c>
      <c r="R705" s="2">
        <v>2</v>
      </c>
      <c r="S705" s="2">
        <v>3</v>
      </c>
      <c r="T705" s="2" t="s">
        <v>49</v>
      </c>
      <c r="U705" s="2" t="s">
        <v>79</v>
      </c>
      <c r="V705" s="2" t="s">
        <v>39</v>
      </c>
      <c r="W705" s="3">
        <v>45471</v>
      </c>
      <c r="X705" s="2" t="b">
        <v>0</v>
      </c>
      <c r="Y705" s="2" t="b">
        <v>0</v>
      </c>
      <c r="Z705" s="2" t="s">
        <v>62</v>
      </c>
      <c r="AA705" s="2" t="s">
        <v>67</v>
      </c>
      <c r="AB705" s="2">
        <v>4</v>
      </c>
      <c r="AC705" s="2">
        <f>SUMIF(N:N,Ecommerce_Consumer_Behavior_Analysis_Data3[[#This Row],[Brand_Loyalty]],M:M)</f>
        <v>582</v>
      </c>
      <c r="AD705" s="2" t="e" cm="1" vm="1">
        <f t="array" aca="1" ref="AD705" ca="1">SUMIFS(Y:Y,Ecommerce_Consumer_Behavior_Analysis_Data3[[#This Row],[Payment_Method]],V:V)</f>
        <v>#VALUE!</v>
      </c>
      <c r="AE705" s="2">
        <f t="shared" si="14"/>
        <v>211.7</v>
      </c>
    </row>
    <row r="706" spans="1:31" x14ac:dyDescent="0.25">
      <c r="A706" s="2" t="s">
        <v>1483</v>
      </c>
      <c r="B706" s="2">
        <v>25</v>
      </c>
      <c r="C706" s="2" t="s">
        <v>190</v>
      </c>
      <c r="D706" s="2" t="s">
        <v>44</v>
      </c>
      <c r="E706" s="2" t="s">
        <v>76</v>
      </c>
      <c r="F706" s="2" t="s">
        <v>32</v>
      </c>
      <c r="G706" s="2" t="s">
        <v>30</v>
      </c>
      <c r="H706" s="2" t="s">
        <v>1484</v>
      </c>
      <c r="I706" s="2" t="s">
        <v>93</v>
      </c>
      <c r="J706" s="2">
        <v>307.61</v>
      </c>
      <c r="K706" s="2">
        <v>6</v>
      </c>
      <c r="L706" s="2" t="s">
        <v>35</v>
      </c>
      <c r="M706" s="2">
        <v>1</v>
      </c>
      <c r="N706" s="2">
        <v>1</v>
      </c>
      <c r="O706" s="2">
        <v>0</v>
      </c>
      <c r="P706" s="2" t="s">
        <v>59</v>
      </c>
      <c r="Q706" s="2" t="s">
        <v>37</v>
      </c>
      <c r="R706" s="2">
        <v>0</v>
      </c>
      <c r="S706" s="2">
        <v>9</v>
      </c>
      <c r="T706" s="2" t="s">
        <v>49</v>
      </c>
      <c r="U706" s="2" t="s">
        <v>60</v>
      </c>
      <c r="V706" s="2" t="s">
        <v>51</v>
      </c>
      <c r="W706" s="3">
        <v>45547</v>
      </c>
      <c r="X706" s="2" t="b">
        <v>1</v>
      </c>
      <c r="Y706" s="2" t="b">
        <v>1</v>
      </c>
      <c r="Z706" s="2" t="s">
        <v>40</v>
      </c>
      <c r="AA706" s="2" t="s">
        <v>41</v>
      </c>
      <c r="AB706" s="2">
        <v>10</v>
      </c>
      <c r="AC706" s="2">
        <f>SUMIF(N:N,Ecommerce_Consumer_Behavior_Analysis_Data3[[#This Row],[Brand_Loyalty]],M:M)</f>
        <v>603</v>
      </c>
      <c r="AD706" s="2" t="e" cm="1" vm="1">
        <f t="array" aca="1" ref="AD706" ca="1">SUMIFS(Y:Y,Ecommerce_Consumer_Behavior_Analysis_Data3[[#This Row],[Payment_Method]],V:V)</f>
        <v>#VALUE!</v>
      </c>
      <c r="AE706" s="2">
        <f t="shared" ref="AE706:AE769" si="15">INDEX(J:J,MATCH(O707,O:O,0))</f>
        <v>101.31</v>
      </c>
    </row>
    <row r="707" spans="1:31" x14ac:dyDescent="0.25">
      <c r="A707" s="2" t="s">
        <v>1485</v>
      </c>
      <c r="B707" s="2">
        <v>41</v>
      </c>
      <c r="C707" s="2" t="s">
        <v>29</v>
      </c>
      <c r="D707" s="2" t="s">
        <v>44</v>
      </c>
      <c r="E707" s="2" t="s">
        <v>76</v>
      </c>
      <c r="F707" s="2" t="s">
        <v>32</v>
      </c>
      <c r="G707" s="2" t="s">
        <v>30</v>
      </c>
      <c r="H707" s="2" t="s">
        <v>1486</v>
      </c>
      <c r="I707" s="2" t="s">
        <v>120</v>
      </c>
      <c r="J707" s="2">
        <v>152.33000000000001</v>
      </c>
      <c r="K707" s="2">
        <v>2</v>
      </c>
      <c r="L707" s="2" t="s">
        <v>48</v>
      </c>
      <c r="M707" s="2">
        <v>1</v>
      </c>
      <c r="N707" s="2">
        <v>5</v>
      </c>
      <c r="O707" s="2">
        <v>1</v>
      </c>
      <c r="P707" s="2" t="s">
        <v>36</v>
      </c>
      <c r="Q707" s="2" t="s">
        <v>50</v>
      </c>
      <c r="R707" s="2">
        <v>1</v>
      </c>
      <c r="S707" s="2">
        <v>6</v>
      </c>
      <c r="T707" s="2" t="s">
        <v>44</v>
      </c>
      <c r="U707" s="2" t="s">
        <v>60</v>
      </c>
      <c r="V707" s="2" t="s">
        <v>61</v>
      </c>
      <c r="W707" s="3">
        <v>45310</v>
      </c>
      <c r="X707" s="2" t="b">
        <v>0</v>
      </c>
      <c r="Y707" s="2" t="b">
        <v>1</v>
      </c>
      <c r="Z707" s="2" t="s">
        <v>62</v>
      </c>
      <c r="AA707" s="2" t="s">
        <v>41</v>
      </c>
      <c r="AB707" s="2">
        <v>8</v>
      </c>
      <c r="AC707" s="2">
        <f>SUMIF(N:N,Ecommerce_Consumer_Behavior_Analysis_Data3[[#This Row],[Brand_Loyalty]],M:M)</f>
        <v>603</v>
      </c>
      <c r="AD707" s="2" t="e" cm="1" vm="1">
        <f t="array" aca="1" ref="AD707" ca="1">SUMIFS(Y:Y,Ecommerce_Consumer_Behavior_Analysis_Data3[[#This Row],[Payment_Method]],V:V)</f>
        <v>#VALUE!</v>
      </c>
      <c r="AE707" s="2">
        <f t="shared" si="15"/>
        <v>211.7</v>
      </c>
    </row>
    <row r="708" spans="1:31" x14ac:dyDescent="0.25">
      <c r="A708" s="2" t="s">
        <v>1487</v>
      </c>
      <c r="B708" s="2">
        <v>24</v>
      </c>
      <c r="C708" s="2" t="s">
        <v>29</v>
      </c>
      <c r="D708" s="2" t="s">
        <v>30</v>
      </c>
      <c r="E708" s="2" t="s">
        <v>76</v>
      </c>
      <c r="F708" s="2" t="s">
        <v>32</v>
      </c>
      <c r="G708" s="2" t="s">
        <v>44</v>
      </c>
      <c r="H708" s="2" t="s">
        <v>1488</v>
      </c>
      <c r="I708" s="2" t="s">
        <v>93</v>
      </c>
      <c r="J708" s="2">
        <v>465.07</v>
      </c>
      <c r="K708" s="2">
        <v>8</v>
      </c>
      <c r="L708" s="2" t="s">
        <v>78</v>
      </c>
      <c r="M708" s="2">
        <v>2</v>
      </c>
      <c r="N708" s="2">
        <v>4</v>
      </c>
      <c r="O708" s="2">
        <v>0</v>
      </c>
      <c r="P708" s="2" t="s">
        <v>49</v>
      </c>
      <c r="Q708" s="2" t="s">
        <v>50</v>
      </c>
      <c r="R708" s="2">
        <v>1</v>
      </c>
      <c r="S708" s="2">
        <v>2</v>
      </c>
      <c r="T708" s="2" t="s">
        <v>44</v>
      </c>
      <c r="U708" s="2" t="s">
        <v>79</v>
      </c>
      <c r="V708" s="2" t="s">
        <v>86</v>
      </c>
      <c r="W708" s="3">
        <v>45353</v>
      </c>
      <c r="X708" s="2" t="b">
        <v>0</v>
      </c>
      <c r="Y708" s="2" t="b">
        <v>0</v>
      </c>
      <c r="Z708" s="2" t="s">
        <v>52</v>
      </c>
      <c r="AA708" s="2" t="s">
        <v>41</v>
      </c>
      <c r="AB708" s="2">
        <v>8</v>
      </c>
      <c r="AC708" s="2">
        <f>SUMIF(N:N,Ecommerce_Consumer_Behavior_Analysis_Data3[[#This Row],[Brand_Loyalty]],M:M)</f>
        <v>582</v>
      </c>
      <c r="AD708" s="2" t="e" cm="1" vm="1">
        <f t="array" aca="1" ref="AD708" ca="1">SUMIFS(Y:Y,Ecommerce_Consumer_Behavior_Analysis_Data3[[#This Row],[Payment_Method]],V:V)</f>
        <v>#VALUE!</v>
      </c>
      <c r="AE708" s="2">
        <f t="shared" si="15"/>
        <v>211.7</v>
      </c>
    </row>
    <row r="709" spans="1:31" x14ac:dyDescent="0.25">
      <c r="A709" s="2" t="s">
        <v>1489</v>
      </c>
      <c r="B709" s="2">
        <v>32</v>
      </c>
      <c r="C709" s="2" t="s">
        <v>29</v>
      </c>
      <c r="D709" s="2" t="s">
        <v>44</v>
      </c>
      <c r="E709" s="2" t="s">
        <v>55</v>
      </c>
      <c r="F709" s="2" t="s">
        <v>56</v>
      </c>
      <c r="G709" s="2" t="s">
        <v>30</v>
      </c>
      <c r="H709" s="2" t="s">
        <v>1490</v>
      </c>
      <c r="I709" s="2" t="s">
        <v>90</v>
      </c>
      <c r="J709" s="2">
        <v>498.23</v>
      </c>
      <c r="K709" s="2">
        <v>10</v>
      </c>
      <c r="L709" s="2" t="s">
        <v>78</v>
      </c>
      <c r="M709" s="2">
        <v>5</v>
      </c>
      <c r="N709" s="2">
        <v>2</v>
      </c>
      <c r="O709" s="2">
        <v>0</v>
      </c>
      <c r="P709" s="2" t="s">
        <v>36</v>
      </c>
      <c r="Q709" s="2" t="s">
        <v>85</v>
      </c>
      <c r="R709" s="2">
        <v>0</v>
      </c>
      <c r="S709" s="2">
        <v>7</v>
      </c>
      <c r="T709" s="2" t="s">
        <v>49</v>
      </c>
      <c r="U709" s="2" t="s">
        <v>60</v>
      </c>
      <c r="V709" s="2" t="s">
        <v>66</v>
      </c>
      <c r="W709" s="3">
        <v>45299</v>
      </c>
      <c r="X709" s="2" t="b">
        <v>1</v>
      </c>
      <c r="Y709" s="2" t="b">
        <v>0</v>
      </c>
      <c r="Z709" s="2" t="s">
        <v>74</v>
      </c>
      <c r="AA709" s="2" t="s">
        <v>41</v>
      </c>
      <c r="AB709" s="2">
        <v>9</v>
      </c>
      <c r="AC709" s="2">
        <f>SUMIF(N:N,Ecommerce_Consumer_Behavior_Analysis_Data3[[#This Row],[Brand_Loyalty]],M:M)</f>
        <v>641</v>
      </c>
      <c r="AD709" s="2" t="e" cm="1" vm="1">
        <f t="array" aca="1" ref="AD709" ca="1">SUMIFS(Y:Y,Ecommerce_Consumer_Behavior_Analysis_Data3[[#This Row],[Payment_Method]],V:V)</f>
        <v>#VALUE!</v>
      </c>
      <c r="AE709" s="2">
        <f t="shared" si="15"/>
        <v>101.31</v>
      </c>
    </row>
    <row r="710" spans="1:31" x14ac:dyDescent="0.25">
      <c r="A710" s="2" t="s">
        <v>1491</v>
      </c>
      <c r="B710" s="2">
        <v>41</v>
      </c>
      <c r="C710" s="2" t="s">
        <v>29</v>
      </c>
      <c r="D710" s="2" t="s">
        <v>30</v>
      </c>
      <c r="E710" s="2" t="s">
        <v>69</v>
      </c>
      <c r="F710" s="2" t="s">
        <v>45</v>
      </c>
      <c r="G710" s="2" t="s">
        <v>30</v>
      </c>
      <c r="H710" s="2" t="s">
        <v>1492</v>
      </c>
      <c r="I710" s="2" t="s">
        <v>98</v>
      </c>
      <c r="J710" s="2">
        <v>491.18</v>
      </c>
      <c r="K710" s="2">
        <v>3</v>
      </c>
      <c r="L710" s="2" t="s">
        <v>35</v>
      </c>
      <c r="M710" s="2">
        <v>4</v>
      </c>
      <c r="N710" s="2">
        <v>4</v>
      </c>
      <c r="O710" s="2">
        <v>1</v>
      </c>
      <c r="P710" s="2" t="s">
        <v>44</v>
      </c>
      <c r="Q710" s="2" t="s">
        <v>85</v>
      </c>
      <c r="R710" s="2">
        <v>0</v>
      </c>
      <c r="S710" s="2">
        <v>6</v>
      </c>
      <c r="T710" s="2" t="s">
        <v>36</v>
      </c>
      <c r="U710" s="2" t="s">
        <v>60</v>
      </c>
      <c r="V710" s="2" t="s">
        <v>86</v>
      </c>
      <c r="W710" s="3">
        <v>45531</v>
      </c>
      <c r="X710" s="2" t="b">
        <v>0</v>
      </c>
      <c r="Y710" s="2" t="b">
        <v>0</v>
      </c>
      <c r="Z710" s="2" t="s">
        <v>62</v>
      </c>
      <c r="AA710" s="2" t="s">
        <v>41</v>
      </c>
      <c r="AB710" s="2">
        <v>14</v>
      </c>
      <c r="AC710" s="2">
        <f>SUMIF(N:N,Ecommerce_Consumer_Behavior_Analysis_Data3[[#This Row],[Brand_Loyalty]],M:M)</f>
        <v>603</v>
      </c>
      <c r="AD710" s="2" t="e" cm="1" vm="1">
        <f t="array" aca="1" ref="AD710" ca="1">SUMIFS(Y:Y,Ecommerce_Consumer_Behavior_Analysis_Data3[[#This Row],[Payment_Method]],V:V)</f>
        <v>#VALUE!</v>
      </c>
      <c r="AE710" s="2">
        <f t="shared" si="15"/>
        <v>333.8</v>
      </c>
    </row>
    <row r="711" spans="1:31" x14ac:dyDescent="0.25">
      <c r="A711" s="2" t="s">
        <v>1493</v>
      </c>
      <c r="B711" s="2">
        <v>18</v>
      </c>
      <c r="C711" s="2" t="s">
        <v>43</v>
      </c>
      <c r="D711" s="2" t="s">
        <v>30</v>
      </c>
      <c r="E711" s="2" t="s">
        <v>76</v>
      </c>
      <c r="F711" s="2" t="s">
        <v>32</v>
      </c>
      <c r="G711" s="2" t="s">
        <v>30</v>
      </c>
      <c r="H711" s="2" t="s">
        <v>1494</v>
      </c>
      <c r="I711" s="2" t="s">
        <v>104</v>
      </c>
      <c r="J711" s="2">
        <v>149.41999999999999</v>
      </c>
      <c r="K711" s="2">
        <v>3</v>
      </c>
      <c r="L711" s="2" t="s">
        <v>35</v>
      </c>
      <c r="M711" s="2">
        <v>1</v>
      </c>
      <c r="N711" s="2">
        <v>1</v>
      </c>
      <c r="O711" s="2">
        <v>2</v>
      </c>
      <c r="P711" s="2" t="s">
        <v>49</v>
      </c>
      <c r="Q711" s="2" t="s">
        <v>85</v>
      </c>
      <c r="R711" s="2">
        <v>0</v>
      </c>
      <c r="S711" s="2">
        <v>6</v>
      </c>
      <c r="T711" s="2" t="s">
        <v>36</v>
      </c>
      <c r="U711" s="2" t="s">
        <v>79</v>
      </c>
      <c r="V711" s="2" t="s">
        <v>86</v>
      </c>
      <c r="W711" s="3">
        <v>45294</v>
      </c>
      <c r="X711" s="2" t="b">
        <v>1</v>
      </c>
      <c r="Y711" s="2" t="b">
        <v>0</v>
      </c>
      <c r="Z711" s="2" t="s">
        <v>52</v>
      </c>
      <c r="AA711" s="2" t="s">
        <v>67</v>
      </c>
      <c r="AB711" s="2">
        <v>5</v>
      </c>
      <c r="AC711" s="2">
        <f>SUMIF(N:N,Ecommerce_Consumer_Behavior_Analysis_Data3[[#This Row],[Brand_Loyalty]],M:M)</f>
        <v>603</v>
      </c>
      <c r="AD711" s="2" t="e" cm="1" vm="1">
        <f t="array" aca="1" ref="AD711" ca="1">SUMIFS(Y:Y,Ecommerce_Consumer_Behavior_Analysis_Data3[[#This Row],[Payment_Method]],V:V)</f>
        <v>#VALUE!</v>
      </c>
      <c r="AE711" s="2">
        <f t="shared" si="15"/>
        <v>211.7</v>
      </c>
    </row>
    <row r="712" spans="1:31" x14ac:dyDescent="0.25">
      <c r="A712" s="2" t="s">
        <v>1495</v>
      </c>
      <c r="B712" s="2">
        <v>25</v>
      </c>
      <c r="C712" s="2" t="s">
        <v>43</v>
      </c>
      <c r="D712" s="2" t="s">
        <v>30</v>
      </c>
      <c r="E712" s="2" t="s">
        <v>55</v>
      </c>
      <c r="F712" s="2" t="s">
        <v>56</v>
      </c>
      <c r="G712" s="2" t="s">
        <v>30</v>
      </c>
      <c r="H712" s="2" t="s">
        <v>1496</v>
      </c>
      <c r="I712" s="2" t="s">
        <v>71</v>
      </c>
      <c r="J712" s="2">
        <v>82.13</v>
      </c>
      <c r="K712" s="2">
        <v>9</v>
      </c>
      <c r="L712" s="2" t="s">
        <v>78</v>
      </c>
      <c r="M712" s="2">
        <v>5</v>
      </c>
      <c r="N712" s="2">
        <v>1</v>
      </c>
      <c r="O712" s="2">
        <v>0</v>
      </c>
      <c r="P712" s="2" t="s">
        <v>49</v>
      </c>
      <c r="Q712" s="2" t="s">
        <v>37</v>
      </c>
      <c r="R712" s="2">
        <v>2</v>
      </c>
      <c r="S712" s="2">
        <v>6</v>
      </c>
      <c r="T712" s="2" t="s">
        <v>44</v>
      </c>
      <c r="U712" s="2" t="s">
        <v>38</v>
      </c>
      <c r="V712" s="2" t="s">
        <v>61</v>
      </c>
      <c r="W712" s="3">
        <v>45391</v>
      </c>
      <c r="X712" s="2" t="b">
        <v>1</v>
      </c>
      <c r="Y712" s="2" t="b">
        <v>1</v>
      </c>
      <c r="Z712" s="2" t="s">
        <v>40</v>
      </c>
      <c r="AA712" s="2" t="s">
        <v>67</v>
      </c>
      <c r="AB712" s="2">
        <v>6</v>
      </c>
      <c r="AC712" s="2">
        <f>SUMIF(N:N,Ecommerce_Consumer_Behavior_Analysis_Data3[[#This Row],[Brand_Loyalty]],M:M)</f>
        <v>641</v>
      </c>
      <c r="AD712" s="2" t="e" cm="1" vm="1">
        <f t="array" aca="1" ref="AD712" ca="1">SUMIFS(Y:Y,Ecommerce_Consumer_Behavior_Analysis_Data3[[#This Row],[Payment_Method]],V:V)</f>
        <v>#VALUE!</v>
      </c>
      <c r="AE712" s="2">
        <f t="shared" si="15"/>
        <v>211.7</v>
      </c>
    </row>
    <row r="713" spans="1:31" x14ac:dyDescent="0.25">
      <c r="A713" s="2" t="s">
        <v>1497</v>
      </c>
      <c r="B713" s="2">
        <v>49</v>
      </c>
      <c r="C713" s="2" t="s">
        <v>43</v>
      </c>
      <c r="D713" s="2" t="s">
        <v>30</v>
      </c>
      <c r="E713" s="2" t="s">
        <v>76</v>
      </c>
      <c r="F713" s="2" t="s">
        <v>32</v>
      </c>
      <c r="G713" s="2" t="s">
        <v>44</v>
      </c>
      <c r="H713" s="2" t="s">
        <v>1498</v>
      </c>
      <c r="I713" s="2" t="s">
        <v>90</v>
      </c>
      <c r="J713" s="2">
        <v>425.18</v>
      </c>
      <c r="K713" s="2">
        <v>4</v>
      </c>
      <c r="L713" s="2" t="s">
        <v>35</v>
      </c>
      <c r="M713" s="2">
        <v>2</v>
      </c>
      <c r="N713" s="2">
        <v>1</v>
      </c>
      <c r="O713" s="2">
        <v>0</v>
      </c>
      <c r="P713" s="2" t="s">
        <v>49</v>
      </c>
      <c r="Q713" s="2" t="s">
        <v>85</v>
      </c>
      <c r="R713" s="2">
        <v>1</v>
      </c>
      <c r="S713" s="2">
        <v>8</v>
      </c>
      <c r="T713" s="2" t="s">
        <v>49</v>
      </c>
      <c r="U713" s="2" t="s">
        <v>38</v>
      </c>
      <c r="V713" s="2" t="s">
        <v>51</v>
      </c>
      <c r="W713" s="3">
        <v>45370</v>
      </c>
      <c r="X713" s="2" t="b">
        <v>1</v>
      </c>
      <c r="Y713" s="2" t="b">
        <v>0</v>
      </c>
      <c r="Z713" s="2" t="s">
        <v>52</v>
      </c>
      <c r="AA713" s="2" t="s">
        <v>53</v>
      </c>
      <c r="AB713" s="2">
        <v>10</v>
      </c>
      <c r="AC713" s="2">
        <f>SUMIF(N:N,Ecommerce_Consumer_Behavior_Analysis_Data3[[#This Row],[Brand_Loyalty]],M:M)</f>
        <v>582</v>
      </c>
      <c r="AD713" s="2" t="e" cm="1" vm="1">
        <f t="array" aca="1" ref="AD713" ca="1">SUMIFS(Y:Y,Ecommerce_Consumer_Behavior_Analysis_Data3[[#This Row],[Payment_Method]],V:V)</f>
        <v>#VALUE!</v>
      </c>
      <c r="AE713" s="2">
        <f t="shared" si="15"/>
        <v>283.77999999999997</v>
      </c>
    </row>
    <row r="714" spans="1:31" x14ac:dyDescent="0.25">
      <c r="A714" s="2" t="s">
        <v>1499</v>
      </c>
      <c r="B714" s="2">
        <v>39</v>
      </c>
      <c r="C714" s="2" t="s">
        <v>43</v>
      </c>
      <c r="D714" s="2" t="s">
        <v>44</v>
      </c>
      <c r="E714" s="2" t="s">
        <v>31</v>
      </c>
      <c r="F714" s="2" t="s">
        <v>56</v>
      </c>
      <c r="G714" s="2" t="s">
        <v>30</v>
      </c>
      <c r="H714" s="2" t="s">
        <v>1500</v>
      </c>
      <c r="I714" s="2" t="s">
        <v>135</v>
      </c>
      <c r="J714" s="2">
        <v>176.12</v>
      </c>
      <c r="K714" s="2">
        <v>8</v>
      </c>
      <c r="L714" s="2" t="s">
        <v>78</v>
      </c>
      <c r="M714" s="2">
        <v>2</v>
      </c>
      <c r="N714" s="2">
        <v>3</v>
      </c>
      <c r="O714" s="2">
        <v>1.2</v>
      </c>
      <c r="P714" s="2" t="s">
        <v>49</v>
      </c>
      <c r="Q714" s="2" t="s">
        <v>37</v>
      </c>
      <c r="R714" s="2">
        <v>1</v>
      </c>
      <c r="S714" s="2">
        <v>10</v>
      </c>
      <c r="T714" s="2" t="s">
        <v>59</v>
      </c>
      <c r="U714" s="2" t="s">
        <v>79</v>
      </c>
      <c r="V714" s="2" t="s">
        <v>39</v>
      </c>
      <c r="W714" s="3">
        <v>45458</v>
      </c>
      <c r="X714" s="2" t="b">
        <v>1</v>
      </c>
      <c r="Y714" s="2" t="b">
        <v>1</v>
      </c>
      <c r="Z714" s="2" t="s">
        <v>62</v>
      </c>
      <c r="AA714" s="2" t="s">
        <v>53</v>
      </c>
      <c r="AB714" s="2">
        <v>14</v>
      </c>
      <c r="AC714" s="2">
        <f>SUMIF(N:N,Ecommerce_Consumer_Behavior_Analysis_Data3[[#This Row],[Brand_Loyalty]],M:M)</f>
        <v>582</v>
      </c>
      <c r="AD714" s="2" t="e" cm="1" vm="1">
        <f t="array" aca="1" ref="AD714" ca="1">SUMIFS(Y:Y,Ecommerce_Consumer_Behavior_Analysis_Data3[[#This Row],[Payment_Method]],V:V)</f>
        <v>#VALUE!</v>
      </c>
      <c r="AE714" s="2">
        <f t="shared" si="15"/>
        <v>211.7</v>
      </c>
    </row>
    <row r="715" spans="1:31" x14ac:dyDescent="0.25">
      <c r="A715" s="2" t="s">
        <v>1501</v>
      </c>
      <c r="B715" s="2">
        <v>47</v>
      </c>
      <c r="C715" s="2" t="s">
        <v>29</v>
      </c>
      <c r="D715" s="2" t="s">
        <v>44</v>
      </c>
      <c r="E715" s="2" t="s">
        <v>55</v>
      </c>
      <c r="F715" s="2" t="s">
        <v>45</v>
      </c>
      <c r="G715" s="2" t="s">
        <v>30</v>
      </c>
      <c r="H715" s="2" t="s">
        <v>1502</v>
      </c>
      <c r="I715" s="2" t="s">
        <v>246</v>
      </c>
      <c r="J715" s="2">
        <v>70.3</v>
      </c>
      <c r="K715" s="2">
        <v>6</v>
      </c>
      <c r="L715" s="2" t="s">
        <v>78</v>
      </c>
      <c r="M715" s="2">
        <v>3</v>
      </c>
      <c r="N715" s="2">
        <v>5</v>
      </c>
      <c r="O715" s="2">
        <v>0</v>
      </c>
      <c r="P715" s="2" t="s">
        <v>36</v>
      </c>
      <c r="Q715" s="2" t="s">
        <v>85</v>
      </c>
      <c r="R715" s="2">
        <v>1</v>
      </c>
      <c r="S715" s="2">
        <v>8</v>
      </c>
      <c r="T715" s="2" t="s">
        <v>49</v>
      </c>
      <c r="U715" s="2" t="s">
        <v>79</v>
      </c>
      <c r="V715" s="2" t="s">
        <v>86</v>
      </c>
      <c r="W715" s="3">
        <v>45354</v>
      </c>
      <c r="X715" s="2" t="b">
        <v>1</v>
      </c>
      <c r="Y715" s="2" t="b">
        <v>1</v>
      </c>
      <c r="Z715" s="2" t="s">
        <v>40</v>
      </c>
      <c r="AA715" s="2" t="s">
        <v>53</v>
      </c>
      <c r="AB715" s="2">
        <v>3</v>
      </c>
      <c r="AC715" s="2">
        <f>SUMIF(N:N,Ecommerce_Consumer_Behavior_Analysis_Data3[[#This Row],[Brand_Loyalty]],M:M)</f>
        <v>597</v>
      </c>
      <c r="AD715" s="2" t="e" cm="1" vm="1">
        <f t="array" aca="1" ref="AD715" ca="1">SUMIFS(Y:Y,Ecommerce_Consumer_Behavior_Analysis_Data3[[#This Row],[Payment_Method]],V:V)</f>
        <v>#VALUE!</v>
      </c>
      <c r="AE715" s="2">
        <f t="shared" si="15"/>
        <v>211.7</v>
      </c>
    </row>
    <row r="716" spans="1:31" x14ac:dyDescent="0.25">
      <c r="A716" s="2" t="s">
        <v>1503</v>
      </c>
      <c r="B716" s="2">
        <v>43</v>
      </c>
      <c r="C716" s="2" t="s">
        <v>43</v>
      </c>
      <c r="D716" s="2" t="s">
        <v>30</v>
      </c>
      <c r="E716" s="2" t="s">
        <v>31</v>
      </c>
      <c r="F716" s="2" t="s">
        <v>32</v>
      </c>
      <c r="G716" s="2" t="s">
        <v>30</v>
      </c>
      <c r="H716" s="2" t="s">
        <v>1504</v>
      </c>
      <c r="I716" s="2" t="s">
        <v>98</v>
      </c>
      <c r="J716" s="2">
        <v>319.39</v>
      </c>
      <c r="K716" s="2">
        <v>7</v>
      </c>
      <c r="L716" s="2" t="s">
        <v>35</v>
      </c>
      <c r="M716" s="2">
        <v>4</v>
      </c>
      <c r="N716" s="2">
        <v>5</v>
      </c>
      <c r="O716" s="2">
        <v>0</v>
      </c>
      <c r="P716" s="2" t="s">
        <v>36</v>
      </c>
      <c r="Q716" s="2" t="s">
        <v>85</v>
      </c>
      <c r="R716" s="2">
        <v>1</v>
      </c>
      <c r="S716" s="2">
        <v>10</v>
      </c>
      <c r="T716" s="2" t="s">
        <v>44</v>
      </c>
      <c r="U716" s="2" t="s">
        <v>79</v>
      </c>
      <c r="V716" s="2" t="s">
        <v>39</v>
      </c>
      <c r="W716" s="3">
        <v>45613</v>
      </c>
      <c r="X716" s="2" t="b">
        <v>0</v>
      </c>
      <c r="Y716" s="2" t="b">
        <v>1</v>
      </c>
      <c r="Z716" s="2" t="s">
        <v>74</v>
      </c>
      <c r="AA716" s="2" t="s">
        <v>53</v>
      </c>
      <c r="AB716" s="2">
        <v>3</v>
      </c>
      <c r="AC716" s="2">
        <f>SUMIF(N:N,Ecommerce_Consumer_Behavior_Analysis_Data3[[#This Row],[Brand_Loyalty]],M:M)</f>
        <v>603</v>
      </c>
      <c r="AD716" s="2" t="e" cm="1" vm="1">
        <f t="array" aca="1" ref="AD716" ca="1">SUMIFS(Y:Y,Ecommerce_Consumer_Behavior_Analysis_Data3[[#This Row],[Payment_Method]],V:V)</f>
        <v>#VALUE!</v>
      </c>
      <c r="AE716" s="2">
        <f t="shared" si="15"/>
        <v>101.31</v>
      </c>
    </row>
    <row r="717" spans="1:31" x14ac:dyDescent="0.25">
      <c r="A717" s="2" t="s">
        <v>1505</v>
      </c>
      <c r="B717" s="2">
        <v>38</v>
      </c>
      <c r="C717" s="2" t="s">
        <v>29</v>
      </c>
      <c r="D717" s="2" t="s">
        <v>44</v>
      </c>
      <c r="E717" s="2" t="s">
        <v>69</v>
      </c>
      <c r="F717" s="2" t="s">
        <v>45</v>
      </c>
      <c r="G717" s="2" t="s">
        <v>44</v>
      </c>
      <c r="H717" s="2" t="s">
        <v>1506</v>
      </c>
      <c r="I717" s="2" t="s">
        <v>65</v>
      </c>
      <c r="J717" s="2">
        <v>113.51</v>
      </c>
      <c r="K717" s="2">
        <v>11</v>
      </c>
      <c r="L717" s="2" t="s">
        <v>35</v>
      </c>
      <c r="M717" s="2">
        <v>4</v>
      </c>
      <c r="N717" s="2">
        <v>1</v>
      </c>
      <c r="O717" s="2">
        <v>1</v>
      </c>
      <c r="P717" s="2" t="s">
        <v>44</v>
      </c>
      <c r="Q717" s="2" t="s">
        <v>50</v>
      </c>
      <c r="R717" s="2">
        <v>2</v>
      </c>
      <c r="S717" s="2">
        <v>2</v>
      </c>
      <c r="T717" s="2" t="s">
        <v>59</v>
      </c>
      <c r="U717" s="2" t="s">
        <v>79</v>
      </c>
      <c r="V717" s="2" t="s">
        <v>39</v>
      </c>
      <c r="W717" s="3">
        <v>45336</v>
      </c>
      <c r="X717" s="2" t="b">
        <v>1</v>
      </c>
      <c r="Y717" s="2" t="b">
        <v>1</v>
      </c>
      <c r="Z717" s="2" t="s">
        <v>74</v>
      </c>
      <c r="AA717" s="2" t="s">
        <v>67</v>
      </c>
      <c r="AB717" s="2">
        <v>8</v>
      </c>
      <c r="AC717" s="2">
        <f>SUMIF(N:N,Ecommerce_Consumer_Behavior_Analysis_Data3[[#This Row],[Brand_Loyalty]],M:M)</f>
        <v>603</v>
      </c>
      <c r="AD717" s="2" t="e" cm="1" vm="1">
        <f t="array" aca="1" ref="AD717" ca="1">SUMIFS(Y:Y,Ecommerce_Consumer_Behavior_Analysis_Data3[[#This Row],[Payment_Method]],V:V)</f>
        <v>#VALUE!</v>
      </c>
      <c r="AE717" s="2">
        <f t="shared" si="15"/>
        <v>333.8</v>
      </c>
    </row>
    <row r="718" spans="1:31" x14ac:dyDescent="0.25">
      <c r="A718" s="2" t="s">
        <v>1507</v>
      </c>
      <c r="B718" s="2">
        <v>40</v>
      </c>
      <c r="C718" s="2" t="s">
        <v>29</v>
      </c>
      <c r="D718" s="2" t="s">
        <v>44</v>
      </c>
      <c r="E718" s="2" t="s">
        <v>55</v>
      </c>
      <c r="F718" s="2" t="s">
        <v>32</v>
      </c>
      <c r="G718" s="2" t="s">
        <v>30</v>
      </c>
      <c r="H718" s="2" t="s">
        <v>1508</v>
      </c>
      <c r="I718" s="2" t="s">
        <v>101</v>
      </c>
      <c r="J718" s="2">
        <v>492.74</v>
      </c>
      <c r="K718" s="2">
        <v>2</v>
      </c>
      <c r="L718" s="2" t="s">
        <v>35</v>
      </c>
      <c r="M718" s="2">
        <v>1</v>
      </c>
      <c r="N718" s="2">
        <v>5</v>
      </c>
      <c r="O718" s="2">
        <v>2</v>
      </c>
      <c r="P718" s="2" t="s">
        <v>59</v>
      </c>
      <c r="Q718" s="2" t="s">
        <v>85</v>
      </c>
      <c r="R718" s="2">
        <v>1</v>
      </c>
      <c r="S718" s="2">
        <v>3</v>
      </c>
      <c r="T718" s="2" t="s">
        <v>44</v>
      </c>
      <c r="U718" s="2" t="s">
        <v>38</v>
      </c>
      <c r="V718" s="2" t="s">
        <v>66</v>
      </c>
      <c r="W718" s="3">
        <v>45351</v>
      </c>
      <c r="X718" s="2" t="b">
        <v>1</v>
      </c>
      <c r="Y718" s="2" t="b">
        <v>0</v>
      </c>
      <c r="Z718" s="2" t="s">
        <v>40</v>
      </c>
      <c r="AA718" s="2" t="s">
        <v>67</v>
      </c>
      <c r="AB718" s="2">
        <v>13</v>
      </c>
      <c r="AC718" s="2">
        <f>SUMIF(N:N,Ecommerce_Consumer_Behavior_Analysis_Data3[[#This Row],[Brand_Loyalty]],M:M)</f>
        <v>603</v>
      </c>
      <c r="AD718" s="2" t="e" cm="1" vm="1">
        <f t="array" aca="1" ref="AD718" ca="1">SUMIFS(Y:Y,Ecommerce_Consumer_Behavior_Analysis_Data3[[#This Row],[Payment_Method]],V:V)</f>
        <v>#VALUE!</v>
      </c>
      <c r="AE718" s="2">
        <f t="shared" si="15"/>
        <v>333.8</v>
      </c>
    </row>
    <row r="719" spans="1:31" x14ac:dyDescent="0.25">
      <c r="A719" s="2" t="s">
        <v>1509</v>
      </c>
      <c r="B719" s="2">
        <v>33</v>
      </c>
      <c r="C719" s="2" t="s">
        <v>43</v>
      </c>
      <c r="D719" s="2" t="s">
        <v>30</v>
      </c>
      <c r="E719" s="2" t="s">
        <v>76</v>
      </c>
      <c r="F719" s="2" t="s">
        <v>56</v>
      </c>
      <c r="G719" s="2" t="s">
        <v>30</v>
      </c>
      <c r="H719" s="2" t="s">
        <v>1510</v>
      </c>
      <c r="I719" s="2" t="s">
        <v>71</v>
      </c>
      <c r="J719" s="2">
        <v>143.80000000000001</v>
      </c>
      <c r="K719" s="2">
        <v>9</v>
      </c>
      <c r="L719" s="2" t="s">
        <v>48</v>
      </c>
      <c r="M719" s="2">
        <v>2</v>
      </c>
      <c r="N719" s="2">
        <v>2</v>
      </c>
      <c r="O719" s="2">
        <v>2</v>
      </c>
      <c r="P719" s="2" t="s">
        <v>59</v>
      </c>
      <c r="Q719" s="2" t="s">
        <v>37</v>
      </c>
      <c r="R719" s="2">
        <v>0</v>
      </c>
      <c r="S719" s="2">
        <v>7</v>
      </c>
      <c r="T719" s="2" t="s">
        <v>36</v>
      </c>
      <c r="U719" s="2" t="s">
        <v>38</v>
      </c>
      <c r="V719" s="2" t="s">
        <v>61</v>
      </c>
      <c r="W719" s="3">
        <v>45344</v>
      </c>
      <c r="X719" s="2" t="b">
        <v>1</v>
      </c>
      <c r="Y719" s="2" t="b">
        <v>0</v>
      </c>
      <c r="Z719" s="2" t="s">
        <v>52</v>
      </c>
      <c r="AA719" s="2" t="s">
        <v>41</v>
      </c>
      <c r="AB719" s="2">
        <v>11</v>
      </c>
      <c r="AC719" s="2">
        <f>SUMIF(N:N,Ecommerce_Consumer_Behavior_Analysis_Data3[[#This Row],[Brand_Loyalty]],M:M)</f>
        <v>582</v>
      </c>
      <c r="AD719" s="2" t="e" cm="1" vm="1">
        <f t="array" aca="1" ref="AD719" ca="1">SUMIFS(Y:Y,Ecommerce_Consumer_Behavior_Analysis_Data3[[#This Row],[Payment_Method]],V:V)</f>
        <v>#VALUE!</v>
      </c>
      <c r="AE719" s="2">
        <f t="shared" si="15"/>
        <v>101.31</v>
      </c>
    </row>
    <row r="720" spans="1:31" x14ac:dyDescent="0.25">
      <c r="A720" s="2" t="s">
        <v>1511</v>
      </c>
      <c r="B720" s="2">
        <v>18</v>
      </c>
      <c r="C720" s="2" t="s">
        <v>274</v>
      </c>
      <c r="D720" s="2" t="s">
        <v>30</v>
      </c>
      <c r="E720" s="2" t="s">
        <v>69</v>
      </c>
      <c r="F720" s="2" t="s">
        <v>32</v>
      </c>
      <c r="G720" s="2" t="s">
        <v>30</v>
      </c>
      <c r="H720" s="2" t="s">
        <v>1512</v>
      </c>
      <c r="I720" s="2" t="s">
        <v>135</v>
      </c>
      <c r="J720" s="2">
        <v>158.54</v>
      </c>
      <c r="K720" s="2">
        <v>5</v>
      </c>
      <c r="L720" s="2" t="s">
        <v>78</v>
      </c>
      <c r="M720" s="2">
        <v>2</v>
      </c>
      <c r="N720" s="2">
        <v>1</v>
      </c>
      <c r="O720" s="2">
        <v>1</v>
      </c>
      <c r="P720" s="2" t="s">
        <v>59</v>
      </c>
      <c r="Q720" s="2" t="s">
        <v>50</v>
      </c>
      <c r="R720" s="2">
        <v>2</v>
      </c>
      <c r="S720" s="2">
        <v>7</v>
      </c>
      <c r="T720" s="2" t="s">
        <v>44</v>
      </c>
      <c r="U720" s="2" t="s">
        <v>60</v>
      </c>
      <c r="V720" s="2" t="s">
        <v>61</v>
      </c>
      <c r="W720" s="3">
        <v>45382</v>
      </c>
      <c r="X720" s="2" t="b">
        <v>0</v>
      </c>
      <c r="Y720" s="2" t="b">
        <v>0</v>
      </c>
      <c r="Z720" s="2" t="s">
        <v>74</v>
      </c>
      <c r="AA720" s="2" t="s">
        <v>67</v>
      </c>
      <c r="AB720" s="2">
        <v>5</v>
      </c>
      <c r="AC720" s="2">
        <f>SUMIF(N:N,Ecommerce_Consumer_Behavior_Analysis_Data3[[#This Row],[Brand_Loyalty]],M:M)</f>
        <v>582</v>
      </c>
      <c r="AD720" s="2" t="e" cm="1" vm="1">
        <f t="array" aca="1" ref="AD720" ca="1">SUMIFS(Y:Y,Ecommerce_Consumer_Behavior_Analysis_Data3[[#This Row],[Payment_Method]],V:V)</f>
        <v>#VALUE!</v>
      </c>
      <c r="AE720" s="2">
        <f t="shared" si="15"/>
        <v>333.8</v>
      </c>
    </row>
    <row r="721" spans="1:31" x14ac:dyDescent="0.25">
      <c r="A721" s="2" t="s">
        <v>1513</v>
      </c>
      <c r="B721" s="2">
        <v>39</v>
      </c>
      <c r="C721" s="2" t="s">
        <v>29</v>
      </c>
      <c r="D721" s="2" t="s">
        <v>44</v>
      </c>
      <c r="E721" s="2" t="s">
        <v>31</v>
      </c>
      <c r="F721" s="2" t="s">
        <v>32</v>
      </c>
      <c r="G721" s="2" t="s">
        <v>44</v>
      </c>
      <c r="H721" s="2" t="s">
        <v>1514</v>
      </c>
      <c r="I721" s="2" t="s">
        <v>71</v>
      </c>
      <c r="J721" s="2">
        <v>213.39</v>
      </c>
      <c r="K721" s="2">
        <v>6</v>
      </c>
      <c r="L721" s="2" t="s">
        <v>78</v>
      </c>
      <c r="M721" s="2">
        <v>3</v>
      </c>
      <c r="N721" s="2">
        <v>4</v>
      </c>
      <c r="O721" s="2">
        <v>2</v>
      </c>
      <c r="P721" s="2" t="s">
        <v>49</v>
      </c>
      <c r="Q721" s="2" t="s">
        <v>50</v>
      </c>
      <c r="R721" s="2">
        <v>2</v>
      </c>
      <c r="S721" s="2">
        <v>5</v>
      </c>
      <c r="T721" s="2" t="s">
        <v>49</v>
      </c>
      <c r="U721" s="2" t="s">
        <v>79</v>
      </c>
      <c r="V721" s="2" t="s">
        <v>86</v>
      </c>
      <c r="W721" s="3">
        <v>45592</v>
      </c>
      <c r="X721" s="2" t="b">
        <v>0</v>
      </c>
      <c r="Y721" s="2" t="b">
        <v>1</v>
      </c>
      <c r="Z721" s="2" t="s">
        <v>74</v>
      </c>
      <c r="AA721" s="2" t="s">
        <v>53</v>
      </c>
      <c r="AB721" s="2">
        <v>4</v>
      </c>
      <c r="AC721" s="2">
        <f>SUMIF(N:N,Ecommerce_Consumer_Behavior_Analysis_Data3[[#This Row],[Brand_Loyalty]],M:M)</f>
        <v>597</v>
      </c>
      <c r="AD721" s="2" t="e" cm="1" vm="1">
        <f t="array" aca="1" ref="AD721" ca="1">SUMIFS(Y:Y,Ecommerce_Consumer_Behavior_Analysis_Data3[[#This Row],[Payment_Method]],V:V)</f>
        <v>#VALUE!</v>
      </c>
      <c r="AE721" s="2">
        <f t="shared" si="15"/>
        <v>101.31</v>
      </c>
    </row>
    <row r="722" spans="1:31" x14ac:dyDescent="0.25">
      <c r="A722" s="2" t="s">
        <v>1515</v>
      </c>
      <c r="B722" s="2">
        <v>31</v>
      </c>
      <c r="C722" s="2" t="s">
        <v>43</v>
      </c>
      <c r="D722" s="2" t="s">
        <v>30</v>
      </c>
      <c r="E722" s="2" t="s">
        <v>76</v>
      </c>
      <c r="F722" s="2" t="s">
        <v>32</v>
      </c>
      <c r="G722" s="2" t="s">
        <v>44</v>
      </c>
      <c r="H722" s="2" t="s">
        <v>1516</v>
      </c>
      <c r="I722" s="2" t="s">
        <v>142</v>
      </c>
      <c r="J722" s="2">
        <v>127.18</v>
      </c>
      <c r="K722" s="2">
        <v>2</v>
      </c>
      <c r="L722" s="2" t="s">
        <v>48</v>
      </c>
      <c r="M722" s="2">
        <v>5</v>
      </c>
      <c r="N722" s="2">
        <v>5</v>
      </c>
      <c r="O722" s="2">
        <v>1</v>
      </c>
      <c r="P722" s="2" t="s">
        <v>49</v>
      </c>
      <c r="Q722" s="2" t="s">
        <v>37</v>
      </c>
      <c r="R722" s="2">
        <v>0</v>
      </c>
      <c r="S722" s="2">
        <v>2</v>
      </c>
      <c r="T722" s="2" t="s">
        <v>49</v>
      </c>
      <c r="U722" s="2" t="s">
        <v>79</v>
      </c>
      <c r="V722" s="2" t="s">
        <v>61</v>
      </c>
      <c r="W722" s="3">
        <v>45647</v>
      </c>
      <c r="X722" s="2" t="b">
        <v>0</v>
      </c>
      <c r="Y722" s="2" t="b">
        <v>0</v>
      </c>
      <c r="Z722" s="2" t="s">
        <v>74</v>
      </c>
      <c r="AA722" s="2" t="s">
        <v>53</v>
      </c>
      <c r="AB722" s="2">
        <v>4</v>
      </c>
      <c r="AC722" s="2">
        <f>SUMIF(N:N,Ecommerce_Consumer_Behavior_Analysis_Data3[[#This Row],[Brand_Loyalty]],M:M)</f>
        <v>641</v>
      </c>
      <c r="AD722" s="2" t="e" cm="1" vm="1">
        <f t="array" aca="1" ref="AD722" ca="1">SUMIFS(Y:Y,Ecommerce_Consumer_Behavior_Analysis_Data3[[#This Row],[Payment_Method]],V:V)</f>
        <v>#VALUE!</v>
      </c>
      <c r="AE722" s="2">
        <f t="shared" si="15"/>
        <v>333.8</v>
      </c>
    </row>
    <row r="723" spans="1:31" x14ac:dyDescent="0.25">
      <c r="A723" s="2" t="s">
        <v>1517</v>
      </c>
      <c r="B723" s="2">
        <v>27</v>
      </c>
      <c r="C723" s="2" t="s">
        <v>43</v>
      </c>
      <c r="D723" s="2" t="s">
        <v>30</v>
      </c>
      <c r="E723" s="2" t="s">
        <v>76</v>
      </c>
      <c r="F723" s="2" t="s">
        <v>56</v>
      </c>
      <c r="G723" s="2" t="s">
        <v>44</v>
      </c>
      <c r="H723" s="2" t="s">
        <v>1518</v>
      </c>
      <c r="I723" s="2" t="s">
        <v>98</v>
      </c>
      <c r="J723" s="2">
        <v>476.63</v>
      </c>
      <c r="K723" s="2">
        <v>9</v>
      </c>
      <c r="L723" s="2" t="s">
        <v>48</v>
      </c>
      <c r="M723" s="2">
        <v>3</v>
      </c>
      <c r="N723" s="2">
        <v>5</v>
      </c>
      <c r="O723" s="2">
        <v>2</v>
      </c>
      <c r="P723" s="2" t="s">
        <v>49</v>
      </c>
      <c r="Q723" s="2" t="s">
        <v>50</v>
      </c>
      <c r="R723" s="2">
        <v>2</v>
      </c>
      <c r="S723" s="2">
        <v>2</v>
      </c>
      <c r="T723" s="2" t="s">
        <v>36</v>
      </c>
      <c r="U723" s="2" t="s">
        <v>79</v>
      </c>
      <c r="V723" s="2" t="s">
        <v>61</v>
      </c>
      <c r="W723" s="3">
        <v>45615</v>
      </c>
      <c r="X723" s="2" t="b">
        <v>1</v>
      </c>
      <c r="Y723" s="2" t="b">
        <v>0</v>
      </c>
      <c r="Z723" s="2" t="s">
        <v>62</v>
      </c>
      <c r="AA723" s="2" t="s">
        <v>41</v>
      </c>
      <c r="AB723" s="2">
        <v>1</v>
      </c>
      <c r="AC723" s="2">
        <f>SUMIF(N:N,Ecommerce_Consumer_Behavior_Analysis_Data3[[#This Row],[Brand_Loyalty]],M:M)</f>
        <v>597</v>
      </c>
      <c r="AD723" s="2" t="e" cm="1" vm="1">
        <f t="array" aca="1" ref="AD723" ca="1">SUMIFS(Y:Y,Ecommerce_Consumer_Behavior_Analysis_Data3[[#This Row],[Payment_Method]],V:V)</f>
        <v>#VALUE!</v>
      </c>
      <c r="AE723" s="2">
        <f t="shared" si="15"/>
        <v>101.31</v>
      </c>
    </row>
    <row r="724" spans="1:31" x14ac:dyDescent="0.25">
      <c r="A724" s="2" t="s">
        <v>1519</v>
      </c>
      <c r="B724" s="2">
        <v>31</v>
      </c>
      <c r="C724" s="2" t="s">
        <v>29</v>
      </c>
      <c r="D724" s="2" t="s">
        <v>44</v>
      </c>
      <c r="E724" s="2" t="s">
        <v>55</v>
      </c>
      <c r="F724" s="2" t="s">
        <v>32</v>
      </c>
      <c r="G724" s="2" t="s">
        <v>30</v>
      </c>
      <c r="H724" s="2" t="s">
        <v>1520</v>
      </c>
      <c r="I724" s="2" t="s">
        <v>101</v>
      </c>
      <c r="J724" s="2">
        <v>56.02</v>
      </c>
      <c r="K724" s="2">
        <v>3</v>
      </c>
      <c r="L724" s="2" t="s">
        <v>78</v>
      </c>
      <c r="M724" s="2">
        <v>5</v>
      </c>
      <c r="N724" s="2">
        <v>3</v>
      </c>
      <c r="O724" s="2">
        <v>1</v>
      </c>
      <c r="P724" s="2" t="s">
        <v>36</v>
      </c>
      <c r="Q724" s="2" t="s">
        <v>85</v>
      </c>
      <c r="R724" s="2">
        <v>1</v>
      </c>
      <c r="S724" s="2">
        <v>6</v>
      </c>
      <c r="T724" s="2" t="s">
        <v>44</v>
      </c>
      <c r="U724" s="2" t="s">
        <v>79</v>
      </c>
      <c r="V724" s="2" t="s">
        <v>51</v>
      </c>
      <c r="W724" s="3">
        <v>45548</v>
      </c>
      <c r="X724" s="2" t="b">
        <v>0</v>
      </c>
      <c r="Y724" s="2" t="b">
        <v>1</v>
      </c>
      <c r="Z724" s="2" t="s">
        <v>40</v>
      </c>
      <c r="AA724" s="2" t="s">
        <v>53</v>
      </c>
      <c r="AB724" s="2">
        <v>12</v>
      </c>
      <c r="AC724" s="2">
        <f>SUMIF(N:N,Ecommerce_Consumer_Behavior_Analysis_Data3[[#This Row],[Brand_Loyalty]],M:M)</f>
        <v>641</v>
      </c>
      <c r="AD724" s="2" t="e" cm="1" vm="1">
        <f t="array" aca="1" ref="AD724" ca="1">SUMIFS(Y:Y,Ecommerce_Consumer_Behavior_Analysis_Data3[[#This Row],[Payment_Method]],V:V)</f>
        <v>#VALUE!</v>
      </c>
      <c r="AE724" s="2">
        <f t="shared" si="15"/>
        <v>101.31</v>
      </c>
    </row>
    <row r="725" spans="1:31" x14ac:dyDescent="0.25">
      <c r="A725" s="2" t="s">
        <v>1521</v>
      </c>
      <c r="B725" s="2">
        <v>36</v>
      </c>
      <c r="C725" s="2" t="s">
        <v>29</v>
      </c>
      <c r="D725" s="2" t="s">
        <v>44</v>
      </c>
      <c r="E725" s="2" t="s">
        <v>69</v>
      </c>
      <c r="F725" s="2" t="s">
        <v>32</v>
      </c>
      <c r="G725" s="2" t="s">
        <v>30</v>
      </c>
      <c r="H725" s="2" t="s">
        <v>1522</v>
      </c>
      <c r="I725" s="2" t="s">
        <v>117</v>
      </c>
      <c r="J725" s="2">
        <v>398.97</v>
      </c>
      <c r="K725" s="2">
        <v>3</v>
      </c>
      <c r="L725" s="2" t="s">
        <v>78</v>
      </c>
      <c r="M725" s="2">
        <v>2</v>
      </c>
      <c r="N725" s="2">
        <v>3</v>
      </c>
      <c r="O725" s="2">
        <v>1</v>
      </c>
      <c r="P725" s="2" t="s">
        <v>44</v>
      </c>
      <c r="Q725" s="2" t="s">
        <v>50</v>
      </c>
      <c r="R725" s="2">
        <v>2</v>
      </c>
      <c r="S725" s="2">
        <v>3</v>
      </c>
      <c r="T725" s="2" t="s">
        <v>44</v>
      </c>
      <c r="U725" s="2" t="s">
        <v>38</v>
      </c>
      <c r="V725" s="2" t="s">
        <v>61</v>
      </c>
      <c r="W725" s="3">
        <v>45561</v>
      </c>
      <c r="X725" s="2" t="b">
        <v>0</v>
      </c>
      <c r="Y725" s="2" t="b">
        <v>0</v>
      </c>
      <c r="Z725" s="2" t="s">
        <v>62</v>
      </c>
      <c r="AA725" s="2" t="s">
        <v>41</v>
      </c>
      <c r="AB725" s="2">
        <v>9</v>
      </c>
      <c r="AC725" s="2">
        <f>SUMIF(N:N,Ecommerce_Consumer_Behavior_Analysis_Data3[[#This Row],[Brand_Loyalty]],M:M)</f>
        <v>582</v>
      </c>
      <c r="AD725" s="2" t="e" cm="1" vm="1">
        <f t="array" aca="1" ref="AD725" ca="1">SUMIFS(Y:Y,Ecommerce_Consumer_Behavior_Analysis_Data3[[#This Row],[Payment_Method]],V:V)</f>
        <v>#VALUE!</v>
      </c>
      <c r="AE725" s="2">
        <f t="shared" si="15"/>
        <v>101.31</v>
      </c>
    </row>
    <row r="726" spans="1:31" x14ac:dyDescent="0.25">
      <c r="A726" s="2" t="s">
        <v>1523</v>
      </c>
      <c r="B726" s="2">
        <v>27</v>
      </c>
      <c r="C726" s="2" t="s">
        <v>29</v>
      </c>
      <c r="D726" s="2" t="s">
        <v>30</v>
      </c>
      <c r="E726" s="2" t="s">
        <v>76</v>
      </c>
      <c r="F726" s="2" t="s">
        <v>45</v>
      </c>
      <c r="G726" s="2" t="s">
        <v>30</v>
      </c>
      <c r="H726" s="2" t="s">
        <v>902</v>
      </c>
      <c r="I726" s="2" t="s">
        <v>158</v>
      </c>
      <c r="J726" s="2">
        <v>53.45</v>
      </c>
      <c r="K726" s="2">
        <v>6</v>
      </c>
      <c r="L726" s="2" t="s">
        <v>35</v>
      </c>
      <c r="M726" s="2">
        <v>2</v>
      </c>
      <c r="N726" s="2">
        <v>3</v>
      </c>
      <c r="O726" s="2">
        <v>1</v>
      </c>
      <c r="P726" s="2" t="s">
        <v>44</v>
      </c>
      <c r="Q726" s="2" t="s">
        <v>37</v>
      </c>
      <c r="R726" s="2">
        <v>1</v>
      </c>
      <c r="S726" s="2">
        <v>9</v>
      </c>
      <c r="T726" s="2" t="s">
        <v>44</v>
      </c>
      <c r="U726" s="2" t="s">
        <v>38</v>
      </c>
      <c r="V726" s="2" t="s">
        <v>61</v>
      </c>
      <c r="W726" s="3">
        <v>45487</v>
      </c>
      <c r="X726" s="2" t="b">
        <v>0</v>
      </c>
      <c r="Y726" s="2" t="b">
        <v>0</v>
      </c>
      <c r="Z726" s="2" t="s">
        <v>40</v>
      </c>
      <c r="AA726" s="2" t="s">
        <v>53</v>
      </c>
      <c r="AB726" s="2">
        <v>11</v>
      </c>
      <c r="AC726" s="2">
        <f>SUMIF(N:N,Ecommerce_Consumer_Behavior_Analysis_Data3[[#This Row],[Brand_Loyalty]],M:M)</f>
        <v>582</v>
      </c>
      <c r="AD726" s="2" t="e" cm="1" vm="1">
        <f t="array" aca="1" ref="AD726" ca="1">SUMIFS(Y:Y,Ecommerce_Consumer_Behavior_Analysis_Data3[[#This Row],[Payment_Method]],V:V)</f>
        <v>#VALUE!</v>
      </c>
      <c r="AE726" s="2">
        <f t="shared" si="15"/>
        <v>101.31</v>
      </c>
    </row>
    <row r="727" spans="1:31" x14ac:dyDescent="0.25">
      <c r="A727" s="2" t="s">
        <v>1524</v>
      </c>
      <c r="B727" s="2">
        <v>21</v>
      </c>
      <c r="C727" s="2" t="s">
        <v>274</v>
      </c>
      <c r="D727" s="2" t="s">
        <v>30</v>
      </c>
      <c r="E727" s="2" t="s">
        <v>31</v>
      </c>
      <c r="F727" s="2" t="s">
        <v>32</v>
      </c>
      <c r="G727" s="2" t="s">
        <v>44</v>
      </c>
      <c r="H727" s="2" t="s">
        <v>1525</v>
      </c>
      <c r="I727" s="2" t="s">
        <v>158</v>
      </c>
      <c r="J727" s="2">
        <v>61.19</v>
      </c>
      <c r="K727" s="2">
        <v>2</v>
      </c>
      <c r="L727" s="2" t="s">
        <v>35</v>
      </c>
      <c r="M727" s="2">
        <v>4</v>
      </c>
      <c r="N727" s="2">
        <v>5</v>
      </c>
      <c r="O727" s="2">
        <v>1</v>
      </c>
      <c r="P727" s="2" t="s">
        <v>36</v>
      </c>
      <c r="Q727" s="2" t="s">
        <v>50</v>
      </c>
      <c r="R727" s="2">
        <v>2</v>
      </c>
      <c r="S727" s="2">
        <v>6</v>
      </c>
      <c r="T727" s="2" t="s">
        <v>44</v>
      </c>
      <c r="U727" s="2" t="s">
        <v>79</v>
      </c>
      <c r="V727" s="2" t="s">
        <v>51</v>
      </c>
      <c r="W727" s="3">
        <v>45516</v>
      </c>
      <c r="X727" s="2" t="b">
        <v>1</v>
      </c>
      <c r="Y727" s="2" t="b">
        <v>1</v>
      </c>
      <c r="Z727" s="2" t="s">
        <v>52</v>
      </c>
      <c r="AA727" s="2" t="s">
        <v>41</v>
      </c>
      <c r="AB727" s="2">
        <v>3</v>
      </c>
      <c r="AC727" s="2">
        <f>SUMIF(N:N,Ecommerce_Consumer_Behavior_Analysis_Data3[[#This Row],[Brand_Loyalty]],M:M)</f>
        <v>603</v>
      </c>
      <c r="AD727" s="2" t="e" cm="1" vm="1">
        <f t="array" aca="1" ref="AD727" ca="1">SUMIFS(Y:Y,Ecommerce_Consumer_Behavior_Analysis_Data3[[#This Row],[Payment_Method]],V:V)</f>
        <v>#VALUE!</v>
      </c>
      <c r="AE727" s="2">
        <f t="shared" si="15"/>
        <v>333.8</v>
      </c>
    </row>
    <row r="728" spans="1:31" x14ac:dyDescent="0.25">
      <c r="A728" s="2" t="s">
        <v>1526</v>
      </c>
      <c r="B728" s="2">
        <v>50</v>
      </c>
      <c r="C728" s="2" t="s">
        <v>29</v>
      </c>
      <c r="D728" s="2" t="s">
        <v>30</v>
      </c>
      <c r="E728" s="2" t="s">
        <v>31</v>
      </c>
      <c r="F728" s="2" t="s">
        <v>45</v>
      </c>
      <c r="G728" s="2" t="s">
        <v>30</v>
      </c>
      <c r="H728" s="2" t="s">
        <v>1527</v>
      </c>
      <c r="I728" s="2" t="s">
        <v>98</v>
      </c>
      <c r="J728" s="2">
        <v>471.31</v>
      </c>
      <c r="K728" s="2">
        <v>4</v>
      </c>
      <c r="L728" s="2" t="s">
        <v>35</v>
      </c>
      <c r="M728" s="2">
        <v>1</v>
      </c>
      <c r="N728" s="2">
        <v>5</v>
      </c>
      <c r="O728" s="2">
        <v>2</v>
      </c>
      <c r="P728" s="2" t="s">
        <v>44</v>
      </c>
      <c r="Q728" s="2" t="s">
        <v>85</v>
      </c>
      <c r="R728" s="2">
        <v>0</v>
      </c>
      <c r="S728" s="2">
        <v>8</v>
      </c>
      <c r="T728" s="2" t="s">
        <v>36</v>
      </c>
      <c r="U728" s="2" t="s">
        <v>60</v>
      </c>
      <c r="V728" s="2" t="s">
        <v>66</v>
      </c>
      <c r="W728" s="3">
        <v>45643</v>
      </c>
      <c r="X728" s="2" t="b">
        <v>0</v>
      </c>
      <c r="Y728" s="2" t="b">
        <v>1</v>
      </c>
      <c r="Z728" s="2" t="s">
        <v>62</v>
      </c>
      <c r="AA728" s="2" t="s">
        <v>67</v>
      </c>
      <c r="AB728" s="2">
        <v>7</v>
      </c>
      <c r="AC728" s="2">
        <f>SUMIF(N:N,Ecommerce_Consumer_Behavior_Analysis_Data3[[#This Row],[Brand_Loyalty]],M:M)</f>
        <v>603</v>
      </c>
      <c r="AD728" s="2" t="e" cm="1" vm="1">
        <f t="array" aca="1" ref="AD728" ca="1">SUMIFS(Y:Y,Ecommerce_Consumer_Behavior_Analysis_Data3[[#This Row],[Payment_Method]],V:V)</f>
        <v>#VALUE!</v>
      </c>
      <c r="AE728" s="2">
        <f t="shared" si="15"/>
        <v>101.31</v>
      </c>
    </row>
    <row r="729" spans="1:31" x14ac:dyDescent="0.25">
      <c r="A729" s="2" t="s">
        <v>1528</v>
      </c>
      <c r="B729" s="2">
        <v>49</v>
      </c>
      <c r="C729" s="2" t="s">
        <v>29</v>
      </c>
      <c r="D729" s="2" t="s">
        <v>44</v>
      </c>
      <c r="E729" s="2" t="s">
        <v>76</v>
      </c>
      <c r="F729" s="2" t="s">
        <v>45</v>
      </c>
      <c r="G729" s="2" t="s">
        <v>44</v>
      </c>
      <c r="H729" s="2" t="s">
        <v>1529</v>
      </c>
      <c r="I729" s="2" t="s">
        <v>104</v>
      </c>
      <c r="J729" s="2">
        <v>179.19</v>
      </c>
      <c r="K729" s="2">
        <v>10</v>
      </c>
      <c r="L729" s="2" t="s">
        <v>48</v>
      </c>
      <c r="M729" s="2">
        <v>3</v>
      </c>
      <c r="N729" s="2">
        <v>1</v>
      </c>
      <c r="O729" s="2">
        <v>1</v>
      </c>
      <c r="P729" s="2" t="s">
        <v>59</v>
      </c>
      <c r="Q729" s="2" t="s">
        <v>50</v>
      </c>
      <c r="R729" s="2">
        <v>2</v>
      </c>
      <c r="S729" s="2">
        <v>7</v>
      </c>
      <c r="T729" s="2" t="s">
        <v>36</v>
      </c>
      <c r="U729" s="2" t="s">
        <v>38</v>
      </c>
      <c r="V729" s="2" t="s">
        <v>51</v>
      </c>
      <c r="W729" s="3">
        <v>45372</v>
      </c>
      <c r="X729" s="2" t="b">
        <v>0</v>
      </c>
      <c r="Y729" s="2" t="b">
        <v>0</v>
      </c>
      <c r="Z729" s="2" t="s">
        <v>62</v>
      </c>
      <c r="AA729" s="2" t="s">
        <v>67</v>
      </c>
      <c r="AB729" s="2">
        <v>12</v>
      </c>
      <c r="AC729" s="2">
        <f>SUMIF(N:N,Ecommerce_Consumer_Behavior_Analysis_Data3[[#This Row],[Brand_Loyalty]],M:M)</f>
        <v>597</v>
      </c>
      <c r="AD729" s="2" t="e" cm="1" vm="1">
        <f t="array" aca="1" ref="AD729" ca="1">SUMIFS(Y:Y,Ecommerce_Consumer_Behavior_Analysis_Data3[[#This Row],[Payment_Method]],V:V)</f>
        <v>#VALUE!</v>
      </c>
      <c r="AE729" s="2">
        <f t="shared" si="15"/>
        <v>211.7</v>
      </c>
    </row>
    <row r="730" spans="1:31" x14ac:dyDescent="0.25">
      <c r="A730" s="2" t="s">
        <v>1530</v>
      </c>
      <c r="B730" s="2">
        <v>43</v>
      </c>
      <c r="C730" s="2" t="s">
        <v>29</v>
      </c>
      <c r="D730" s="2" t="s">
        <v>44</v>
      </c>
      <c r="E730" s="2" t="s">
        <v>76</v>
      </c>
      <c r="F730" s="2" t="s">
        <v>45</v>
      </c>
      <c r="G730" s="2" t="s">
        <v>30</v>
      </c>
      <c r="H730" s="2" t="s">
        <v>1531</v>
      </c>
      <c r="I730" s="2" t="s">
        <v>47</v>
      </c>
      <c r="J730" s="2">
        <v>294.61</v>
      </c>
      <c r="K730" s="2">
        <v>6</v>
      </c>
      <c r="L730" s="2" t="s">
        <v>48</v>
      </c>
      <c r="M730" s="2">
        <v>2</v>
      </c>
      <c r="N730" s="2">
        <v>1</v>
      </c>
      <c r="O730" s="2">
        <v>0</v>
      </c>
      <c r="P730" s="2" t="s">
        <v>36</v>
      </c>
      <c r="Q730" s="2" t="s">
        <v>85</v>
      </c>
      <c r="R730" s="2">
        <v>0</v>
      </c>
      <c r="S730" s="2">
        <v>2</v>
      </c>
      <c r="T730" s="2" t="s">
        <v>36</v>
      </c>
      <c r="U730" s="2" t="s">
        <v>79</v>
      </c>
      <c r="V730" s="2" t="s">
        <v>51</v>
      </c>
      <c r="W730" s="3">
        <v>45568</v>
      </c>
      <c r="X730" s="2" t="b">
        <v>0</v>
      </c>
      <c r="Y730" s="2" t="b">
        <v>1</v>
      </c>
      <c r="Z730" s="2" t="s">
        <v>52</v>
      </c>
      <c r="AA730" s="2" t="s">
        <v>67</v>
      </c>
      <c r="AB730" s="2">
        <v>4</v>
      </c>
      <c r="AC730" s="2">
        <f>SUMIF(N:N,Ecommerce_Consumer_Behavior_Analysis_Data3[[#This Row],[Brand_Loyalty]],M:M)</f>
        <v>582</v>
      </c>
      <c r="AD730" s="2" t="e" cm="1" vm="1">
        <f t="array" aca="1" ref="AD730" ca="1">SUMIFS(Y:Y,Ecommerce_Consumer_Behavior_Analysis_Data3[[#This Row],[Payment_Method]],V:V)</f>
        <v>#VALUE!</v>
      </c>
      <c r="AE730" s="2">
        <f t="shared" si="15"/>
        <v>211.7</v>
      </c>
    </row>
    <row r="731" spans="1:31" x14ac:dyDescent="0.25">
      <c r="A731" s="2" t="s">
        <v>1532</v>
      </c>
      <c r="B731" s="2">
        <v>35</v>
      </c>
      <c r="C731" s="2" t="s">
        <v>190</v>
      </c>
      <c r="D731" s="2" t="s">
        <v>44</v>
      </c>
      <c r="E731" s="2" t="s">
        <v>69</v>
      </c>
      <c r="F731" s="2" t="s">
        <v>32</v>
      </c>
      <c r="G731" s="2" t="s">
        <v>44</v>
      </c>
      <c r="H731" s="2" t="s">
        <v>1533</v>
      </c>
      <c r="I731" s="2" t="s">
        <v>104</v>
      </c>
      <c r="J731" s="2">
        <v>375.45</v>
      </c>
      <c r="K731" s="2">
        <v>6</v>
      </c>
      <c r="L731" s="2" t="s">
        <v>78</v>
      </c>
      <c r="M731" s="2">
        <v>3</v>
      </c>
      <c r="N731" s="2">
        <v>4</v>
      </c>
      <c r="O731" s="2">
        <v>0</v>
      </c>
      <c r="P731" s="2" t="s">
        <v>44</v>
      </c>
      <c r="Q731" s="2" t="s">
        <v>50</v>
      </c>
      <c r="R731" s="2">
        <v>1</v>
      </c>
      <c r="S731" s="2">
        <v>8</v>
      </c>
      <c r="T731" s="2" t="s">
        <v>49</v>
      </c>
      <c r="U731" s="2" t="s">
        <v>60</v>
      </c>
      <c r="V731" s="2" t="s">
        <v>66</v>
      </c>
      <c r="W731" s="3">
        <v>45396</v>
      </c>
      <c r="X731" s="2" t="b">
        <v>0</v>
      </c>
      <c r="Y731" s="2" t="b">
        <v>1</v>
      </c>
      <c r="Z731" s="2" t="s">
        <v>62</v>
      </c>
      <c r="AA731" s="2" t="s">
        <v>67</v>
      </c>
      <c r="AB731" s="2">
        <v>1</v>
      </c>
      <c r="AC731" s="2">
        <f>SUMIF(N:N,Ecommerce_Consumer_Behavior_Analysis_Data3[[#This Row],[Brand_Loyalty]],M:M)</f>
        <v>597</v>
      </c>
      <c r="AD731" s="2" t="e" cm="1" vm="1">
        <f t="array" aca="1" ref="AD731" ca="1">SUMIFS(Y:Y,Ecommerce_Consumer_Behavior_Analysis_Data3[[#This Row],[Payment_Method]],V:V)</f>
        <v>#VALUE!</v>
      </c>
      <c r="AE731" s="2">
        <f t="shared" si="15"/>
        <v>211.7</v>
      </c>
    </row>
    <row r="732" spans="1:31" x14ac:dyDescent="0.25">
      <c r="A732" s="2" t="s">
        <v>1534</v>
      </c>
      <c r="B732" s="2">
        <v>21</v>
      </c>
      <c r="C732" s="2" t="s">
        <v>43</v>
      </c>
      <c r="D732" s="2" t="s">
        <v>30</v>
      </c>
      <c r="E732" s="2" t="s">
        <v>69</v>
      </c>
      <c r="F732" s="2" t="s">
        <v>56</v>
      </c>
      <c r="G732" s="2" t="s">
        <v>44</v>
      </c>
      <c r="H732" s="2" t="s">
        <v>1535</v>
      </c>
      <c r="I732" s="2" t="s">
        <v>117</v>
      </c>
      <c r="J732" s="2">
        <v>83.5</v>
      </c>
      <c r="K732" s="2">
        <v>12</v>
      </c>
      <c r="L732" s="2" t="s">
        <v>48</v>
      </c>
      <c r="M732" s="2">
        <v>2</v>
      </c>
      <c r="N732" s="2">
        <v>4</v>
      </c>
      <c r="O732" s="2">
        <v>0</v>
      </c>
      <c r="P732" s="2" t="s">
        <v>36</v>
      </c>
      <c r="Q732" s="2" t="s">
        <v>50</v>
      </c>
      <c r="R732" s="2">
        <v>2</v>
      </c>
      <c r="S732" s="2">
        <v>7</v>
      </c>
      <c r="T732" s="2" t="s">
        <v>59</v>
      </c>
      <c r="U732" s="2" t="s">
        <v>60</v>
      </c>
      <c r="V732" s="2" t="s">
        <v>86</v>
      </c>
      <c r="W732" s="3">
        <v>45316</v>
      </c>
      <c r="X732" s="2" t="b">
        <v>1</v>
      </c>
      <c r="Y732" s="2" t="b">
        <v>1</v>
      </c>
      <c r="Z732" s="2" t="s">
        <v>40</v>
      </c>
      <c r="AA732" s="2" t="s">
        <v>53</v>
      </c>
      <c r="AB732" s="2">
        <v>10</v>
      </c>
      <c r="AC732" s="2">
        <f>SUMIF(N:N,Ecommerce_Consumer_Behavior_Analysis_Data3[[#This Row],[Brand_Loyalty]],M:M)</f>
        <v>582</v>
      </c>
      <c r="AD732" s="2" t="e" cm="1" vm="1">
        <f t="array" aca="1" ref="AD732" ca="1">SUMIFS(Y:Y,Ecommerce_Consumer_Behavior_Analysis_Data3[[#This Row],[Payment_Method]],V:V)</f>
        <v>#VALUE!</v>
      </c>
      <c r="AE732" s="2">
        <f t="shared" si="15"/>
        <v>101.31</v>
      </c>
    </row>
    <row r="733" spans="1:31" x14ac:dyDescent="0.25">
      <c r="A733" s="2" t="s">
        <v>1536</v>
      </c>
      <c r="B733" s="2">
        <v>34</v>
      </c>
      <c r="C733" s="2" t="s">
        <v>43</v>
      </c>
      <c r="D733" s="2" t="s">
        <v>44</v>
      </c>
      <c r="E733" s="2" t="s">
        <v>31</v>
      </c>
      <c r="F733" s="2" t="s">
        <v>45</v>
      </c>
      <c r="G733" s="2" t="s">
        <v>30</v>
      </c>
      <c r="H733" s="2" t="s">
        <v>1537</v>
      </c>
      <c r="I733" s="2" t="s">
        <v>65</v>
      </c>
      <c r="J733" s="2">
        <v>109.88</v>
      </c>
      <c r="K733" s="2">
        <v>7</v>
      </c>
      <c r="L733" s="2" t="s">
        <v>78</v>
      </c>
      <c r="M733" s="2">
        <v>4</v>
      </c>
      <c r="N733" s="2">
        <v>4</v>
      </c>
      <c r="O733" s="2">
        <v>1</v>
      </c>
      <c r="P733" s="2" t="s">
        <v>59</v>
      </c>
      <c r="Q733" s="2" t="s">
        <v>85</v>
      </c>
      <c r="R733" s="2">
        <v>1</v>
      </c>
      <c r="S733" s="2">
        <v>3</v>
      </c>
      <c r="T733" s="2" t="s">
        <v>49</v>
      </c>
      <c r="U733" s="2" t="s">
        <v>60</v>
      </c>
      <c r="V733" s="2" t="s">
        <v>39</v>
      </c>
      <c r="W733" s="3">
        <v>45296</v>
      </c>
      <c r="X733" s="2" t="b">
        <v>0</v>
      </c>
      <c r="Y733" s="2" t="b">
        <v>1</v>
      </c>
      <c r="Z733" s="2" t="s">
        <v>62</v>
      </c>
      <c r="AA733" s="2" t="s">
        <v>53</v>
      </c>
      <c r="AB733" s="2">
        <v>11</v>
      </c>
      <c r="AC733" s="2">
        <f>SUMIF(N:N,Ecommerce_Consumer_Behavior_Analysis_Data3[[#This Row],[Brand_Loyalty]],M:M)</f>
        <v>603</v>
      </c>
      <c r="AD733" s="2" t="e" cm="1" vm="1">
        <f t="array" aca="1" ref="AD733" ca="1">SUMIFS(Y:Y,Ecommerce_Consumer_Behavior_Analysis_Data3[[#This Row],[Payment_Method]],V:V)</f>
        <v>#VALUE!</v>
      </c>
      <c r="AE733" s="2">
        <f t="shared" si="15"/>
        <v>101.31</v>
      </c>
    </row>
    <row r="734" spans="1:31" x14ac:dyDescent="0.25">
      <c r="A734" s="2" t="s">
        <v>1538</v>
      </c>
      <c r="B734" s="2">
        <v>21</v>
      </c>
      <c r="C734" s="2" t="s">
        <v>29</v>
      </c>
      <c r="D734" s="2" t="s">
        <v>44</v>
      </c>
      <c r="E734" s="2" t="s">
        <v>31</v>
      </c>
      <c r="F734" s="2" t="s">
        <v>45</v>
      </c>
      <c r="G734" s="2" t="s">
        <v>44</v>
      </c>
      <c r="H734" s="2" t="s">
        <v>1539</v>
      </c>
      <c r="I734" s="2" t="s">
        <v>58</v>
      </c>
      <c r="J734" s="2">
        <v>182.54</v>
      </c>
      <c r="K734" s="2">
        <v>11</v>
      </c>
      <c r="L734" s="2" t="s">
        <v>35</v>
      </c>
      <c r="M734" s="2">
        <v>5</v>
      </c>
      <c r="N734" s="2">
        <v>5</v>
      </c>
      <c r="O734" s="2">
        <v>1</v>
      </c>
      <c r="P734" s="2" t="s">
        <v>49</v>
      </c>
      <c r="Q734" s="2" t="s">
        <v>37</v>
      </c>
      <c r="R734" s="2">
        <v>1</v>
      </c>
      <c r="S734" s="2">
        <v>1</v>
      </c>
      <c r="T734" s="2" t="s">
        <v>44</v>
      </c>
      <c r="U734" s="2" t="s">
        <v>38</v>
      </c>
      <c r="V734" s="2" t="s">
        <v>86</v>
      </c>
      <c r="W734" s="3">
        <v>45525</v>
      </c>
      <c r="X734" s="2" t="b">
        <v>0</v>
      </c>
      <c r="Y734" s="2" t="b">
        <v>0</v>
      </c>
      <c r="Z734" s="2" t="s">
        <v>40</v>
      </c>
      <c r="AA734" s="2" t="s">
        <v>53</v>
      </c>
      <c r="AB734" s="2">
        <v>13</v>
      </c>
      <c r="AC734" s="2">
        <f>SUMIF(N:N,Ecommerce_Consumer_Behavior_Analysis_Data3[[#This Row],[Brand_Loyalty]],M:M)</f>
        <v>641</v>
      </c>
      <c r="AD734" s="2" t="e" cm="1" vm="1">
        <f t="array" aca="1" ref="AD734" ca="1">SUMIFS(Y:Y,Ecommerce_Consumer_Behavior_Analysis_Data3[[#This Row],[Payment_Method]],V:V)</f>
        <v>#VALUE!</v>
      </c>
      <c r="AE734" s="2">
        <f t="shared" si="15"/>
        <v>333.8</v>
      </c>
    </row>
    <row r="735" spans="1:31" x14ac:dyDescent="0.25">
      <c r="A735" s="2" t="s">
        <v>1540</v>
      </c>
      <c r="B735" s="2">
        <v>23</v>
      </c>
      <c r="C735" s="2" t="s">
        <v>29</v>
      </c>
      <c r="D735" s="2" t="s">
        <v>44</v>
      </c>
      <c r="E735" s="2" t="s">
        <v>69</v>
      </c>
      <c r="F735" s="2" t="s">
        <v>32</v>
      </c>
      <c r="G735" s="2" t="s">
        <v>44</v>
      </c>
      <c r="H735" s="2" t="s">
        <v>1541</v>
      </c>
      <c r="I735" s="2" t="s">
        <v>71</v>
      </c>
      <c r="J735" s="2">
        <v>465.48</v>
      </c>
      <c r="K735" s="2">
        <v>3</v>
      </c>
      <c r="L735" s="2" t="s">
        <v>35</v>
      </c>
      <c r="M735" s="2">
        <v>3</v>
      </c>
      <c r="N735" s="2">
        <v>3</v>
      </c>
      <c r="O735" s="2">
        <v>2</v>
      </c>
      <c r="P735" s="2" t="s">
        <v>49</v>
      </c>
      <c r="Q735" s="2" t="s">
        <v>85</v>
      </c>
      <c r="R735" s="2">
        <v>1</v>
      </c>
      <c r="S735" s="2">
        <v>8</v>
      </c>
      <c r="T735" s="2" t="s">
        <v>49</v>
      </c>
      <c r="U735" s="2" t="s">
        <v>38</v>
      </c>
      <c r="V735" s="2" t="s">
        <v>86</v>
      </c>
      <c r="W735" s="3">
        <v>45464</v>
      </c>
      <c r="X735" s="2" t="b">
        <v>0</v>
      </c>
      <c r="Y735" s="2" t="b">
        <v>0</v>
      </c>
      <c r="Z735" s="2" t="s">
        <v>52</v>
      </c>
      <c r="AA735" s="2" t="s">
        <v>41</v>
      </c>
      <c r="AB735" s="2">
        <v>1</v>
      </c>
      <c r="AC735" s="2">
        <f>SUMIF(N:N,Ecommerce_Consumer_Behavior_Analysis_Data3[[#This Row],[Brand_Loyalty]],M:M)</f>
        <v>597</v>
      </c>
      <c r="AD735" s="2" t="e" cm="1" vm="1">
        <f t="array" aca="1" ref="AD735" ca="1">SUMIFS(Y:Y,Ecommerce_Consumer_Behavior_Analysis_Data3[[#This Row],[Payment_Method]],V:V)</f>
        <v>#VALUE!</v>
      </c>
      <c r="AE735" s="2">
        <f t="shared" si="15"/>
        <v>333.8</v>
      </c>
    </row>
    <row r="736" spans="1:31" x14ac:dyDescent="0.25">
      <c r="A736" s="2" t="s">
        <v>1542</v>
      </c>
      <c r="B736" s="2">
        <v>31</v>
      </c>
      <c r="C736" s="2" t="s">
        <v>29</v>
      </c>
      <c r="D736" s="2" t="s">
        <v>30</v>
      </c>
      <c r="E736" s="2" t="s">
        <v>31</v>
      </c>
      <c r="F736" s="2" t="s">
        <v>45</v>
      </c>
      <c r="G736" s="2" t="s">
        <v>30</v>
      </c>
      <c r="H736" s="2" t="s">
        <v>1543</v>
      </c>
      <c r="I736" s="2" t="s">
        <v>104</v>
      </c>
      <c r="J736" s="2">
        <v>224.52</v>
      </c>
      <c r="K736" s="2">
        <v>8</v>
      </c>
      <c r="L736" s="2" t="s">
        <v>35</v>
      </c>
      <c r="M736" s="2">
        <v>3</v>
      </c>
      <c r="N736" s="2">
        <v>3</v>
      </c>
      <c r="O736" s="2">
        <v>2</v>
      </c>
      <c r="P736" s="2" t="s">
        <v>59</v>
      </c>
      <c r="Q736" s="2" t="s">
        <v>50</v>
      </c>
      <c r="R736" s="2">
        <v>1</v>
      </c>
      <c r="S736" s="2">
        <v>5</v>
      </c>
      <c r="T736" s="2" t="s">
        <v>44</v>
      </c>
      <c r="U736" s="2" t="s">
        <v>79</v>
      </c>
      <c r="V736" s="2" t="s">
        <v>39</v>
      </c>
      <c r="W736" s="3">
        <v>45625</v>
      </c>
      <c r="X736" s="2" t="b">
        <v>1</v>
      </c>
      <c r="Y736" s="2" t="b">
        <v>0</v>
      </c>
      <c r="Z736" s="2" t="s">
        <v>62</v>
      </c>
      <c r="AA736" s="2" t="s">
        <v>67</v>
      </c>
      <c r="AB736" s="2">
        <v>1</v>
      </c>
      <c r="AC736" s="2">
        <f>SUMIF(N:N,Ecommerce_Consumer_Behavior_Analysis_Data3[[#This Row],[Brand_Loyalty]],M:M)</f>
        <v>597</v>
      </c>
      <c r="AD736" s="2" t="e" cm="1" vm="1">
        <f t="array" aca="1" ref="AD736" ca="1">SUMIFS(Y:Y,Ecommerce_Consumer_Behavior_Analysis_Data3[[#This Row],[Payment_Method]],V:V)</f>
        <v>#VALUE!</v>
      </c>
      <c r="AE736" s="2">
        <f t="shared" si="15"/>
        <v>333.8</v>
      </c>
    </row>
    <row r="737" spans="1:31" x14ac:dyDescent="0.25">
      <c r="A737" s="2" t="s">
        <v>1544</v>
      </c>
      <c r="B737" s="2">
        <v>21</v>
      </c>
      <c r="C737" s="2" t="s">
        <v>43</v>
      </c>
      <c r="D737" s="2" t="s">
        <v>44</v>
      </c>
      <c r="E737" s="2" t="s">
        <v>69</v>
      </c>
      <c r="F737" s="2" t="s">
        <v>56</v>
      </c>
      <c r="G737" s="2" t="s">
        <v>30</v>
      </c>
      <c r="H737" s="2" t="s">
        <v>1545</v>
      </c>
      <c r="I737" s="2" t="s">
        <v>188</v>
      </c>
      <c r="J737" s="2">
        <v>281.37</v>
      </c>
      <c r="K737" s="2">
        <v>12</v>
      </c>
      <c r="L737" s="2" t="s">
        <v>78</v>
      </c>
      <c r="M737" s="2">
        <v>2</v>
      </c>
      <c r="N737" s="2">
        <v>3</v>
      </c>
      <c r="O737" s="2">
        <v>2</v>
      </c>
      <c r="P737" s="2" t="s">
        <v>59</v>
      </c>
      <c r="Q737" s="2" t="s">
        <v>85</v>
      </c>
      <c r="R737" s="2">
        <v>0</v>
      </c>
      <c r="S737" s="2">
        <v>2</v>
      </c>
      <c r="T737" s="2" t="s">
        <v>59</v>
      </c>
      <c r="U737" s="2" t="s">
        <v>60</v>
      </c>
      <c r="V737" s="2" t="s">
        <v>61</v>
      </c>
      <c r="W737" s="3">
        <v>45293</v>
      </c>
      <c r="X737" s="2" t="b">
        <v>0</v>
      </c>
      <c r="Y737" s="2" t="b">
        <v>1</v>
      </c>
      <c r="Z737" s="2" t="s">
        <v>62</v>
      </c>
      <c r="AA737" s="2" t="s">
        <v>67</v>
      </c>
      <c r="AB737" s="2">
        <v>14</v>
      </c>
      <c r="AC737" s="2">
        <f>SUMIF(N:N,Ecommerce_Consumer_Behavior_Analysis_Data3[[#This Row],[Brand_Loyalty]],M:M)</f>
        <v>582</v>
      </c>
      <c r="AD737" s="2" t="e" cm="1" vm="1">
        <f t="array" aca="1" ref="AD737" ca="1">SUMIFS(Y:Y,Ecommerce_Consumer_Behavior_Analysis_Data3[[#This Row],[Payment_Method]],V:V)</f>
        <v>#VALUE!</v>
      </c>
      <c r="AE737" s="2">
        <f t="shared" si="15"/>
        <v>101.31</v>
      </c>
    </row>
    <row r="738" spans="1:31" x14ac:dyDescent="0.25">
      <c r="A738" s="2" t="s">
        <v>1546</v>
      </c>
      <c r="B738" s="2">
        <v>22</v>
      </c>
      <c r="C738" s="2" t="s">
        <v>29</v>
      </c>
      <c r="D738" s="2" t="s">
        <v>30</v>
      </c>
      <c r="E738" s="2" t="s">
        <v>31</v>
      </c>
      <c r="F738" s="2" t="s">
        <v>32</v>
      </c>
      <c r="G738" s="2" t="s">
        <v>30</v>
      </c>
      <c r="H738" s="2" t="s">
        <v>1547</v>
      </c>
      <c r="I738" s="2" t="s">
        <v>58</v>
      </c>
      <c r="J738" s="2">
        <v>125.68</v>
      </c>
      <c r="K738" s="2">
        <v>2</v>
      </c>
      <c r="L738" s="2" t="s">
        <v>78</v>
      </c>
      <c r="M738" s="2">
        <v>1</v>
      </c>
      <c r="N738" s="2">
        <v>4</v>
      </c>
      <c r="O738" s="2">
        <v>1</v>
      </c>
      <c r="P738" s="2" t="s">
        <v>36</v>
      </c>
      <c r="Q738" s="2" t="s">
        <v>50</v>
      </c>
      <c r="R738" s="2">
        <v>1</v>
      </c>
      <c r="S738" s="2">
        <v>8</v>
      </c>
      <c r="T738" s="2" t="s">
        <v>49</v>
      </c>
      <c r="U738" s="2" t="s">
        <v>60</v>
      </c>
      <c r="V738" s="2" t="s">
        <v>61</v>
      </c>
      <c r="W738" s="3">
        <v>45464</v>
      </c>
      <c r="X738" s="2" t="b">
        <v>1</v>
      </c>
      <c r="Y738" s="2" t="b">
        <v>0</v>
      </c>
      <c r="Z738" s="2" t="s">
        <v>40</v>
      </c>
      <c r="AA738" s="2" t="s">
        <v>67</v>
      </c>
      <c r="AB738" s="2">
        <v>9</v>
      </c>
      <c r="AC738" s="2">
        <f>SUMIF(N:N,Ecommerce_Consumer_Behavior_Analysis_Data3[[#This Row],[Brand_Loyalty]],M:M)</f>
        <v>603</v>
      </c>
      <c r="AD738" s="2" t="e" cm="1" vm="1">
        <f t="array" aca="1" ref="AD738" ca="1">SUMIFS(Y:Y,Ecommerce_Consumer_Behavior_Analysis_Data3[[#This Row],[Payment_Method]],V:V)</f>
        <v>#VALUE!</v>
      </c>
      <c r="AE738" s="2">
        <f t="shared" si="15"/>
        <v>333.8</v>
      </c>
    </row>
    <row r="739" spans="1:31" x14ac:dyDescent="0.25">
      <c r="A739" s="2" t="s">
        <v>1548</v>
      </c>
      <c r="B739" s="2">
        <v>38</v>
      </c>
      <c r="C739" s="2" t="s">
        <v>29</v>
      </c>
      <c r="D739" s="2" t="s">
        <v>44</v>
      </c>
      <c r="E739" s="2" t="s">
        <v>55</v>
      </c>
      <c r="F739" s="2" t="s">
        <v>45</v>
      </c>
      <c r="G739" s="2" t="s">
        <v>44</v>
      </c>
      <c r="H739" s="2" t="s">
        <v>1549</v>
      </c>
      <c r="I739" s="2" t="s">
        <v>188</v>
      </c>
      <c r="J739" s="2">
        <v>178.21</v>
      </c>
      <c r="K739" s="2">
        <v>7</v>
      </c>
      <c r="L739" s="2" t="s">
        <v>48</v>
      </c>
      <c r="M739" s="2">
        <v>1</v>
      </c>
      <c r="N739" s="2">
        <v>5</v>
      </c>
      <c r="O739" s="2">
        <v>2</v>
      </c>
      <c r="P739" s="2" t="s">
        <v>59</v>
      </c>
      <c r="Q739" s="2" t="s">
        <v>37</v>
      </c>
      <c r="R739" s="2">
        <v>2</v>
      </c>
      <c r="S739" s="2">
        <v>8</v>
      </c>
      <c r="T739" s="2" t="s">
        <v>36</v>
      </c>
      <c r="U739" s="2" t="s">
        <v>79</v>
      </c>
      <c r="V739" s="2" t="s">
        <v>51</v>
      </c>
      <c r="W739" s="3">
        <v>45436</v>
      </c>
      <c r="X739" s="2" t="b">
        <v>0</v>
      </c>
      <c r="Y739" s="2" t="b">
        <v>0</v>
      </c>
      <c r="Z739" s="2" t="s">
        <v>74</v>
      </c>
      <c r="AA739" s="2" t="s">
        <v>41</v>
      </c>
      <c r="AB739" s="2">
        <v>9</v>
      </c>
      <c r="AC739" s="2">
        <f>SUMIF(N:N,Ecommerce_Consumer_Behavior_Analysis_Data3[[#This Row],[Brand_Loyalty]],M:M)</f>
        <v>603</v>
      </c>
      <c r="AD739" s="2" t="e" cm="1" vm="1">
        <f t="array" aca="1" ref="AD739" ca="1">SUMIFS(Y:Y,Ecommerce_Consumer_Behavior_Analysis_Data3[[#This Row],[Payment_Method]],V:V)</f>
        <v>#VALUE!</v>
      </c>
      <c r="AE739" s="2">
        <f t="shared" si="15"/>
        <v>333.8</v>
      </c>
    </row>
    <row r="740" spans="1:31" x14ac:dyDescent="0.25">
      <c r="A740" s="2" t="s">
        <v>1550</v>
      </c>
      <c r="B740" s="2">
        <v>27</v>
      </c>
      <c r="C740" s="2" t="s">
        <v>43</v>
      </c>
      <c r="D740" s="2" t="s">
        <v>44</v>
      </c>
      <c r="E740" s="2" t="s">
        <v>76</v>
      </c>
      <c r="F740" s="2" t="s">
        <v>32</v>
      </c>
      <c r="G740" s="2" t="s">
        <v>30</v>
      </c>
      <c r="H740" s="2" t="s">
        <v>1551</v>
      </c>
      <c r="I740" s="2" t="s">
        <v>104</v>
      </c>
      <c r="J740" s="2">
        <v>483.23</v>
      </c>
      <c r="K740" s="2">
        <v>7</v>
      </c>
      <c r="L740" s="2" t="s">
        <v>78</v>
      </c>
      <c r="M740" s="2">
        <v>2</v>
      </c>
      <c r="N740" s="2">
        <v>4</v>
      </c>
      <c r="O740" s="2">
        <v>2</v>
      </c>
      <c r="P740" s="2" t="s">
        <v>49</v>
      </c>
      <c r="Q740" s="2" t="s">
        <v>37</v>
      </c>
      <c r="R740" s="2">
        <v>0</v>
      </c>
      <c r="S740" s="2">
        <v>5</v>
      </c>
      <c r="T740" s="2" t="s">
        <v>44</v>
      </c>
      <c r="U740" s="2" t="s">
        <v>60</v>
      </c>
      <c r="V740" s="2" t="s">
        <v>51</v>
      </c>
      <c r="W740" s="3">
        <v>45645</v>
      </c>
      <c r="X740" s="2" t="b">
        <v>1</v>
      </c>
      <c r="Y740" s="2" t="b">
        <v>0</v>
      </c>
      <c r="Z740" s="2" t="s">
        <v>62</v>
      </c>
      <c r="AA740" s="2" t="s">
        <v>67</v>
      </c>
      <c r="AB740" s="2">
        <v>9</v>
      </c>
      <c r="AC740" s="2">
        <f>SUMIF(N:N,Ecommerce_Consumer_Behavior_Analysis_Data3[[#This Row],[Brand_Loyalty]],M:M)</f>
        <v>582</v>
      </c>
      <c r="AD740" s="2" t="e" cm="1" vm="1">
        <f t="array" aca="1" ref="AD740" ca="1">SUMIFS(Y:Y,Ecommerce_Consumer_Behavior_Analysis_Data3[[#This Row],[Payment_Method]],V:V)</f>
        <v>#VALUE!</v>
      </c>
      <c r="AE740" s="2">
        <f t="shared" si="15"/>
        <v>101.31</v>
      </c>
    </row>
    <row r="741" spans="1:31" x14ac:dyDescent="0.25">
      <c r="A741" s="2" t="s">
        <v>1552</v>
      </c>
      <c r="B741" s="2">
        <v>18</v>
      </c>
      <c r="C741" s="2" t="s">
        <v>43</v>
      </c>
      <c r="D741" s="2" t="s">
        <v>30</v>
      </c>
      <c r="E741" s="2" t="s">
        <v>31</v>
      </c>
      <c r="F741" s="2" t="s">
        <v>56</v>
      </c>
      <c r="G741" s="2" t="s">
        <v>44</v>
      </c>
      <c r="H741" s="2" t="s">
        <v>1553</v>
      </c>
      <c r="I741" s="2" t="s">
        <v>65</v>
      </c>
      <c r="J741" s="2">
        <v>415.3</v>
      </c>
      <c r="K741" s="2">
        <v>11</v>
      </c>
      <c r="L741" s="2" t="s">
        <v>48</v>
      </c>
      <c r="M741" s="2">
        <v>4</v>
      </c>
      <c r="N741" s="2">
        <v>2</v>
      </c>
      <c r="O741" s="2">
        <v>1</v>
      </c>
      <c r="P741" s="2" t="s">
        <v>59</v>
      </c>
      <c r="Q741" s="2" t="s">
        <v>85</v>
      </c>
      <c r="R741" s="2">
        <v>1</v>
      </c>
      <c r="S741" s="2">
        <v>9</v>
      </c>
      <c r="T741" s="2" t="s">
        <v>36</v>
      </c>
      <c r="U741" s="2" t="s">
        <v>38</v>
      </c>
      <c r="V741" s="2" t="s">
        <v>51</v>
      </c>
      <c r="W741" s="3">
        <v>45560</v>
      </c>
      <c r="X741" s="2" t="b">
        <v>0</v>
      </c>
      <c r="Y741" s="2" t="b">
        <v>1</v>
      </c>
      <c r="Z741" s="2" t="s">
        <v>62</v>
      </c>
      <c r="AA741" s="2" t="s">
        <v>53</v>
      </c>
      <c r="AB741" s="2">
        <v>2</v>
      </c>
      <c r="AC741" s="2">
        <f>SUMIF(N:N,Ecommerce_Consumer_Behavior_Analysis_Data3[[#This Row],[Brand_Loyalty]],M:M)</f>
        <v>603</v>
      </c>
      <c r="AD741" s="2" t="e" cm="1" vm="1">
        <f t="array" aca="1" ref="AD741" ca="1">SUMIFS(Y:Y,Ecommerce_Consumer_Behavior_Analysis_Data3[[#This Row],[Payment_Method]],V:V)</f>
        <v>#VALUE!</v>
      </c>
      <c r="AE741" s="2">
        <f t="shared" si="15"/>
        <v>211.7</v>
      </c>
    </row>
    <row r="742" spans="1:31" x14ac:dyDescent="0.25">
      <c r="A742" s="2" t="s">
        <v>1554</v>
      </c>
      <c r="B742" s="2">
        <v>36</v>
      </c>
      <c r="C742" s="2" t="s">
        <v>43</v>
      </c>
      <c r="D742" s="2" t="s">
        <v>44</v>
      </c>
      <c r="E742" s="2" t="s">
        <v>31</v>
      </c>
      <c r="F742" s="2" t="s">
        <v>56</v>
      </c>
      <c r="G742" s="2" t="s">
        <v>30</v>
      </c>
      <c r="H742" s="2" t="s">
        <v>1555</v>
      </c>
      <c r="I742" s="2" t="s">
        <v>117</v>
      </c>
      <c r="J742" s="2">
        <v>85.52</v>
      </c>
      <c r="K742" s="2">
        <v>7</v>
      </c>
      <c r="L742" s="2" t="s">
        <v>35</v>
      </c>
      <c r="M742" s="2">
        <v>1</v>
      </c>
      <c r="N742" s="2">
        <v>5</v>
      </c>
      <c r="O742" s="2">
        <v>0</v>
      </c>
      <c r="P742" s="2" t="s">
        <v>49</v>
      </c>
      <c r="Q742" s="2" t="s">
        <v>37</v>
      </c>
      <c r="R742" s="2">
        <v>1</v>
      </c>
      <c r="S742" s="2">
        <v>3</v>
      </c>
      <c r="T742" s="2" t="s">
        <v>59</v>
      </c>
      <c r="U742" s="2" t="s">
        <v>60</v>
      </c>
      <c r="V742" s="2" t="s">
        <v>66</v>
      </c>
      <c r="W742" s="3">
        <v>45596</v>
      </c>
      <c r="X742" s="2" t="b">
        <v>0</v>
      </c>
      <c r="Y742" s="2" t="b">
        <v>1</v>
      </c>
      <c r="Z742" s="2" t="s">
        <v>74</v>
      </c>
      <c r="AA742" s="2" t="s">
        <v>41</v>
      </c>
      <c r="AB742" s="2">
        <v>7</v>
      </c>
      <c r="AC742" s="2">
        <f>SUMIF(N:N,Ecommerce_Consumer_Behavior_Analysis_Data3[[#This Row],[Brand_Loyalty]],M:M)</f>
        <v>603</v>
      </c>
      <c r="AD742" s="2" t="e" cm="1" vm="1">
        <f t="array" aca="1" ref="AD742" ca="1">SUMIFS(Y:Y,Ecommerce_Consumer_Behavior_Analysis_Data3[[#This Row],[Payment_Method]],V:V)</f>
        <v>#VALUE!</v>
      </c>
      <c r="AE742" s="2">
        <f t="shared" si="15"/>
        <v>101.31</v>
      </c>
    </row>
    <row r="743" spans="1:31" x14ac:dyDescent="0.25">
      <c r="A743" s="2" t="s">
        <v>1556</v>
      </c>
      <c r="B743" s="2">
        <v>44</v>
      </c>
      <c r="C743" s="2" t="s">
        <v>29</v>
      </c>
      <c r="D743" s="2" t="s">
        <v>30</v>
      </c>
      <c r="E743" s="2" t="s">
        <v>69</v>
      </c>
      <c r="F743" s="2" t="s">
        <v>45</v>
      </c>
      <c r="G743" s="2" t="s">
        <v>44</v>
      </c>
      <c r="H743" s="2" t="s">
        <v>1557</v>
      </c>
      <c r="I743" s="2" t="s">
        <v>114</v>
      </c>
      <c r="J743" s="2">
        <v>422.31</v>
      </c>
      <c r="K743" s="2">
        <v>2</v>
      </c>
      <c r="L743" s="2" t="s">
        <v>48</v>
      </c>
      <c r="M743" s="2">
        <v>3</v>
      </c>
      <c r="N743" s="2">
        <v>4</v>
      </c>
      <c r="O743" s="2">
        <v>1</v>
      </c>
      <c r="P743" s="2" t="s">
        <v>49</v>
      </c>
      <c r="Q743" s="2" t="s">
        <v>85</v>
      </c>
      <c r="R743" s="2">
        <v>0</v>
      </c>
      <c r="S743" s="2">
        <v>6</v>
      </c>
      <c r="T743" s="2" t="s">
        <v>36</v>
      </c>
      <c r="U743" s="2" t="s">
        <v>60</v>
      </c>
      <c r="V743" s="2" t="s">
        <v>66</v>
      </c>
      <c r="W743" s="3">
        <v>45513</v>
      </c>
      <c r="X743" s="2" t="b">
        <v>1</v>
      </c>
      <c r="Y743" s="2" t="b">
        <v>1</v>
      </c>
      <c r="Z743" s="2" t="s">
        <v>62</v>
      </c>
      <c r="AA743" s="2" t="s">
        <v>41</v>
      </c>
      <c r="AB743" s="2">
        <v>3</v>
      </c>
      <c r="AC743" s="2">
        <f>SUMIF(N:N,Ecommerce_Consumer_Behavior_Analysis_Data3[[#This Row],[Brand_Loyalty]],M:M)</f>
        <v>597</v>
      </c>
      <c r="AD743" s="2" t="e" cm="1" vm="1">
        <f t="array" aca="1" ref="AD743" ca="1">SUMIFS(Y:Y,Ecommerce_Consumer_Behavior_Analysis_Data3[[#This Row],[Payment_Method]],V:V)</f>
        <v>#VALUE!</v>
      </c>
      <c r="AE743" s="2">
        <f t="shared" si="15"/>
        <v>101.31</v>
      </c>
    </row>
    <row r="744" spans="1:31" x14ac:dyDescent="0.25">
      <c r="A744" s="2" t="s">
        <v>1558</v>
      </c>
      <c r="B744" s="2">
        <v>48</v>
      </c>
      <c r="C744" s="2" t="s">
        <v>88</v>
      </c>
      <c r="D744" s="2" t="s">
        <v>44</v>
      </c>
      <c r="E744" s="2" t="s">
        <v>31</v>
      </c>
      <c r="F744" s="2" t="s">
        <v>45</v>
      </c>
      <c r="G744" s="2" t="s">
        <v>44</v>
      </c>
      <c r="H744" s="2" t="s">
        <v>1559</v>
      </c>
      <c r="I744" s="2" t="s">
        <v>135</v>
      </c>
      <c r="J744" s="2">
        <v>70.42</v>
      </c>
      <c r="K744" s="2">
        <v>11</v>
      </c>
      <c r="L744" s="2" t="s">
        <v>78</v>
      </c>
      <c r="M744" s="2">
        <v>4</v>
      </c>
      <c r="N744" s="2">
        <v>5</v>
      </c>
      <c r="O744" s="2">
        <v>1</v>
      </c>
      <c r="P744" s="2" t="s">
        <v>44</v>
      </c>
      <c r="Q744" s="2" t="s">
        <v>50</v>
      </c>
      <c r="R744" s="2">
        <v>2</v>
      </c>
      <c r="S744" s="2">
        <v>7</v>
      </c>
      <c r="T744" s="2" t="s">
        <v>59</v>
      </c>
      <c r="U744" s="2" t="s">
        <v>79</v>
      </c>
      <c r="V744" s="2" t="s">
        <v>66</v>
      </c>
      <c r="W744" s="3">
        <v>45566</v>
      </c>
      <c r="X744" s="2" t="b">
        <v>0</v>
      </c>
      <c r="Y744" s="2" t="b">
        <v>1</v>
      </c>
      <c r="Z744" s="2" t="s">
        <v>40</v>
      </c>
      <c r="AA744" s="2" t="s">
        <v>67</v>
      </c>
      <c r="AB744" s="2">
        <v>14</v>
      </c>
      <c r="AC744" s="2">
        <f>SUMIF(N:N,Ecommerce_Consumer_Behavior_Analysis_Data3[[#This Row],[Brand_Loyalty]],M:M)</f>
        <v>603</v>
      </c>
      <c r="AD744" s="2" t="e" cm="1" vm="1">
        <f t="array" aca="1" ref="AD744" ca="1">SUMIFS(Y:Y,Ecommerce_Consumer_Behavior_Analysis_Data3[[#This Row],[Payment_Method]],V:V)</f>
        <v>#VALUE!</v>
      </c>
      <c r="AE744" s="2">
        <f t="shared" si="15"/>
        <v>101.31</v>
      </c>
    </row>
    <row r="745" spans="1:31" x14ac:dyDescent="0.25">
      <c r="A745" s="2" t="s">
        <v>1560</v>
      </c>
      <c r="B745" s="2">
        <v>23</v>
      </c>
      <c r="C745" s="2" t="s">
        <v>29</v>
      </c>
      <c r="D745" s="2" t="s">
        <v>30</v>
      </c>
      <c r="E745" s="2" t="s">
        <v>69</v>
      </c>
      <c r="F745" s="2" t="s">
        <v>56</v>
      </c>
      <c r="G745" s="2" t="s">
        <v>30</v>
      </c>
      <c r="H745" s="2" t="s">
        <v>1561</v>
      </c>
      <c r="I745" s="2" t="s">
        <v>126</v>
      </c>
      <c r="J745" s="2">
        <v>437.4</v>
      </c>
      <c r="K745" s="2">
        <v>6</v>
      </c>
      <c r="L745" s="2" t="s">
        <v>35</v>
      </c>
      <c r="M745" s="2">
        <v>1</v>
      </c>
      <c r="N745" s="2">
        <v>4</v>
      </c>
      <c r="O745" s="2">
        <v>1</v>
      </c>
      <c r="P745" s="2" t="s">
        <v>44</v>
      </c>
      <c r="Q745" s="2" t="s">
        <v>37</v>
      </c>
      <c r="R745" s="2">
        <v>2</v>
      </c>
      <c r="S745" s="2">
        <v>5</v>
      </c>
      <c r="T745" s="2" t="s">
        <v>59</v>
      </c>
      <c r="U745" s="2" t="s">
        <v>38</v>
      </c>
      <c r="V745" s="2" t="s">
        <v>39</v>
      </c>
      <c r="W745" s="3">
        <v>45459</v>
      </c>
      <c r="X745" s="2" t="b">
        <v>0</v>
      </c>
      <c r="Y745" s="2" t="b">
        <v>0</v>
      </c>
      <c r="Z745" s="2" t="s">
        <v>74</v>
      </c>
      <c r="AA745" s="2" t="s">
        <v>67</v>
      </c>
      <c r="AB745" s="2">
        <v>1</v>
      </c>
      <c r="AC745" s="2">
        <f>SUMIF(N:N,Ecommerce_Consumer_Behavior_Analysis_Data3[[#This Row],[Brand_Loyalty]],M:M)</f>
        <v>603</v>
      </c>
      <c r="AD745" s="2" t="e" cm="1" vm="1">
        <f t="array" aca="1" ref="AD745" ca="1">SUMIFS(Y:Y,Ecommerce_Consumer_Behavior_Analysis_Data3[[#This Row],[Payment_Method]],V:V)</f>
        <v>#VALUE!</v>
      </c>
      <c r="AE745" s="2">
        <f t="shared" si="15"/>
        <v>333.8</v>
      </c>
    </row>
    <row r="746" spans="1:31" x14ac:dyDescent="0.25">
      <c r="A746" s="2" t="s">
        <v>1562</v>
      </c>
      <c r="B746" s="2">
        <v>35</v>
      </c>
      <c r="C746" s="2" t="s">
        <v>43</v>
      </c>
      <c r="D746" s="2" t="s">
        <v>30</v>
      </c>
      <c r="E746" s="2" t="s">
        <v>76</v>
      </c>
      <c r="F746" s="2" t="s">
        <v>32</v>
      </c>
      <c r="G746" s="2" t="s">
        <v>30</v>
      </c>
      <c r="H746" s="2" t="s">
        <v>1563</v>
      </c>
      <c r="I746" s="2" t="s">
        <v>246</v>
      </c>
      <c r="J746" s="2">
        <v>207.11</v>
      </c>
      <c r="K746" s="2">
        <v>4</v>
      </c>
      <c r="L746" s="2" t="s">
        <v>35</v>
      </c>
      <c r="M746" s="2">
        <v>1</v>
      </c>
      <c r="N746" s="2">
        <v>4</v>
      </c>
      <c r="O746" s="2">
        <v>2</v>
      </c>
      <c r="P746" s="2" t="s">
        <v>44</v>
      </c>
      <c r="Q746" s="2" t="s">
        <v>50</v>
      </c>
      <c r="R746" s="2">
        <v>0</v>
      </c>
      <c r="S746" s="2">
        <v>1</v>
      </c>
      <c r="T746" s="2" t="s">
        <v>59</v>
      </c>
      <c r="U746" s="2" t="s">
        <v>38</v>
      </c>
      <c r="V746" s="2" t="s">
        <v>66</v>
      </c>
      <c r="W746" s="3">
        <v>45379</v>
      </c>
      <c r="X746" s="2" t="b">
        <v>1</v>
      </c>
      <c r="Y746" s="2" t="b">
        <v>0</v>
      </c>
      <c r="Z746" s="2" t="s">
        <v>40</v>
      </c>
      <c r="AA746" s="2" t="s">
        <v>41</v>
      </c>
      <c r="AB746" s="2">
        <v>2</v>
      </c>
      <c r="AC746" s="2">
        <f>SUMIF(N:N,Ecommerce_Consumer_Behavior_Analysis_Data3[[#This Row],[Brand_Loyalty]],M:M)</f>
        <v>603</v>
      </c>
      <c r="AD746" s="2" t="e" cm="1" vm="1">
        <f t="array" aca="1" ref="AD746" ca="1">SUMIFS(Y:Y,Ecommerce_Consumer_Behavior_Analysis_Data3[[#This Row],[Payment_Method]],V:V)</f>
        <v>#VALUE!</v>
      </c>
      <c r="AE746" s="2">
        <f t="shared" si="15"/>
        <v>333.8</v>
      </c>
    </row>
    <row r="747" spans="1:31" x14ac:dyDescent="0.25">
      <c r="A747" s="2" t="s">
        <v>1564</v>
      </c>
      <c r="B747" s="2">
        <v>50</v>
      </c>
      <c r="C747" s="2" t="s">
        <v>29</v>
      </c>
      <c r="D747" s="2" t="s">
        <v>44</v>
      </c>
      <c r="E747" s="2" t="s">
        <v>69</v>
      </c>
      <c r="F747" s="2" t="s">
        <v>32</v>
      </c>
      <c r="G747" s="2" t="s">
        <v>30</v>
      </c>
      <c r="H747" s="2" t="s">
        <v>1565</v>
      </c>
      <c r="I747" s="2" t="s">
        <v>101</v>
      </c>
      <c r="J747" s="2">
        <v>378.87</v>
      </c>
      <c r="K747" s="2">
        <v>2</v>
      </c>
      <c r="L747" s="2" t="s">
        <v>78</v>
      </c>
      <c r="M747" s="2">
        <v>5</v>
      </c>
      <c r="N747" s="2">
        <v>2</v>
      </c>
      <c r="O747" s="2">
        <v>2</v>
      </c>
      <c r="P747" s="2" t="s">
        <v>36</v>
      </c>
      <c r="Q747" s="2" t="s">
        <v>85</v>
      </c>
      <c r="R747" s="2">
        <v>2</v>
      </c>
      <c r="S747" s="2">
        <v>2</v>
      </c>
      <c r="T747" s="2" t="s">
        <v>49</v>
      </c>
      <c r="U747" s="2" t="s">
        <v>79</v>
      </c>
      <c r="V747" s="2" t="s">
        <v>61</v>
      </c>
      <c r="W747" s="3">
        <v>45459</v>
      </c>
      <c r="X747" s="2" t="b">
        <v>1</v>
      </c>
      <c r="Y747" s="2" t="b">
        <v>0</v>
      </c>
      <c r="Z747" s="2" t="s">
        <v>74</v>
      </c>
      <c r="AA747" s="2" t="s">
        <v>41</v>
      </c>
      <c r="AB747" s="2">
        <v>9</v>
      </c>
      <c r="AC747" s="2">
        <f>SUMIF(N:N,Ecommerce_Consumer_Behavior_Analysis_Data3[[#This Row],[Brand_Loyalty]],M:M)</f>
        <v>641</v>
      </c>
      <c r="AD747" s="2" t="e" cm="1" vm="1">
        <f t="array" aca="1" ref="AD747" ca="1">SUMIFS(Y:Y,Ecommerce_Consumer_Behavior_Analysis_Data3[[#This Row],[Payment_Method]],V:V)</f>
        <v>#VALUE!</v>
      </c>
      <c r="AE747" s="2">
        <f t="shared" si="15"/>
        <v>101.31</v>
      </c>
    </row>
    <row r="748" spans="1:31" x14ac:dyDescent="0.25">
      <c r="A748" s="2" t="s">
        <v>1566</v>
      </c>
      <c r="B748" s="2">
        <v>30</v>
      </c>
      <c r="C748" s="2" t="s">
        <v>29</v>
      </c>
      <c r="D748" s="2" t="s">
        <v>44</v>
      </c>
      <c r="E748" s="2" t="s">
        <v>76</v>
      </c>
      <c r="F748" s="2" t="s">
        <v>45</v>
      </c>
      <c r="G748" s="2" t="s">
        <v>44</v>
      </c>
      <c r="H748" s="2" t="s">
        <v>1567</v>
      </c>
      <c r="I748" s="2" t="s">
        <v>123</v>
      </c>
      <c r="J748" s="2">
        <v>349</v>
      </c>
      <c r="K748" s="2">
        <v>10</v>
      </c>
      <c r="L748" s="2" t="s">
        <v>35</v>
      </c>
      <c r="M748" s="2">
        <v>3</v>
      </c>
      <c r="N748" s="2">
        <v>5</v>
      </c>
      <c r="O748" s="2">
        <v>1</v>
      </c>
      <c r="P748" s="2" t="s">
        <v>59</v>
      </c>
      <c r="Q748" s="2" t="s">
        <v>50</v>
      </c>
      <c r="R748" s="2">
        <v>1</v>
      </c>
      <c r="S748" s="2">
        <v>5</v>
      </c>
      <c r="T748" s="2" t="s">
        <v>59</v>
      </c>
      <c r="U748" s="2" t="s">
        <v>79</v>
      </c>
      <c r="V748" s="2" t="s">
        <v>51</v>
      </c>
      <c r="W748" s="3">
        <v>45306</v>
      </c>
      <c r="X748" s="2" t="b">
        <v>0</v>
      </c>
      <c r="Y748" s="2" t="b">
        <v>1</v>
      </c>
      <c r="Z748" s="2" t="s">
        <v>74</v>
      </c>
      <c r="AA748" s="2" t="s">
        <v>41</v>
      </c>
      <c r="AB748" s="2">
        <v>10</v>
      </c>
      <c r="AC748" s="2">
        <f>SUMIF(N:N,Ecommerce_Consumer_Behavior_Analysis_Data3[[#This Row],[Brand_Loyalty]],M:M)</f>
        <v>597</v>
      </c>
      <c r="AD748" s="2" t="e" cm="1" vm="1">
        <f t="array" aca="1" ref="AD748" ca="1">SUMIFS(Y:Y,Ecommerce_Consumer_Behavior_Analysis_Data3[[#This Row],[Payment_Method]],V:V)</f>
        <v>#VALUE!</v>
      </c>
      <c r="AE748" s="2">
        <f t="shared" si="15"/>
        <v>101.31</v>
      </c>
    </row>
    <row r="749" spans="1:31" x14ac:dyDescent="0.25">
      <c r="A749" s="2" t="s">
        <v>1568</v>
      </c>
      <c r="B749" s="2">
        <v>38</v>
      </c>
      <c r="C749" s="2" t="s">
        <v>43</v>
      </c>
      <c r="D749" s="2" t="s">
        <v>30</v>
      </c>
      <c r="E749" s="2" t="s">
        <v>31</v>
      </c>
      <c r="F749" s="2" t="s">
        <v>32</v>
      </c>
      <c r="G749" s="2" t="s">
        <v>30</v>
      </c>
      <c r="H749" s="2" t="s">
        <v>1569</v>
      </c>
      <c r="I749" s="2" t="s">
        <v>107</v>
      </c>
      <c r="J749" s="2">
        <v>330.27</v>
      </c>
      <c r="K749" s="2">
        <v>3</v>
      </c>
      <c r="L749" s="2" t="s">
        <v>48</v>
      </c>
      <c r="M749" s="2">
        <v>3</v>
      </c>
      <c r="N749" s="2">
        <v>2</v>
      </c>
      <c r="O749" s="2">
        <v>1</v>
      </c>
      <c r="P749" s="2" t="s">
        <v>44</v>
      </c>
      <c r="Q749" s="2" t="s">
        <v>50</v>
      </c>
      <c r="R749" s="2">
        <v>1</v>
      </c>
      <c r="S749" s="2">
        <v>9</v>
      </c>
      <c r="T749" s="2" t="s">
        <v>44</v>
      </c>
      <c r="U749" s="2" t="s">
        <v>60</v>
      </c>
      <c r="V749" s="2" t="s">
        <v>66</v>
      </c>
      <c r="W749" s="3">
        <v>45332</v>
      </c>
      <c r="X749" s="2" t="b">
        <v>1</v>
      </c>
      <c r="Y749" s="2" t="b">
        <v>0</v>
      </c>
      <c r="Z749" s="2" t="s">
        <v>62</v>
      </c>
      <c r="AA749" s="2" t="s">
        <v>41</v>
      </c>
      <c r="AB749" s="2">
        <v>9</v>
      </c>
      <c r="AC749" s="2">
        <f>SUMIF(N:N,Ecommerce_Consumer_Behavior_Analysis_Data3[[#This Row],[Brand_Loyalty]],M:M)</f>
        <v>597</v>
      </c>
      <c r="AD749" s="2" t="e" cm="1" vm="1">
        <f t="array" aca="1" ref="AD749" ca="1">SUMIFS(Y:Y,Ecommerce_Consumer_Behavior_Analysis_Data3[[#This Row],[Payment_Method]],V:V)</f>
        <v>#VALUE!</v>
      </c>
      <c r="AE749" s="2">
        <f t="shared" si="15"/>
        <v>101.31</v>
      </c>
    </row>
    <row r="750" spans="1:31" x14ac:dyDescent="0.25">
      <c r="A750" s="2" t="s">
        <v>1570</v>
      </c>
      <c r="B750" s="2">
        <v>42</v>
      </c>
      <c r="C750" s="2" t="s">
        <v>43</v>
      </c>
      <c r="D750" s="2" t="s">
        <v>30</v>
      </c>
      <c r="E750" s="2" t="s">
        <v>31</v>
      </c>
      <c r="F750" s="2" t="s">
        <v>56</v>
      </c>
      <c r="G750" s="2" t="s">
        <v>30</v>
      </c>
      <c r="H750" s="2" t="s">
        <v>1571</v>
      </c>
      <c r="I750" s="2" t="s">
        <v>142</v>
      </c>
      <c r="J750" s="2">
        <v>410.29</v>
      </c>
      <c r="K750" s="2">
        <v>10</v>
      </c>
      <c r="L750" s="2" t="s">
        <v>78</v>
      </c>
      <c r="M750" s="2">
        <v>2</v>
      </c>
      <c r="N750" s="2">
        <v>4</v>
      </c>
      <c r="O750" s="2">
        <v>1</v>
      </c>
      <c r="P750" s="2" t="s">
        <v>59</v>
      </c>
      <c r="Q750" s="2" t="s">
        <v>50</v>
      </c>
      <c r="R750" s="2">
        <v>2</v>
      </c>
      <c r="S750" s="2">
        <v>4</v>
      </c>
      <c r="T750" s="2" t="s">
        <v>44</v>
      </c>
      <c r="U750" s="2" t="s">
        <v>60</v>
      </c>
      <c r="V750" s="2" t="s">
        <v>39</v>
      </c>
      <c r="W750" s="3">
        <v>45537</v>
      </c>
      <c r="X750" s="2" t="b">
        <v>1</v>
      </c>
      <c r="Y750" s="2" t="b">
        <v>0</v>
      </c>
      <c r="Z750" s="2" t="s">
        <v>74</v>
      </c>
      <c r="AA750" s="2" t="s">
        <v>67</v>
      </c>
      <c r="AB750" s="2">
        <v>1</v>
      </c>
      <c r="AC750" s="2">
        <f>SUMIF(N:N,Ecommerce_Consumer_Behavior_Analysis_Data3[[#This Row],[Brand_Loyalty]],M:M)</f>
        <v>582</v>
      </c>
      <c r="AD750" s="2" t="e" cm="1" vm="1">
        <f t="array" aca="1" ref="AD750" ca="1">SUMIFS(Y:Y,Ecommerce_Consumer_Behavior_Analysis_Data3[[#This Row],[Payment_Method]],V:V)</f>
        <v>#VALUE!</v>
      </c>
      <c r="AE750" s="2">
        <f t="shared" si="15"/>
        <v>101.31</v>
      </c>
    </row>
    <row r="751" spans="1:31" x14ac:dyDescent="0.25">
      <c r="A751" s="2" t="s">
        <v>1572</v>
      </c>
      <c r="B751" s="2">
        <v>24</v>
      </c>
      <c r="C751" s="2" t="s">
        <v>29</v>
      </c>
      <c r="D751" s="2" t="s">
        <v>44</v>
      </c>
      <c r="E751" s="2" t="s">
        <v>76</v>
      </c>
      <c r="F751" s="2" t="s">
        <v>56</v>
      </c>
      <c r="G751" s="2" t="s">
        <v>30</v>
      </c>
      <c r="H751" s="2" t="s">
        <v>1573</v>
      </c>
      <c r="I751" s="2" t="s">
        <v>107</v>
      </c>
      <c r="J751" s="2">
        <v>400.86</v>
      </c>
      <c r="K751" s="2">
        <v>7</v>
      </c>
      <c r="L751" s="2" t="s">
        <v>78</v>
      </c>
      <c r="M751" s="2">
        <v>3</v>
      </c>
      <c r="N751" s="2">
        <v>3</v>
      </c>
      <c r="O751" s="2">
        <v>1</v>
      </c>
      <c r="P751" s="2" t="s">
        <v>44</v>
      </c>
      <c r="Q751" s="2" t="s">
        <v>85</v>
      </c>
      <c r="R751" s="2">
        <v>1</v>
      </c>
      <c r="S751" s="2">
        <v>7</v>
      </c>
      <c r="T751" s="2" t="s">
        <v>59</v>
      </c>
      <c r="U751" s="2" t="s">
        <v>60</v>
      </c>
      <c r="V751" s="2" t="s">
        <v>39</v>
      </c>
      <c r="W751" s="3">
        <v>45547</v>
      </c>
      <c r="X751" s="2" t="b">
        <v>1</v>
      </c>
      <c r="Y751" s="2" t="b">
        <v>0</v>
      </c>
      <c r="Z751" s="2" t="s">
        <v>74</v>
      </c>
      <c r="AA751" s="2" t="s">
        <v>41</v>
      </c>
      <c r="AB751" s="2">
        <v>5</v>
      </c>
      <c r="AC751" s="2">
        <f>SUMIF(N:N,Ecommerce_Consumer_Behavior_Analysis_Data3[[#This Row],[Brand_Loyalty]],M:M)</f>
        <v>597</v>
      </c>
      <c r="AD751" s="2" t="e" cm="1" vm="1">
        <f t="array" aca="1" ref="AD751" ca="1">SUMIFS(Y:Y,Ecommerce_Consumer_Behavior_Analysis_Data3[[#This Row],[Payment_Method]],V:V)</f>
        <v>#VALUE!</v>
      </c>
      <c r="AE751" s="2">
        <f t="shared" si="15"/>
        <v>101.31</v>
      </c>
    </row>
    <row r="752" spans="1:31" x14ac:dyDescent="0.25">
      <c r="A752" s="2" t="s">
        <v>1574</v>
      </c>
      <c r="B752" s="2">
        <v>27</v>
      </c>
      <c r="C752" s="2" t="s">
        <v>29</v>
      </c>
      <c r="D752" s="2" t="s">
        <v>44</v>
      </c>
      <c r="E752" s="2" t="s">
        <v>31</v>
      </c>
      <c r="F752" s="2" t="s">
        <v>56</v>
      </c>
      <c r="G752" s="2" t="s">
        <v>30</v>
      </c>
      <c r="H752" s="2" t="s">
        <v>1575</v>
      </c>
      <c r="I752" s="2" t="s">
        <v>188</v>
      </c>
      <c r="J752" s="2">
        <v>225.12</v>
      </c>
      <c r="K752" s="2">
        <v>11</v>
      </c>
      <c r="L752" s="2" t="s">
        <v>48</v>
      </c>
      <c r="M752" s="2">
        <v>3</v>
      </c>
      <c r="N752" s="2">
        <v>2</v>
      </c>
      <c r="O752" s="2">
        <v>1</v>
      </c>
      <c r="P752" s="2" t="s">
        <v>49</v>
      </c>
      <c r="Q752" s="2" t="s">
        <v>37</v>
      </c>
      <c r="R752" s="2">
        <v>0</v>
      </c>
      <c r="S752" s="2">
        <v>1</v>
      </c>
      <c r="T752" s="2" t="s">
        <v>36</v>
      </c>
      <c r="U752" s="2" t="s">
        <v>79</v>
      </c>
      <c r="V752" s="2" t="s">
        <v>86</v>
      </c>
      <c r="W752" s="3">
        <v>45535</v>
      </c>
      <c r="X752" s="2" t="b">
        <v>1</v>
      </c>
      <c r="Y752" s="2" t="b">
        <v>0</v>
      </c>
      <c r="Z752" s="2" t="s">
        <v>74</v>
      </c>
      <c r="AA752" s="2" t="s">
        <v>67</v>
      </c>
      <c r="AB752" s="2">
        <v>6</v>
      </c>
      <c r="AC752" s="2">
        <f>SUMIF(N:N,Ecommerce_Consumer_Behavior_Analysis_Data3[[#This Row],[Brand_Loyalty]],M:M)</f>
        <v>597</v>
      </c>
      <c r="AD752" s="2" t="e" cm="1" vm="1">
        <f t="array" aca="1" ref="AD752" ca="1">SUMIFS(Y:Y,Ecommerce_Consumer_Behavior_Analysis_Data3[[#This Row],[Payment_Method]],V:V)</f>
        <v>#VALUE!</v>
      </c>
      <c r="AE752" s="2">
        <f t="shared" si="15"/>
        <v>333.8</v>
      </c>
    </row>
    <row r="753" spans="1:31" x14ac:dyDescent="0.25">
      <c r="A753" s="2" t="s">
        <v>1576</v>
      </c>
      <c r="B753" s="2">
        <v>36</v>
      </c>
      <c r="C753" s="2" t="s">
        <v>29</v>
      </c>
      <c r="D753" s="2" t="s">
        <v>44</v>
      </c>
      <c r="E753" s="2" t="s">
        <v>69</v>
      </c>
      <c r="F753" s="2" t="s">
        <v>56</v>
      </c>
      <c r="G753" s="2" t="s">
        <v>44</v>
      </c>
      <c r="H753" s="2" t="s">
        <v>1577</v>
      </c>
      <c r="I753" s="2" t="s">
        <v>188</v>
      </c>
      <c r="J753" s="2">
        <v>273.48</v>
      </c>
      <c r="K753" s="2">
        <v>12</v>
      </c>
      <c r="L753" s="2" t="s">
        <v>78</v>
      </c>
      <c r="M753" s="2">
        <v>5</v>
      </c>
      <c r="N753" s="2">
        <v>3</v>
      </c>
      <c r="O753" s="2">
        <v>2</v>
      </c>
      <c r="P753" s="2" t="s">
        <v>59</v>
      </c>
      <c r="Q753" s="2" t="s">
        <v>85</v>
      </c>
      <c r="R753" s="2">
        <v>0</v>
      </c>
      <c r="S753" s="2">
        <v>5</v>
      </c>
      <c r="T753" s="2" t="s">
        <v>49</v>
      </c>
      <c r="U753" s="2" t="s">
        <v>60</v>
      </c>
      <c r="V753" s="2" t="s">
        <v>66</v>
      </c>
      <c r="W753" s="3">
        <v>45313</v>
      </c>
      <c r="X753" s="2" t="b">
        <v>1</v>
      </c>
      <c r="Y753" s="2" t="b">
        <v>0</v>
      </c>
      <c r="Z753" s="2" t="s">
        <v>52</v>
      </c>
      <c r="AA753" s="2" t="s">
        <v>67</v>
      </c>
      <c r="AB753" s="2">
        <v>5</v>
      </c>
      <c r="AC753" s="2">
        <f>SUMIF(N:N,Ecommerce_Consumer_Behavior_Analysis_Data3[[#This Row],[Brand_Loyalty]],M:M)</f>
        <v>641</v>
      </c>
      <c r="AD753" s="2" t="e" cm="1" vm="1">
        <f t="array" aca="1" ref="AD753" ca="1">SUMIFS(Y:Y,Ecommerce_Consumer_Behavior_Analysis_Data3[[#This Row],[Payment_Method]],V:V)</f>
        <v>#VALUE!</v>
      </c>
      <c r="AE753" s="2">
        <f t="shared" si="15"/>
        <v>101.31</v>
      </c>
    </row>
    <row r="754" spans="1:31" x14ac:dyDescent="0.25">
      <c r="A754" s="2" t="s">
        <v>1578</v>
      </c>
      <c r="B754" s="2">
        <v>19</v>
      </c>
      <c r="C754" s="2" t="s">
        <v>88</v>
      </c>
      <c r="D754" s="2" t="s">
        <v>44</v>
      </c>
      <c r="E754" s="2" t="s">
        <v>55</v>
      </c>
      <c r="F754" s="2" t="s">
        <v>56</v>
      </c>
      <c r="G754" s="2" t="s">
        <v>30</v>
      </c>
      <c r="H754" s="2" t="s">
        <v>1579</v>
      </c>
      <c r="I754" s="2" t="s">
        <v>71</v>
      </c>
      <c r="J754" s="2">
        <v>363.84</v>
      </c>
      <c r="K754" s="2">
        <v>11</v>
      </c>
      <c r="L754" s="2" t="s">
        <v>78</v>
      </c>
      <c r="M754" s="2">
        <v>3</v>
      </c>
      <c r="N754" s="2">
        <v>2</v>
      </c>
      <c r="O754" s="2">
        <v>1</v>
      </c>
      <c r="P754" s="2" t="s">
        <v>59</v>
      </c>
      <c r="Q754" s="2" t="s">
        <v>50</v>
      </c>
      <c r="R754" s="2">
        <v>0</v>
      </c>
      <c r="S754" s="2">
        <v>3</v>
      </c>
      <c r="T754" s="2" t="s">
        <v>49</v>
      </c>
      <c r="U754" s="2" t="s">
        <v>79</v>
      </c>
      <c r="V754" s="2" t="s">
        <v>86</v>
      </c>
      <c r="W754" s="3">
        <v>45534</v>
      </c>
      <c r="X754" s="2" t="b">
        <v>1</v>
      </c>
      <c r="Y754" s="2" t="b">
        <v>0</v>
      </c>
      <c r="Z754" s="2" t="s">
        <v>62</v>
      </c>
      <c r="AA754" s="2" t="s">
        <v>67</v>
      </c>
      <c r="AB754" s="2">
        <v>5</v>
      </c>
      <c r="AC754" s="2">
        <f>SUMIF(N:N,Ecommerce_Consumer_Behavior_Analysis_Data3[[#This Row],[Brand_Loyalty]],M:M)</f>
        <v>597</v>
      </c>
      <c r="AD754" s="2" t="e" cm="1" vm="1">
        <f t="array" aca="1" ref="AD754" ca="1">SUMIFS(Y:Y,Ecommerce_Consumer_Behavior_Analysis_Data3[[#This Row],[Payment_Method]],V:V)</f>
        <v>#VALUE!</v>
      </c>
      <c r="AE754" s="2">
        <f t="shared" si="15"/>
        <v>333.8</v>
      </c>
    </row>
    <row r="755" spans="1:31" x14ac:dyDescent="0.25">
      <c r="A755" s="2" t="s">
        <v>1580</v>
      </c>
      <c r="B755" s="2">
        <v>24</v>
      </c>
      <c r="C755" s="2" t="s">
        <v>29</v>
      </c>
      <c r="D755" s="2" t="s">
        <v>44</v>
      </c>
      <c r="E755" s="2" t="s">
        <v>55</v>
      </c>
      <c r="F755" s="2" t="s">
        <v>32</v>
      </c>
      <c r="G755" s="2" t="s">
        <v>30</v>
      </c>
      <c r="H755" s="2" t="s">
        <v>1581</v>
      </c>
      <c r="I755" s="2" t="s">
        <v>114</v>
      </c>
      <c r="J755" s="2">
        <v>302.60000000000002</v>
      </c>
      <c r="K755" s="2">
        <v>9</v>
      </c>
      <c r="L755" s="2" t="s">
        <v>78</v>
      </c>
      <c r="M755" s="2">
        <v>1</v>
      </c>
      <c r="N755" s="2">
        <v>4</v>
      </c>
      <c r="O755" s="2">
        <v>2</v>
      </c>
      <c r="P755" s="2" t="s">
        <v>49</v>
      </c>
      <c r="Q755" s="2" t="s">
        <v>85</v>
      </c>
      <c r="R755" s="2">
        <v>2</v>
      </c>
      <c r="S755" s="2">
        <v>10</v>
      </c>
      <c r="T755" s="2" t="s">
        <v>36</v>
      </c>
      <c r="U755" s="2" t="s">
        <v>79</v>
      </c>
      <c r="V755" s="2" t="s">
        <v>61</v>
      </c>
      <c r="W755" s="3">
        <v>45496</v>
      </c>
      <c r="X755" s="2" t="b">
        <v>0</v>
      </c>
      <c r="Y755" s="2" t="b">
        <v>1</v>
      </c>
      <c r="Z755" s="2" t="s">
        <v>62</v>
      </c>
      <c r="AA755" s="2" t="s">
        <v>53</v>
      </c>
      <c r="AB755" s="2">
        <v>2</v>
      </c>
      <c r="AC755" s="2">
        <f>SUMIF(N:N,Ecommerce_Consumer_Behavior_Analysis_Data3[[#This Row],[Brand_Loyalty]],M:M)</f>
        <v>603</v>
      </c>
      <c r="AD755" s="2" t="e" cm="1" vm="1">
        <f t="array" aca="1" ref="AD755" ca="1">SUMIFS(Y:Y,Ecommerce_Consumer_Behavior_Analysis_Data3[[#This Row],[Payment_Method]],V:V)</f>
        <v>#VALUE!</v>
      </c>
      <c r="AE755" s="2">
        <f t="shared" si="15"/>
        <v>101.31</v>
      </c>
    </row>
    <row r="756" spans="1:31" x14ac:dyDescent="0.25">
      <c r="A756" s="2" t="s">
        <v>1582</v>
      </c>
      <c r="B756" s="2">
        <v>35</v>
      </c>
      <c r="C756" s="2" t="s">
        <v>43</v>
      </c>
      <c r="D756" s="2" t="s">
        <v>44</v>
      </c>
      <c r="E756" s="2" t="s">
        <v>76</v>
      </c>
      <c r="F756" s="2" t="s">
        <v>45</v>
      </c>
      <c r="G756" s="2" t="s">
        <v>44</v>
      </c>
      <c r="H756" s="2" t="s">
        <v>1583</v>
      </c>
      <c r="I756" s="2" t="s">
        <v>101</v>
      </c>
      <c r="J756" s="2">
        <v>317.08999999999997</v>
      </c>
      <c r="K756" s="2">
        <v>6</v>
      </c>
      <c r="L756" s="2" t="s">
        <v>78</v>
      </c>
      <c r="M756" s="2">
        <v>1</v>
      </c>
      <c r="N756" s="2">
        <v>1</v>
      </c>
      <c r="O756" s="2">
        <v>1</v>
      </c>
      <c r="P756" s="2" t="s">
        <v>44</v>
      </c>
      <c r="Q756" s="2" t="s">
        <v>50</v>
      </c>
      <c r="R756" s="2">
        <v>2</v>
      </c>
      <c r="S756" s="2">
        <v>2</v>
      </c>
      <c r="T756" s="2" t="s">
        <v>44</v>
      </c>
      <c r="U756" s="2" t="s">
        <v>79</v>
      </c>
      <c r="V756" s="2" t="s">
        <v>66</v>
      </c>
      <c r="W756" s="3">
        <v>45393</v>
      </c>
      <c r="X756" s="2" t="b">
        <v>1</v>
      </c>
      <c r="Y756" s="2" t="b">
        <v>0</v>
      </c>
      <c r="Z756" s="2" t="s">
        <v>62</v>
      </c>
      <c r="AA756" s="2" t="s">
        <v>53</v>
      </c>
      <c r="AB756" s="2">
        <v>4</v>
      </c>
      <c r="AC756" s="2">
        <f>SUMIF(N:N,Ecommerce_Consumer_Behavior_Analysis_Data3[[#This Row],[Brand_Loyalty]],M:M)</f>
        <v>603</v>
      </c>
      <c r="AD756" s="2" t="e" cm="1" vm="1">
        <f t="array" aca="1" ref="AD756" ca="1">SUMIFS(Y:Y,Ecommerce_Consumer_Behavior_Analysis_Data3[[#This Row],[Payment_Method]],V:V)</f>
        <v>#VALUE!</v>
      </c>
      <c r="AE756" s="2">
        <f t="shared" si="15"/>
        <v>211.7</v>
      </c>
    </row>
    <row r="757" spans="1:31" x14ac:dyDescent="0.25">
      <c r="A757" s="2" t="s">
        <v>1584</v>
      </c>
      <c r="B757" s="2">
        <v>38</v>
      </c>
      <c r="C757" s="2" t="s">
        <v>29</v>
      </c>
      <c r="D757" s="2" t="s">
        <v>44</v>
      </c>
      <c r="E757" s="2" t="s">
        <v>31</v>
      </c>
      <c r="F757" s="2" t="s">
        <v>45</v>
      </c>
      <c r="G757" s="2" t="s">
        <v>44</v>
      </c>
      <c r="H757" s="2" t="s">
        <v>1585</v>
      </c>
      <c r="I757" s="2" t="s">
        <v>188</v>
      </c>
      <c r="J757" s="2">
        <v>193.32</v>
      </c>
      <c r="K757" s="2">
        <v>9</v>
      </c>
      <c r="L757" s="2" t="s">
        <v>35</v>
      </c>
      <c r="M757" s="2">
        <v>4</v>
      </c>
      <c r="N757" s="2">
        <v>3</v>
      </c>
      <c r="O757" s="2">
        <v>0</v>
      </c>
      <c r="P757" s="2" t="s">
        <v>36</v>
      </c>
      <c r="Q757" s="2" t="s">
        <v>85</v>
      </c>
      <c r="R757" s="2">
        <v>0</v>
      </c>
      <c r="S757" s="2">
        <v>8</v>
      </c>
      <c r="T757" s="2" t="s">
        <v>44</v>
      </c>
      <c r="U757" s="2" t="s">
        <v>38</v>
      </c>
      <c r="V757" s="2" t="s">
        <v>51</v>
      </c>
      <c r="W757" s="3">
        <v>45484</v>
      </c>
      <c r="X757" s="2" t="b">
        <v>0</v>
      </c>
      <c r="Y757" s="2" t="b">
        <v>1</v>
      </c>
      <c r="Z757" s="2" t="s">
        <v>52</v>
      </c>
      <c r="AA757" s="2" t="s">
        <v>67</v>
      </c>
      <c r="AB757" s="2">
        <v>6</v>
      </c>
      <c r="AC757" s="2">
        <f>SUMIF(N:N,Ecommerce_Consumer_Behavior_Analysis_Data3[[#This Row],[Brand_Loyalty]],M:M)</f>
        <v>603</v>
      </c>
      <c r="AD757" s="2" t="e" cm="1" vm="1">
        <f t="array" aca="1" ref="AD757" ca="1">SUMIFS(Y:Y,Ecommerce_Consumer_Behavior_Analysis_Data3[[#This Row],[Payment_Method]],V:V)</f>
        <v>#VALUE!</v>
      </c>
      <c r="AE757" s="2">
        <f t="shared" si="15"/>
        <v>333.8</v>
      </c>
    </row>
    <row r="758" spans="1:31" x14ac:dyDescent="0.25">
      <c r="A758" s="2" t="s">
        <v>1586</v>
      </c>
      <c r="B758" s="2">
        <v>34</v>
      </c>
      <c r="C758" s="2" t="s">
        <v>43</v>
      </c>
      <c r="D758" s="2" t="s">
        <v>44</v>
      </c>
      <c r="E758" s="2" t="s">
        <v>69</v>
      </c>
      <c r="F758" s="2" t="s">
        <v>45</v>
      </c>
      <c r="G758" s="2" t="s">
        <v>44</v>
      </c>
      <c r="H758" s="2" t="s">
        <v>1587</v>
      </c>
      <c r="I758" s="2" t="s">
        <v>120</v>
      </c>
      <c r="J758" s="2">
        <v>282.24</v>
      </c>
      <c r="K758" s="2">
        <v>6</v>
      </c>
      <c r="L758" s="2" t="s">
        <v>78</v>
      </c>
      <c r="M758" s="2">
        <v>2</v>
      </c>
      <c r="N758" s="2">
        <v>3</v>
      </c>
      <c r="O758" s="2">
        <v>2</v>
      </c>
      <c r="P758" s="2" t="s">
        <v>36</v>
      </c>
      <c r="Q758" s="2" t="s">
        <v>50</v>
      </c>
      <c r="R758" s="2">
        <v>1</v>
      </c>
      <c r="S758" s="2">
        <v>7</v>
      </c>
      <c r="T758" s="2" t="s">
        <v>49</v>
      </c>
      <c r="U758" s="2" t="s">
        <v>79</v>
      </c>
      <c r="V758" s="2" t="s">
        <v>39</v>
      </c>
      <c r="W758" s="3">
        <v>45551</v>
      </c>
      <c r="X758" s="2" t="b">
        <v>1</v>
      </c>
      <c r="Y758" s="2" t="b">
        <v>1</v>
      </c>
      <c r="Z758" s="2" t="s">
        <v>40</v>
      </c>
      <c r="AA758" s="2" t="s">
        <v>41</v>
      </c>
      <c r="AB758" s="2">
        <v>1</v>
      </c>
      <c r="AC758" s="2">
        <f>SUMIF(N:N,Ecommerce_Consumer_Behavior_Analysis_Data3[[#This Row],[Brand_Loyalty]],M:M)</f>
        <v>582</v>
      </c>
      <c r="AD758" s="2" t="e" cm="1" vm="1">
        <f t="array" aca="1" ref="AD758" ca="1">SUMIFS(Y:Y,Ecommerce_Consumer_Behavior_Analysis_Data3[[#This Row],[Payment_Method]],V:V)</f>
        <v>#VALUE!</v>
      </c>
      <c r="AE758" s="2">
        <f t="shared" si="15"/>
        <v>101.31</v>
      </c>
    </row>
    <row r="759" spans="1:31" x14ac:dyDescent="0.25">
      <c r="A759" s="2" t="s">
        <v>1588</v>
      </c>
      <c r="B759" s="2">
        <v>29</v>
      </c>
      <c r="C759" s="2" t="s">
        <v>29</v>
      </c>
      <c r="D759" s="2" t="s">
        <v>44</v>
      </c>
      <c r="E759" s="2" t="s">
        <v>76</v>
      </c>
      <c r="F759" s="2" t="s">
        <v>56</v>
      </c>
      <c r="G759" s="2" t="s">
        <v>30</v>
      </c>
      <c r="H759" s="2" t="s">
        <v>1589</v>
      </c>
      <c r="I759" s="2" t="s">
        <v>107</v>
      </c>
      <c r="J759" s="2">
        <v>154.19</v>
      </c>
      <c r="K759" s="2">
        <v>6</v>
      </c>
      <c r="L759" s="2" t="s">
        <v>78</v>
      </c>
      <c r="M759" s="2">
        <v>5</v>
      </c>
      <c r="N759" s="2">
        <v>4</v>
      </c>
      <c r="O759" s="2">
        <v>1</v>
      </c>
      <c r="P759" s="2" t="s">
        <v>49</v>
      </c>
      <c r="Q759" s="2" t="s">
        <v>85</v>
      </c>
      <c r="R759" s="2">
        <v>2</v>
      </c>
      <c r="S759" s="2">
        <v>1</v>
      </c>
      <c r="T759" s="2" t="s">
        <v>36</v>
      </c>
      <c r="U759" s="2" t="s">
        <v>38</v>
      </c>
      <c r="V759" s="2" t="s">
        <v>51</v>
      </c>
      <c r="W759" s="3">
        <v>45557</v>
      </c>
      <c r="X759" s="2" t="b">
        <v>1</v>
      </c>
      <c r="Y759" s="2" t="b">
        <v>1</v>
      </c>
      <c r="Z759" s="2" t="s">
        <v>40</v>
      </c>
      <c r="AA759" s="2" t="s">
        <v>41</v>
      </c>
      <c r="AB759" s="2">
        <v>1</v>
      </c>
      <c r="AC759" s="2">
        <f>SUMIF(N:N,Ecommerce_Consumer_Behavior_Analysis_Data3[[#This Row],[Brand_Loyalty]],M:M)</f>
        <v>641</v>
      </c>
      <c r="AD759" s="2" t="e" cm="1" vm="1">
        <f t="array" aca="1" ref="AD759" ca="1">SUMIFS(Y:Y,Ecommerce_Consumer_Behavior_Analysis_Data3[[#This Row],[Payment_Method]],V:V)</f>
        <v>#VALUE!</v>
      </c>
      <c r="AE759" s="2">
        <f t="shared" si="15"/>
        <v>101.31</v>
      </c>
    </row>
    <row r="760" spans="1:31" x14ac:dyDescent="0.25">
      <c r="A760" s="2" t="s">
        <v>1590</v>
      </c>
      <c r="B760" s="2">
        <v>41</v>
      </c>
      <c r="C760" s="2" t="s">
        <v>29</v>
      </c>
      <c r="D760" s="2" t="s">
        <v>30</v>
      </c>
      <c r="E760" s="2" t="s">
        <v>69</v>
      </c>
      <c r="F760" s="2" t="s">
        <v>32</v>
      </c>
      <c r="G760" s="2" t="s">
        <v>30</v>
      </c>
      <c r="H760" s="2" t="s">
        <v>1591</v>
      </c>
      <c r="I760" s="2" t="s">
        <v>71</v>
      </c>
      <c r="J760" s="2">
        <v>84.15</v>
      </c>
      <c r="K760" s="2">
        <v>10</v>
      </c>
      <c r="L760" s="2" t="s">
        <v>48</v>
      </c>
      <c r="M760" s="2">
        <v>1</v>
      </c>
      <c r="N760" s="2">
        <v>3</v>
      </c>
      <c r="O760" s="2">
        <v>1</v>
      </c>
      <c r="P760" s="2" t="s">
        <v>44</v>
      </c>
      <c r="Q760" s="2" t="s">
        <v>50</v>
      </c>
      <c r="R760" s="2">
        <v>2</v>
      </c>
      <c r="S760" s="2">
        <v>1</v>
      </c>
      <c r="T760" s="2" t="s">
        <v>44</v>
      </c>
      <c r="U760" s="2" t="s">
        <v>79</v>
      </c>
      <c r="V760" s="2" t="s">
        <v>51</v>
      </c>
      <c r="W760" s="3">
        <v>45599</v>
      </c>
      <c r="X760" s="2" t="b">
        <v>1</v>
      </c>
      <c r="Y760" s="2" t="b">
        <v>1</v>
      </c>
      <c r="Z760" s="2" t="s">
        <v>62</v>
      </c>
      <c r="AA760" s="2" t="s">
        <v>53</v>
      </c>
      <c r="AB760" s="2">
        <v>1</v>
      </c>
      <c r="AC760" s="2">
        <f>SUMIF(N:N,Ecommerce_Consumer_Behavior_Analysis_Data3[[#This Row],[Brand_Loyalty]],M:M)</f>
        <v>603</v>
      </c>
      <c r="AD760" s="2" t="e" cm="1" vm="1">
        <f t="array" aca="1" ref="AD760" ca="1">SUMIFS(Y:Y,Ecommerce_Consumer_Behavior_Analysis_Data3[[#This Row],[Payment_Method]],V:V)</f>
        <v>#VALUE!</v>
      </c>
      <c r="AE760" s="2">
        <f t="shared" si="15"/>
        <v>211.7</v>
      </c>
    </row>
    <row r="761" spans="1:31" x14ac:dyDescent="0.25">
      <c r="A761" s="2" t="s">
        <v>1592</v>
      </c>
      <c r="B761" s="2">
        <v>41</v>
      </c>
      <c r="C761" s="2" t="s">
        <v>43</v>
      </c>
      <c r="D761" s="2" t="s">
        <v>30</v>
      </c>
      <c r="E761" s="2" t="s">
        <v>76</v>
      </c>
      <c r="F761" s="2" t="s">
        <v>45</v>
      </c>
      <c r="G761" s="2" t="s">
        <v>44</v>
      </c>
      <c r="H761" s="2" t="s">
        <v>1593</v>
      </c>
      <c r="I761" s="2" t="s">
        <v>142</v>
      </c>
      <c r="J761" s="2">
        <v>214.69</v>
      </c>
      <c r="K761" s="2">
        <v>7</v>
      </c>
      <c r="L761" s="2" t="s">
        <v>48</v>
      </c>
      <c r="M761" s="2">
        <v>4</v>
      </c>
      <c r="N761" s="2">
        <v>4</v>
      </c>
      <c r="O761" s="2">
        <v>0</v>
      </c>
      <c r="P761" s="2" t="s">
        <v>49</v>
      </c>
      <c r="Q761" s="2" t="s">
        <v>50</v>
      </c>
      <c r="R761" s="2">
        <v>1</v>
      </c>
      <c r="S761" s="2">
        <v>7</v>
      </c>
      <c r="T761" s="2" t="s">
        <v>36</v>
      </c>
      <c r="U761" s="2" t="s">
        <v>38</v>
      </c>
      <c r="V761" s="2" t="s">
        <v>39</v>
      </c>
      <c r="W761" s="3">
        <v>45427</v>
      </c>
      <c r="X761" s="2" t="b">
        <v>1</v>
      </c>
      <c r="Y761" s="2" t="b">
        <v>1</v>
      </c>
      <c r="Z761" s="2" t="s">
        <v>52</v>
      </c>
      <c r="AA761" s="2" t="s">
        <v>53</v>
      </c>
      <c r="AB761" s="2">
        <v>9</v>
      </c>
      <c r="AC761" s="2">
        <f>SUMIF(N:N,Ecommerce_Consumer_Behavior_Analysis_Data3[[#This Row],[Brand_Loyalty]],M:M)</f>
        <v>603</v>
      </c>
      <c r="AD761" s="2" t="e" cm="1" vm="1">
        <f t="array" aca="1" ref="AD761" ca="1">SUMIFS(Y:Y,Ecommerce_Consumer_Behavior_Analysis_Data3[[#This Row],[Payment_Method]],V:V)</f>
        <v>#VALUE!</v>
      </c>
      <c r="AE761" s="2">
        <f t="shared" si="15"/>
        <v>211.7</v>
      </c>
    </row>
    <row r="762" spans="1:31" x14ac:dyDescent="0.25">
      <c r="A762" s="2" t="s">
        <v>1594</v>
      </c>
      <c r="B762" s="2">
        <v>32</v>
      </c>
      <c r="C762" s="2" t="s">
        <v>43</v>
      </c>
      <c r="D762" s="2" t="s">
        <v>44</v>
      </c>
      <c r="E762" s="2" t="s">
        <v>31</v>
      </c>
      <c r="F762" s="2" t="s">
        <v>32</v>
      </c>
      <c r="G762" s="2" t="s">
        <v>44</v>
      </c>
      <c r="H762" s="2" t="s">
        <v>1595</v>
      </c>
      <c r="I762" s="2" t="s">
        <v>101</v>
      </c>
      <c r="J762" s="2">
        <v>61.21</v>
      </c>
      <c r="K762" s="2">
        <v>12</v>
      </c>
      <c r="L762" s="2" t="s">
        <v>35</v>
      </c>
      <c r="M762" s="2">
        <v>5</v>
      </c>
      <c r="N762" s="2">
        <v>5</v>
      </c>
      <c r="O762" s="2">
        <v>0</v>
      </c>
      <c r="P762" s="2" t="s">
        <v>36</v>
      </c>
      <c r="Q762" s="2" t="s">
        <v>50</v>
      </c>
      <c r="R762" s="2">
        <v>0</v>
      </c>
      <c r="S762" s="2">
        <v>5</v>
      </c>
      <c r="T762" s="2" t="s">
        <v>59</v>
      </c>
      <c r="U762" s="2" t="s">
        <v>60</v>
      </c>
      <c r="V762" s="2" t="s">
        <v>39</v>
      </c>
      <c r="W762" s="3">
        <v>45620</v>
      </c>
      <c r="X762" s="2" t="b">
        <v>1</v>
      </c>
      <c r="Y762" s="2" t="b">
        <v>0</v>
      </c>
      <c r="Z762" s="2" t="s">
        <v>74</v>
      </c>
      <c r="AA762" s="2" t="s">
        <v>53</v>
      </c>
      <c r="AB762" s="2">
        <v>13</v>
      </c>
      <c r="AC762" s="2">
        <f>SUMIF(N:N,Ecommerce_Consumer_Behavior_Analysis_Data3[[#This Row],[Brand_Loyalty]],M:M)</f>
        <v>641</v>
      </c>
      <c r="AD762" s="2" t="e" cm="1" vm="1">
        <f t="array" aca="1" ref="AD762" ca="1">SUMIFS(Y:Y,Ecommerce_Consumer_Behavior_Analysis_Data3[[#This Row],[Payment_Method]],V:V)</f>
        <v>#VALUE!</v>
      </c>
      <c r="AE762" s="2">
        <f t="shared" si="15"/>
        <v>211.7</v>
      </c>
    </row>
    <row r="763" spans="1:31" x14ac:dyDescent="0.25">
      <c r="A763" s="2" t="s">
        <v>1596</v>
      </c>
      <c r="B763" s="2">
        <v>36</v>
      </c>
      <c r="C763" s="2" t="s">
        <v>29</v>
      </c>
      <c r="D763" s="2" t="s">
        <v>30</v>
      </c>
      <c r="E763" s="2" t="s">
        <v>55</v>
      </c>
      <c r="F763" s="2" t="s">
        <v>45</v>
      </c>
      <c r="G763" s="2" t="s">
        <v>44</v>
      </c>
      <c r="H763" s="2" t="s">
        <v>1597</v>
      </c>
      <c r="I763" s="2" t="s">
        <v>114</v>
      </c>
      <c r="J763" s="2">
        <v>462.48</v>
      </c>
      <c r="K763" s="2">
        <v>11</v>
      </c>
      <c r="L763" s="2" t="s">
        <v>78</v>
      </c>
      <c r="M763" s="2">
        <v>1</v>
      </c>
      <c r="N763" s="2">
        <v>3</v>
      </c>
      <c r="O763" s="2">
        <v>0</v>
      </c>
      <c r="P763" s="2" t="s">
        <v>49</v>
      </c>
      <c r="Q763" s="2" t="s">
        <v>85</v>
      </c>
      <c r="R763" s="2">
        <v>2</v>
      </c>
      <c r="S763" s="2">
        <v>2</v>
      </c>
      <c r="T763" s="2" t="s">
        <v>59</v>
      </c>
      <c r="U763" s="2" t="s">
        <v>60</v>
      </c>
      <c r="V763" s="2" t="s">
        <v>61</v>
      </c>
      <c r="W763" s="3">
        <v>45382</v>
      </c>
      <c r="X763" s="2" t="b">
        <v>0</v>
      </c>
      <c r="Y763" s="2" t="b">
        <v>0</v>
      </c>
      <c r="Z763" s="2" t="s">
        <v>74</v>
      </c>
      <c r="AA763" s="2" t="s">
        <v>67</v>
      </c>
      <c r="AB763" s="2">
        <v>12</v>
      </c>
      <c r="AC763" s="2">
        <f>SUMIF(N:N,Ecommerce_Consumer_Behavior_Analysis_Data3[[#This Row],[Brand_Loyalty]],M:M)</f>
        <v>603</v>
      </c>
      <c r="AD763" s="2" t="e" cm="1" vm="1">
        <f t="array" aca="1" ref="AD763" ca="1">SUMIFS(Y:Y,Ecommerce_Consumer_Behavior_Analysis_Data3[[#This Row],[Payment_Method]],V:V)</f>
        <v>#VALUE!</v>
      </c>
      <c r="AE763" s="2">
        <f t="shared" si="15"/>
        <v>333.8</v>
      </c>
    </row>
    <row r="764" spans="1:31" x14ac:dyDescent="0.25">
      <c r="A764" s="2" t="s">
        <v>1598</v>
      </c>
      <c r="B764" s="2">
        <v>33</v>
      </c>
      <c r="C764" s="2" t="s">
        <v>43</v>
      </c>
      <c r="D764" s="2" t="s">
        <v>30</v>
      </c>
      <c r="E764" s="2" t="s">
        <v>31</v>
      </c>
      <c r="F764" s="2" t="s">
        <v>32</v>
      </c>
      <c r="G764" s="2" t="s">
        <v>44</v>
      </c>
      <c r="H764" s="2" t="s">
        <v>1599</v>
      </c>
      <c r="I764" s="2" t="s">
        <v>120</v>
      </c>
      <c r="J764" s="2">
        <v>449.18</v>
      </c>
      <c r="K764" s="2">
        <v>3</v>
      </c>
      <c r="L764" s="2" t="s">
        <v>35</v>
      </c>
      <c r="M764" s="2">
        <v>5</v>
      </c>
      <c r="N764" s="2">
        <v>3</v>
      </c>
      <c r="O764" s="2">
        <v>2</v>
      </c>
      <c r="P764" s="2" t="s">
        <v>49</v>
      </c>
      <c r="Q764" s="2" t="s">
        <v>37</v>
      </c>
      <c r="R764" s="2">
        <v>0</v>
      </c>
      <c r="S764" s="2">
        <v>8</v>
      </c>
      <c r="T764" s="2" t="s">
        <v>44</v>
      </c>
      <c r="U764" s="2" t="s">
        <v>38</v>
      </c>
      <c r="V764" s="2" t="s">
        <v>39</v>
      </c>
      <c r="W764" s="3">
        <v>45372</v>
      </c>
      <c r="X764" s="2" t="b">
        <v>1</v>
      </c>
      <c r="Y764" s="2" t="b">
        <v>1</v>
      </c>
      <c r="Z764" s="2" t="s">
        <v>52</v>
      </c>
      <c r="AA764" s="2" t="s">
        <v>53</v>
      </c>
      <c r="AB764" s="2">
        <v>10</v>
      </c>
      <c r="AC764" s="2">
        <f>SUMIF(N:N,Ecommerce_Consumer_Behavior_Analysis_Data3[[#This Row],[Brand_Loyalty]],M:M)</f>
        <v>641</v>
      </c>
      <c r="AD764" s="2" t="e" cm="1" vm="1">
        <f t="array" aca="1" ref="AD764" ca="1">SUMIFS(Y:Y,Ecommerce_Consumer_Behavior_Analysis_Data3[[#This Row],[Payment_Method]],V:V)</f>
        <v>#VALUE!</v>
      </c>
      <c r="AE764" s="2">
        <f t="shared" si="15"/>
        <v>333.8</v>
      </c>
    </row>
    <row r="765" spans="1:31" x14ac:dyDescent="0.25">
      <c r="A765" s="2" t="s">
        <v>1600</v>
      </c>
      <c r="B765" s="2">
        <v>25</v>
      </c>
      <c r="C765" s="2" t="s">
        <v>29</v>
      </c>
      <c r="D765" s="2" t="s">
        <v>30</v>
      </c>
      <c r="E765" s="2" t="s">
        <v>31</v>
      </c>
      <c r="F765" s="2" t="s">
        <v>56</v>
      </c>
      <c r="G765" s="2" t="s">
        <v>30</v>
      </c>
      <c r="H765" s="2" t="s">
        <v>1601</v>
      </c>
      <c r="I765" s="2" t="s">
        <v>93</v>
      </c>
      <c r="J765" s="2">
        <v>314.36</v>
      </c>
      <c r="K765" s="2">
        <v>7</v>
      </c>
      <c r="L765" s="2" t="s">
        <v>48</v>
      </c>
      <c r="M765" s="2">
        <v>3</v>
      </c>
      <c r="N765" s="2">
        <v>5</v>
      </c>
      <c r="O765" s="2">
        <v>2</v>
      </c>
      <c r="P765" s="2" t="s">
        <v>49</v>
      </c>
      <c r="Q765" s="2" t="s">
        <v>85</v>
      </c>
      <c r="R765" s="2">
        <v>1</v>
      </c>
      <c r="S765" s="2">
        <v>4</v>
      </c>
      <c r="T765" s="2" t="s">
        <v>36</v>
      </c>
      <c r="U765" s="2" t="s">
        <v>79</v>
      </c>
      <c r="V765" s="2" t="s">
        <v>86</v>
      </c>
      <c r="W765" s="3">
        <v>45476</v>
      </c>
      <c r="X765" s="2" t="b">
        <v>1</v>
      </c>
      <c r="Y765" s="2" t="b">
        <v>0</v>
      </c>
      <c r="Z765" s="2" t="s">
        <v>62</v>
      </c>
      <c r="AA765" s="2" t="s">
        <v>67</v>
      </c>
      <c r="AB765" s="2">
        <v>1</v>
      </c>
      <c r="AC765" s="2">
        <f>SUMIF(N:N,Ecommerce_Consumer_Behavior_Analysis_Data3[[#This Row],[Brand_Loyalty]],M:M)</f>
        <v>597</v>
      </c>
      <c r="AD765" s="2" t="e" cm="1" vm="1">
        <f t="array" aca="1" ref="AD765" ca="1">SUMIFS(Y:Y,Ecommerce_Consumer_Behavior_Analysis_Data3[[#This Row],[Payment_Method]],V:V)</f>
        <v>#VALUE!</v>
      </c>
      <c r="AE765" s="2">
        <f t="shared" si="15"/>
        <v>333.8</v>
      </c>
    </row>
    <row r="766" spans="1:31" x14ac:dyDescent="0.25">
      <c r="A766" s="2" t="s">
        <v>1602</v>
      </c>
      <c r="B766" s="2">
        <v>46</v>
      </c>
      <c r="C766" s="2" t="s">
        <v>29</v>
      </c>
      <c r="D766" s="2" t="s">
        <v>30</v>
      </c>
      <c r="E766" s="2" t="s">
        <v>31</v>
      </c>
      <c r="F766" s="2" t="s">
        <v>32</v>
      </c>
      <c r="G766" s="2" t="s">
        <v>30</v>
      </c>
      <c r="H766" s="2" t="s">
        <v>1603</v>
      </c>
      <c r="I766" s="2" t="s">
        <v>246</v>
      </c>
      <c r="J766" s="2">
        <v>367.7</v>
      </c>
      <c r="K766" s="2">
        <v>3</v>
      </c>
      <c r="L766" s="2" t="s">
        <v>35</v>
      </c>
      <c r="M766" s="2">
        <v>3</v>
      </c>
      <c r="N766" s="2">
        <v>5</v>
      </c>
      <c r="O766" s="2">
        <v>2</v>
      </c>
      <c r="P766" s="2" t="s">
        <v>36</v>
      </c>
      <c r="Q766" s="2" t="s">
        <v>37</v>
      </c>
      <c r="R766" s="2">
        <v>2</v>
      </c>
      <c r="S766" s="2">
        <v>3</v>
      </c>
      <c r="T766" s="2" t="s">
        <v>44</v>
      </c>
      <c r="U766" s="2" t="s">
        <v>79</v>
      </c>
      <c r="V766" s="2" t="s">
        <v>39</v>
      </c>
      <c r="W766" s="3">
        <v>45368</v>
      </c>
      <c r="X766" s="2" t="b">
        <v>1</v>
      </c>
      <c r="Y766" s="2" t="b">
        <v>1</v>
      </c>
      <c r="Z766" s="2" t="s">
        <v>40</v>
      </c>
      <c r="AA766" s="2" t="s">
        <v>41</v>
      </c>
      <c r="AB766" s="2">
        <v>3</v>
      </c>
      <c r="AC766" s="2">
        <f>SUMIF(N:N,Ecommerce_Consumer_Behavior_Analysis_Data3[[#This Row],[Brand_Loyalty]],M:M)</f>
        <v>597</v>
      </c>
      <c r="AD766" s="2" t="e" cm="1" vm="1">
        <f t="array" aca="1" ref="AD766" ca="1">SUMIFS(Y:Y,Ecommerce_Consumer_Behavior_Analysis_Data3[[#This Row],[Payment_Method]],V:V)</f>
        <v>#VALUE!</v>
      </c>
      <c r="AE766" s="2">
        <f t="shared" si="15"/>
        <v>211.7</v>
      </c>
    </row>
    <row r="767" spans="1:31" x14ac:dyDescent="0.25">
      <c r="A767" s="2" t="s">
        <v>1604</v>
      </c>
      <c r="B767" s="2">
        <v>41</v>
      </c>
      <c r="C767" s="2" t="s">
        <v>29</v>
      </c>
      <c r="D767" s="2" t="s">
        <v>44</v>
      </c>
      <c r="E767" s="2" t="s">
        <v>55</v>
      </c>
      <c r="F767" s="2" t="s">
        <v>45</v>
      </c>
      <c r="G767" s="2" t="s">
        <v>30</v>
      </c>
      <c r="H767" s="2" t="s">
        <v>1605</v>
      </c>
      <c r="I767" s="2" t="s">
        <v>90</v>
      </c>
      <c r="J767" s="2">
        <v>229.97</v>
      </c>
      <c r="K767" s="2">
        <v>7</v>
      </c>
      <c r="L767" s="2" t="s">
        <v>35</v>
      </c>
      <c r="M767" s="2">
        <v>3</v>
      </c>
      <c r="N767" s="2">
        <v>4</v>
      </c>
      <c r="O767" s="2">
        <v>0</v>
      </c>
      <c r="P767" s="2" t="s">
        <v>36</v>
      </c>
      <c r="Q767" s="2" t="s">
        <v>85</v>
      </c>
      <c r="R767" s="2">
        <v>2</v>
      </c>
      <c r="S767" s="2">
        <v>9</v>
      </c>
      <c r="T767" s="2" t="s">
        <v>36</v>
      </c>
      <c r="U767" s="2" t="s">
        <v>79</v>
      </c>
      <c r="V767" s="2" t="s">
        <v>66</v>
      </c>
      <c r="W767" s="3">
        <v>45617</v>
      </c>
      <c r="X767" s="2" t="b">
        <v>0</v>
      </c>
      <c r="Y767" s="2" t="b">
        <v>1</v>
      </c>
      <c r="Z767" s="2" t="s">
        <v>40</v>
      </c>
      <c r="AA767" s="2" t="s">
        <v>53</v>
      </c>
      <c r="AB767" s="2">
        <v>6</v>
      </c>
      <c r="AC767" s="2">
        <f>SUMIF(N:N,Ecommerce_Consumer_Behavior_Analysis_Data3[[#This Row],[Brand_Loyalty]],M:M)</f>
        <v>597</v>
      </c>
      <c r="AD767" s="2" t="e" cm="1" vm="1">
        <f t="array" aca="1" ref="AD767" ca="1">SUMIFS(Y:Y,Ecommerce_Consumer_Behavior_Analysis_Data3[[#This Row],[Payment_Method]],V:V)</f>
        <v>#VALUE!</v>
      </c>
      <c r="AE767" s="2">
        <f t="shared" si="15"/>
        <v>101.31</v>
      </c>
    </row>
    <row r="768" spans="1:31" x14ac:dyDescent="0.25">
      <c r="A768" s="2" t="s">
        <v>1606</v>
      </c>
      <c r="B768" s="2">
        <v>28</v>
      </c>
      <c r="C768" s="2" t="s">
        <v>29</v>
      </c>
      <c r="D768" s="2" t="s">
        <v>30</v>
      </c>
      <c r="E768" s="2" t="s">
        <v>69</v>
      </c>
      <c r="F768" s="2" t="s">
        <v>32</v>
      </c>
      <c r="G768" s="2" t="s">
        <v>30</v>
      </c>
      <c r="H768" s="2" t="s">
        <v>1607</v>
      </c>
      <c r="I768" s="2" t="s">
        <v>65</v>
      </c>
      <c r="J768" s="2">
        <v>226.53</v>
      </c>
      <c r="K768" s="2">
        <v>3</v>
      </c>
      <c r="L768" s="2" t="s">
        <v>78</v>
      </c>
      <c r="M768" s="2">
        <v>3</v>
      </c>
      <c r="N768" s="2">
        <v>1</v>
      </c>
      <c r="O768" s="2">
        <v>1</v>
      </c>
      <c r="P768" s="2" t="s">
        <v>44</v>
      </c>
      <c r="Q768" s="2" t="s">
        <v>50</v>
      </c>
      <c r="R768" s="2">
        <v>1</v>
      </c>
      <c r="S768" s="2">
        <v>10</v>
      </c>
      <c r="T768" s="2" t="s">
        <v>49</v>
      </c>
      <c r="U768" s="2" t="s">
        <v>79</v>
      </c>
      <c r="V768" s="2" t="s">
        <v>51</v>
      </c>
      <c r="W768" s="3">
        <v>45506</v>
      </c>
      <c r="X768" s="2" t="b">
        <v>1</v>
      </c>
      <c r="Y768" s="2" t="b">
        <v>0</v>
      </c>
      <c r="Z768" s="2" t="s">
        <v>52</v>
      </c>
      <c r="AA768" s="2" t="s">
        <v>41</v>
      </c>
      <c r="AB768" s="2">
        <v>13</v>
      </c>
      <c r="AC768" s="2">
        <f>SUMIF(N:N,Ecommerce_Consumer_Behavior_Analysis_Data3[[#This Row],[Brand_Loyalty]],M:M)</f>
        <v>597</v>
      </c>
      <c r="AD768" s="2" t="e" cm="1" vm="1">
        <f t="array" aca="1" ref="AD768" ca="1">SUMIFS(Y:Y,Ecommerce_Consumer_Behavior_Analysis_Data3[[#This Row],[Payment_Method]],V:V)</f>
        <v>#VALUE!</v>
      </c>
      <c r="AE768" s="2">
        <f t="shared" si="15"/>
        <v>211.7</v>
      </c>
    </row>
    <row r="769" spans="1:31" x14ac:dyDescent="0.25">
      <c r="A769" s="2" t="s">
        <v>1608</v>
      </c>
      <c r="B769" s="2">
        <v>23</v>
      </c>
      <c r="C769" s="2" t="s">
        <v>43</v>
      </c>
      <c r="D769" s="2" t="s">
        <v>44</v>
      </c>
      <c r="E769" s="2" t="s">
        <v>76</v>
      </c>
      <c r="F769" s="2" t="s">
        <v>56</v>
      </c>
      <c r="G769" s="2" t="s">
        <v>30</v>
      </c>
      <c r="H769" s="2" t="s">
        <v>1609</v>
      </c>
      <c r="I769" s="2" t="s">
        <v>120</v>
      </c>
      <c r="J769" s="2">
        <v>218.32</v>
      </c>
      <c r="K769" s="2">
        <v>2</v>
      </c>
      <c r="L769" s="2" t="s">
        <v>35</v>
      </c>
      <c r="M769" s="2">
        <v>5</v>
      </c>
      <c r="N769" s="2">
        <v>3</v>
      </c>
      <c r="O769" s="2">
        <v>0</v>
      </c>
      <c r="P769" s="2" t="s">
        <v>44</v>
      </c>
      <c r="Q769" s="2" t="s">
        <v>50</v>
      </c>
      <c r="R769" s="2">
        <v>2</v>
      </c>
      <c r="S769" s="2">
        <v>7</v>
      </c>
      <c r="T769" s="2" t="s">
        <v>59</v>
      </c>
      <c r="U769" s="2" t="s">
        <v>79</v>
      </c>
      <c r="V769" s="2" t="s">
        <v>51</v>
      </c>
      <c r="W769" s="3">
        <v>45559</v>
      </c>
      <c r="X769" s="2" t="b">
        <v>0</v>
      </c>
      <c r="Y769" s="2" t="b">
        <v>0</v>
      </c>
      <c r="Z769" s="2" t="s">
        <v>40</v>
      </c>
      <c r="AA769" s="2" t="s">
        <v>67</v>
      </c>
      <c r="AB769" s="2">
        <v>3</v>
      </c>
      <c r="AC769" s="2">
        <f>SUMIF(N:N,Ecommerce_Consumer_Behavior_Analysis_Data3[[#This Row],[Brand_Loyalty]],M:M)</f>
        <v>641</v>
      </c>
      <c r="AD769" s="2" t="e" cm="1" vm="1">
        <f t="array" aca="1" ref="AD769" ca="1">SUMIFS(Y:Y,Ecommerce_Consumer_Behavior_Analysis_Data3[[#This Row],[Payment_Method]],V:V)</f>
        <v>#VALUE!</v>
      </c>
      <c r="AE769" s="2">
        <f t="shared" si="15"/>
        <v>101.31</v>
      </c>
    </row>
    <row r="770" spans="1:31" x14ac:dyDescent="0.25">
      <c r="A770" s="2" t="s">
        <v>1610</v>
      </c>
      <c r="B770" s="2">
        <v>48</v>
      </c>
      <c r="C770" s="2" t="s">
        <v>29</v>
      </c>
      <c r="D770" s="2" t="s">
        <v>44</v>
      </c>
      <c r="E770" s="2" t="s">
        <v>69</v>
      </c>
      <c r="F770" s="2" t="s">
        <v>45</v>
      </c>
      <c r="G770" s="2" t="s">
        <v>44</v>
      </c>
      <c r="H770" s="2" t="s">
        <v>1611</v>
      </c>
      <c r="I770" s="2" t="s">
        <v>71</v>
      </c>
      <c r="J770" s="2">
        <v>132.66999999999999</v>
      </c>
      <c r="K770" s="2">
        <v>7</v>
      </c>
      <c r="L770" s="2" t="s">
        <v>48</v>
      </c>
      <c r="M770" s="2">
        <v>2</v>
      </c>
      <c r="N770" s="2">
        <v>5</v>
      </c>
      <c r="O770" s="2">
        <v>1</v>
      </c>
      <c r="P770" s="2" t="s">
        <v>59</v>
      </c>
      <c r="Q770" s="2" t="s">
        <v>85</v>
      </c>
      <c r="R770" s="2">
        <v>2</v>
      </c>
      <c r="S770" s="2">
        <v>3</v>
      </c>
      <c r="T770" s="2" t="s">
        <v>59</v>
      </c>
      <c r="U770" s="2" t="s">
        <v>60</v>
      </c>
      <c r="V770" s="2" t="s">
        <v>66</v>
      </c>
      <c r="W770" s="3">
        <v>45644</v>
      </c>
      <c r="X770" s="2" t="b">
        <v>1</v>
      </c>
      <c r="Y770" s="2" t="b">
        <v>0</v>
      </c>
      <c r="Z770" s="2" t="s">
        <v>62</v>
      </c>
      <c r="AA770" s="2" t="s">
        <v>67</v>
      </c>
      <c r="AB770" s="2">
        <v>1</v>
      </c>
      <c r="AC770" s="2">
        <f>SUMIF(N:N,Ecommerce_Consumer_Behavior_Analysis_Data3[[#This Row],[Brand_Loyalty]],M:M)</f>
        <v>582</v>
      </c>
      <c r="AD770" s="2" t="e" cm="1" vm="1">
        <f t="array" aca="1" ref="AD770" ca="1">SUMIFS(Y:Y,Ecommerce_Consumer_Behavior_Analysis_Data3[[#This Row],[Payment_Method]],V:V)</f>
        <v>#VALUE!</v>
      </c>
      <c r="AE770" s="2">
        <f t="shared" ref="AE770:AE833" si="16">INDEX(J:J,MATCH(O771,O:O,0))</f>
        <v>101.31</v>
      </c>
    </row>
    <row r="771" spans="1:31" x14ac:dyDescent="0.25">
      <c r="A771" s="2" t="s">
        <v>1612</v>
      </c>
      <c r="B771" s="2">
        <v>26</v>
      </c>
      <c r="C771" s="2" t="s">
        <v>43</v>
      </c>
      <c r="D771" s="2" t="s">
        <v>44</v>
      </c>
      <c r="E771" s="2" t="s">
        <v>55</v>
      </c>
      <c r="F771" s="2" t="s">
        <v>56</v>
      </c>
      <c r="G771" s="2" t="s">
        <v>44</v>
      </c>
      <c r="H771" s="2" t="s">
        <v>1613</v>
      </c>
      <c r="I771" s="2" t="s">
        <v>135</v>
      </c>
      <c r="J771" s="2">
        <v>416.96</v>
      </c>
      <c r="K771" s="2">
        <v>7</v>
      </c>
      <c r="L771" s="2" t="s">
        <v>48</v>
      </c>
      <c r="M771" s="2">
        <v>5</v>
      </c>
      <c r="N771" s="2">
        <v>1</v>
      </c>
      <c r="O771" s="2">
        <v>1</v>
      </c>
      <c r="P771" s="2" t="s">
        <v>44</v>
      </c>
      <c r="Q771" s="2" t="s">
        <v>50</v>
      </c>
      <c r="R771" s="2">
        <v>0</v>
      </c>
      <c r="S771" s="2">
        <v>1</v>
      </c>
      <c r="T771" s="2" t="s">
        <v>44</v>
      </c>
      <c r="U771" s="2" t="s">
        <v>38</v>
      </c>
      <c r="V771" s="2" t="s">
        <v>66</v>
      </c>
      <c r="W771" s="3">
        <v>45437</v>
      </c>
      <c r="X771" s="2" t="b">
        <v>0</v>
      </c>
      <c r="Y771" s="2" t="b">
        <v>0</v>
      </c>
      <c r="Z771" s="2" t="s">
        <v>74</v>
      </c>
      <c r="AA771" s="2" t="s">
        <v>67</v>
      </c>
      <c r="AB771" s="2">
        <v>7</v>
      </c>
      <c r="AC771" s="2">
        <f>SUMIF(N:N,Ecommerce_Consumer_Behavior_Analysis_Data3[[#This Row],[Brand_Loyalty]],M:M)</f>
        <v>641</v>
      </c>
      <c r="AD771" s="2" t="e" cm="1" vm="1">
        <f t="array" aca="1" ref="AD771" ca="1">SUMIFS(Y:Y,Ecommerce_Consumer_Behavior_Analysis_Data3[[#This Row],[Payment_Method]],V:V)</f>
        <v>#VALUE!</v>
      </c>
      <c r="AE771" s="2">
        <f t="shared" si="16"/>
        <v>333.8</v>
      </c>
    </row>
    <row r="772" spans="1:31" x14ac:dyDescent="0.25">
      <c r="A772" s="2" t="s">
        <v>1614</v>
      </c>
      <c r="B772" s="2">
        <v>39</v>
      </c>
      <c r="C772" s="2" t="s">
        <v>29</v>
      </c>
      <c r="D772" s="2" t="s">
        <v>44</v>
      </c>
      <c r="E772" s="2" t="s">
        <v>31</v>
      </c>
      <c r="F772" s="2" t="s">
        <v>56</v>
      </c>
      <c r="G772" s="2" t="s">
        <v>30</v>
      </c>
      <c r="H772" s="2" t="s">
        <v>1615</v>
      </c>
      <c r="I772" s="2" t="s">
        <v>135</v>
      </c>
      <c r="J772" s="2">
        <v>459.51</v>
      </c>
      <c r="K772" s="2">
        <v>7</v>
      </c>
      <c r="L772" s="2" t="s">
        <v>48</v>
      </c>
      <c r="M772" s="2">
        <v>1</v>
      </c>
      <c r="N772" s="2">
        <v>2</v>
      </c>
      <c r="O772" s="2">
        <v>2</v>
      </c>
      <c r="P772" s="2" t="s">
        <v>44</v>
      </c>
      <c r="Q772" s="2" t="s">
        <v>50</v>
      </c>
      <c r="R772" s="2">
        <v>0</v>
      </c>
      <c r="S772" s="2">
        <v>5</v>
      </c>
      <c r="T772" s="2" t="s">
        <v>49</v>
      </c>
      <c r="U772" s="2" t="s">
        <v>38</v>
      </c>
      <c r="V772" s="2" t="s">
        <v>61</v>
      </c>
      <c r="W772" s="3">
        <v>45296</v>
      </c>
      <c r="X772" s="2" t="b">
        <v>1</v>
      </c>
      <c r="Y772" s="2" t="b">
        <v>0</v>
      </c>
      <c r="Z772" s="2" t="s">
        <v>40</v>
      </c>
      <c r="AA772" s="2" t="s">
        <v>41</v>
      </c>
      <c r="AB772" s="2">
        <v>11</v>
      </c>
      <c r="AC772" s="2">
        <f>SUMIF(N:N,Ecommerce_Consumer_Behavior_Analysis_Data3[[#This Row],[Brand_Loyalty]],M:M)</f>
        <v>603</v>
      </c>
      <c r="AD772" s="2" t="e" cm="1" vm="1">
        <f t="array" aca="1" ref="AD772" ca="1">SUMIFS(Y:Y,Ecommerce_Consumer_Behavior_Analysis_Data3[[#This Row],[Payment_Method]],V:V)</f>
        <v>#VALUE!</v>
      </c>
      <c r="AE772" s="2">
        <f t="shared" si="16"/>
        <v>333.8</v>
      </c>
    </row>
    <row r="773" spans="1:31" x14ac:dyDescent="0.25">
      <c r="A773" s="2" t="s">
        <v>1616</v>
      </c>
      <c r="B773" s="2">
        <v>45</v>
      </c>
      <c r="C773" s="2" t="s">
        <v>43</v>
      </c>
      <c r="D773" s="2" t="s">
        <v>30</v>
      </c>
      <c r="E773" s="2" t="s">
        <v>31</v>
      </c>
      <c r="F773" s="2" t="s">
        <v>45</v>
      </c>
      <c r="G773" s="2" t="s">
        <v>44</v>
      </c>
      <c r="H773" s="2" t="s">
        <v>1617</v>
      </c>
      <c r="I773" s="2" t="s">
        <v>90</v>
      </c>
      <c r="J773" s="2">
        <v>487.96</v>
      </c>
      <c r="K773" s="2">
        <v>2</v>
      </c>
      <c r="L773" s="2" t="s">
        <v>35</v>
      </c>
      <c r="M773" s="2">
        <v>5</v>
      </c>
      <c r="N773" s="2">
        <v>3</v>
      </c>
      <c r="O773" s="2">
        <v>2</v>
      </c>
      <c r="P773" s="2" t="s">
        <v>59</v>
      </c>
      <c r="Q773" s="2" t="s">
        <v>85</v>
      </c>
      <c r="R773" s="2">
        <v>0</v>
      </c>
      <c r="S773" s="2">
        <v>2</v>
      </c>
      <c r="T773" s="2" t="s">
        <v>36</v>
      </c>
      <c r="U773" s="2" t="s">
        <v>79</v>
      </c>
      <c r="V773" s="2" t="s">
        <v>51</v>
      </c>
      <c r="W773" s="3">
        <v>45366</v>
      </c>
      <c r="X773" s="2" t="b">
        <v>1</v>
      </c>
      <c r="Y773" s="2" t="b">
        <v>1</v>
      </c>
      <c r="Z773" s="2" t="s">
        <v>40</v>
      </c>
      <c r="AA773" s="2" t="s">
        <v>41</v>
      </c>
      <c r="AB773" s="2">
        <v>12</v>
      </c>
      <c r="AC773" s="2">
        <f>SUMIF(N:N,Ecommerce_Consumer_Behavior_Analysis_Data3[[#This Row],[Brand_Loyalty]],M:M)</f>
        <v>641</v>
      </c>
      <c r="AD773" s="2" t="e" cm="1" vm="1">
        <f t="array" aca="1" ref="AD773" ca="1">SUMIFS(Y:Y,Ecommerce_Consumer_Behavior_Analysis_Data3[[#This Row],[Payment_Method]],V:V)</f>
        <v>#VALUE!</v>
      </c>
      <c r="AE773" s="2">
        <f t="shared" si="16"/>
        <v>150.11000000000001</v>
      </c>
    </row>
    <row r="774" spans="1:31" x14ac:dyDescent="0.25">
      <c r="A774" s="2" t="s">
        <v>1618</v>
      </c>
      <c r="B774" s="2">
        <v>22</v>
      </c>
      <c r="C774" s="2" t="s">
        <v>43</v>
      </c>
      <c r="D774" s="2" t="s">
        <v>30</v>
      </c>
      <c r="E774" s="2" t="s">
        <v>76</v>
      </c>
      <c r="F774" s="2" t="s">
        <v>45</v>
      </c>
      <c r="G774" s="2" t="s">
        <v>44</v>
      </c>
      <c r="H774" s="2" t="s">
        <v>1619</v>
      </c>
      <c r="I774" s="2" t="s">
        <v>126</v>
      </c>
      <c r="J774" s="2">
        <v>150.11000000000001</v>
      </c>
      <c r="K774" s="2">
        <v>7</v>
      </c>
      <c r="L774" s="2" t="s">
        <v>35</v>
      </c>
      <c r="M774" s="2">
        <v>4</v>
      </c>
      <c r="N774" s="2">
        <v>4</v>
      </c>
      <c r="O774" s="2">
        <v>1.5</v>
      </c>
      <c r="P774" s="2" t="s">
        <v>59</v>
      </c>
      <c r="Q774" s="2" t="s">
        <v>85</v>
      </c>
      <c r="R774" s="2">
        <v>0</v>
      </c>
      <c r="S774" s="2">
        <v>3</v>
      </c>
      <c r="T774" s="2" t="s">
        <v>44</v>
      </c>
      <c r="U774" s="2" t="s">
        <v>60</v>
      </c>
      <c r="V774" s="2" t="s">
        <v>39</v>
      </c>
      <c r="W774" s="3">
        <v>45496</v>
      </c>
      <c r="X774" s="2" t="b">
        <v>1</v>
      </c>
      <c r="Y774" s="2" t="b">
        <v>0</v>
      </c>
      <c r="Z774" s="2" t="s">
        <v>52</v>
      </c>
      <c r="AA774" s="2" t="s">
        <v>53</v>
      </c>
      <c r="AB774" s="2">
        <v>8</v>
      </c>
      <c r="AC774" s="2">
        <f>SUMIF(N:N,Ecommerce_Consumer_Behavior_Analysis_Data3[[#This Row],[Brand_Loyalty]],M:M)</f>
        <v>603</v>
      </c>
      <c r="AD774" s="2" t="e" cm="1" vm="1">
        <f t="array" aca="1" ref="AD774" ca="1">SUMIFS(Y:Y,Ecommerce_Consumer_Behavior_Analysis_Data3[[#This Row],[Payment_Method]],V:V)</f>
        <v>#VALUE!</v>
      </c>
      <c r="AE774" s="2">
        <f t="shared" si="16"/>
        <v>211.7</v>
      </c>
    </row>
    <row r="775" spans="1:31" x14ac:dyDescent="0.25">
      <c r="A775" s="2" t="s">
        <v>1620</v>
      </c>
      <c r="B775" s="2">
        <v>36</v>
      </c>
      <c r="C775" s="2" t="s">
        <v>43</v>
      </c>
      <c r="D775" s="2" t="s">
        <v>44</v>
      </c>
      <c r="E775" s="2" t="s">
        <v>31</v>
      </c>
      <c r="F775" s="2" t="s">
        <v>45</v>
      </c>
      <c r="G775" s="2" t="s">
        <v>30</v>
      </c>
      <c r="H775" s="2" t="s">
        <v>1621</v>
      </c>
      <c r="I775" s="2" t="s">
        <v>107</v>
      </c>
      <c r="J775" s="2">
        <v>218.87</v>
      </c>
      <c r="K775" s="2">
        <v>5</v>
      </c>
      <c r="L775" s="2" t="s">
        <v>35</v>
      </c>
      <c r="M775" s="2">
        <v>4</v>
      </c>
      <c r="N775" s="2">
        <v>3</v>
      </c>
      <c r="O775" s="2">
        <v>0</v>
      </c>
      <c r="P775" s="2" t="s">
        <v>49</v>
      </c>
      <c r="Q775" s="2" t="s">
        <v>85</v>
      </c>
      <c r="R775" s="2">
        <v>0</v>
      </c>
      <c r="S775" s="2">
        <v>4</v>
      </c>
      <c r="T775" s="2" t="s">
        <v>49</v>
      </c>
      <c r="U775" s="2" t="s">
        <v>60</v>
      </c>
      <c r="V775" s="2" t="s">
        <v>86</v>
      </c>
      <c r="W775" s="3">
        <v>45553</v>
      </c>
      <c r="X775" s="2" t="b">
        <v>1</v>
      </c>
      <c r="Y775" s="2" t="b">
        <v>0</v>
      </c>
      <c r="Z775" s="2" t="s">
        <v>74</v>
      </c>
      <c r="AA775" s="2" t="s">
        <v>41</v>
      </c>
      <c r="AB775" s="2">
        <v>11</v>
      </c>
      <c r="AC775" s="2">
        <f>SUMIF(N:N,Ecommerce_Consumer_Behavior_Analysis_Data3[[#This Row],[Brand_Loyalty]],M:M)</f>
        <v>603</v>
      </c>
      <c r="AD775" s="2" t="e" cm="1" vm="1">
        <f t="array" aca="1" ref="AD775" ca="1">SUMIFS(Y:Y,Ecommerce_Consumer_Behavior_Analysis_Data3[[#This Row],[Payment_Method]],V:V)</f>
        <v>#VALUE!</v>
      </c>
      <c r="AE775" s="2">
        <f t="shared" si="16"/>
        <v>333.8</v>
      </c>
    </row>
    <row r="776" spans="1:31" x14ac:dyDescent="0.25">
      <c r="A776" s="2" t="s">
        <v>1622</v>
      </c>
      <c r="B776" s="2">
        <v>29</v>
      </c>
      <c r="C776" s="2" t="s">
        <v>29</v>
      </c>
      <c r="D776" s="2" t="s">
        <v>30</v>
      </c>
      <c r="E776" s="2" t="s">
        <v>31</v>
      </c>
      <c r="F776" s="2" t="s">
        <v>32</v>
      </c>
      <c r="G776" s="2" t="s">
        <v>44</v>
      </c>
      <c r="H776" s="2" t="s">
        <v>1623</v>
      </c>
      <c r="I776" s="2" t="s">
        <v>93</v>
      </c>
      <c r="J776" s="2">
        <v>437.06</v>
      </c>
      <c r="K776" s="2">
        <v>7</v>
      </c>
      <c r="L776" s="2" t="s">
        <v>48</v>
      </c>
      <c r="M776" s="2">
        <v>3</v>
      </c>
      <c r="N776" s="2">
        <v>5</v>
      </c>
      <c r="O776" s="2">
        <v>2</v>
      </c>
      <c r="P776" s="2" t="s">
        <v>59</v>
      </c>
      <c r="Q776" s="2" t="s">
        <v>85</v>
      </c>
      <c r="R776" s="2">
        <v>0</v>
      </c>
      <c r="S776" s="2">
        <v>6</v>
      </c>
      <c r="T776" s="2" t="s">
        <v>59</v>
      </c>
      <c r="U776" s="2" t="s">
        <v>60</v>
      </c>
      <c r="V776" s="2" t="s">
        <v>86</v>
      </c>
      <c r="W776" s="3">
        <v>45360</v>
      </c>
      <c r="X776" s="2" t="b">
        <v>0</v>
      </c>
      <c r="Y776" s="2" t="b">
        <v>0</v>
      </c>
      <c r="Z776" s="2" t="s">
        <v>62</v>
      </c>
      <c r="AA776" s="2" t="s">
        <v>67</v>
      </c>
      <c r="AB776" s="2">
        <v>11</v>
      </c>
      <c r="AC776" s="2">
        <f>SUMIF(N:N,Ecommerce_Consumer_Behavior_Analysis_Data3[[#This Row],[Brand_Loyalty]],M:M)</f>
        <v>597</v>
      </c>
      <c r="AD776" s="2" t="e" cm="1" vm="1">
        <f t="array" aca="1" ref="AD776" ca="1">SUMIFS(Y:Y,Ecommerce_Consumer_Behavior_Analysis_Data3[[#This Row],[Payment_Method]],V:V)</f>
        <v>#VALUE!</v>
      </c>
      <c r="AE776" s="2">
        <f t="shared" si="16"/>
        <v>150.11000000000001</v>
      </c>
    </row>
    <row r="777" spans="1:31" x14ac:dyDescent="0.25">
      <c r="A777" s="2" t="s">
        <v>1624</v>
      </c>
      <c r="B777" s="2">
        <v>33</v>
      </c>
      <c r="C777" s="2" t="s">
        <v>43</v>
      </c>
      <c r="D777" s="2" t="s">
        <v>44</v>
      </c>
      <c r="E777" s="2" t="s">
        <v>31</v>
      </c>
      <c r="F777" s="2" t="s">
        <v>32</v>
      </c>
      <c r="G777" s="2" t="s">
        <v>44</v>
      </c>
      <c r="H777" s="2" t="s">
        <v>1625</v>
      </c>
      <c r="I777" s="2" t="s">
        <v>188</v>
      </c>
      <c r="J777" s="2">
        <v>122.58</v>
      </c>
      <c r="K777" s="2">
        <v>2</v>
      </c>
      <c r="L777" s="2" t="s">
        <v>48</v>
      </c>
      <c r="M777" s="2">
        <v>5</v>
      </c>
      <c r="N777" s="2">
        <v>4</v>
      </c>
      <c r="O777" s="2">
        <v>1.5</v>
      </c>
      <c r="P777" s="2" t="s">
        <v>59</v>
      </c>
      <c r="Q777" s="2" t="s">
        <v>50</v>
      </c>
      <c r="R777" s="2">
        <v>2</v>
      </c>
      <c r="S777" s="2">
        <v>5</v>
      </c>
      <c r="T777" s="2" t="s">
        <v>36</v>
      </c>
      <c r="U777" s="2" t="s">
        <v>38</v>
      </c>
      <c r="V777" s="2" t="s">
        <v>66</v>
      </c>
      <c r="W777" s="3">
        <v>45320</v>
      </c>
      <c r="X777" s="2" t="b">
        <v>1</v>
      </c>
      <c r="Y777" s="2" t="b">
        <v>0</v>
      </c>
      <c r="Z777" s="2" t="s">
        <v>62</v>
      </c>
      <c r="AA777" s="2" t="s">
        <v>67</v>
      </c>
      <c r="AB777" s="2">
        <v>12</v>
      </c>
      <c r="AC777" s="2">
        <f>SUMIF(N:N,Ecommerce_Consumer_Behavior_Analysis_Data3[[#This Row],[Brand_Loyalty]],M:M)</f>
        <v>641</v>
      </c>
      <c r="AD777" s="2" t="e" cm="1" vm="1">
        <f t="array" aca="1" ref="AD777" ca="1">SUMIFS(Y:Y,Ecommerce_Consumer_Behavior_Analysis_Data3[[#This Row],[Payment_Method]],V:V)</f>
        <v>#VALUE!</v>
      </c>
      <c r="AE777" s="2">
        <f t="shared" si="16"/>
        <v>101.31</v>
      </c>
    </row>
    <row r="778" spans="1:31" x14ac:dyDescent="0.25">
      <c r="A778" s="2" t="s">
        <v>1626</v>
      </c>
      <c r="B778" s="2">
        <v>35</v>
      </c>
      <c r="C778" s="2" t="s">
        <v>43</v>
      </c>
      <c r="D778" s="2" t="s">
        <v>44</v>
      </c>
      <c r="E778" s="2" t="s">
        <v>31</v>
      </c>
      <c r="F778" s="2" t="s">
        <v>56</v>
      </c>
      <c r="G778" s="2" t="s">
        <v>30</v>
      </c>
      <c r="H778" s="2" t="s">
        <v>1627</v>
      </c>
      <c r="I778" s="2" t="s">
        <v>47</v>
      </c>
      <c r="J778" s="2">
        <v>195.07</v>
      </c>
      <c r="K778" s="2">
        <v>8</v>
      </c>
      <c r="L778" s="2" t="s">
        <v>78</v>
      </c>
      <c r="M778" s="2">
        <v>3</v>
      </c>
      <c r="N778" s="2">
        <v>1</v>
      </c>
      <c r="O778" s="2">
        <v>1</v>
      </c>
      <c r="P778" s="2" t="s">
        <v>44</v>
      </c>
      <c r="Q778" s="2" t="s">
        <v>37</v>
      </c>
      <c r="R778" s="2">
        <v>0</v>
      </c>
      <c r="S778" s="2">
        <v>6</v>
      </c>
      <c r="T778" s="2" t="s">
        <v>36</v>
      </c>
      <c r="U778" s="2" t="s">
        <v>60</v>
      </c>
      <c r="V778" s="2" t="s">
        <v>61</v>
      </c>
      <c r="W778" s="3">
        <v>45495</v>
      </c>
      <c r="X778" s="2" t="b">
        <v>0</v>
      </c>
      <c r="Y778" s="2" t="b">
        <v>0</v>
      </c>
      <c r="Z778" s="2" t="s">
        <v>62</v>
      </c>
      <c r="AA778" s="2" t="s">
        <v>41</v>
      </c>
      <c r="AB778" s="2">
        <v>10</v>
      </c>
      <c r="AC778" s="2">
        <f>SUMIF(N:N,Ecommerce_Consumer_Behavior_Analysis_Data3[[#This Row],[Brand_Loyalty]],M:M)</f>
        <v>597</v>
      </c>
      <c r="AD778" s="2" t="e" cm="1" vm="1">
        <f t="array" aca="1" ref="AD778" ca="1">SUMIFS(Y:Y,Ecommerce_Consumer_Behavior_Analysis_Data3[[#This Row],[Payment_Method]],V:V)</f>
        <v>#VALUE!</v>
      </c>
      <c r="AE778" s="2">
        <f t="shared" si="16"/>
        <v>101.31</v>
      </c>
    </row>
    <row r="779" spans="1:31" x14ac:dyDescent="0.25">
      <c r="A779" s="2" t="s">
        <v>1628</v>
      </c>
      <c r="B779" s="2">
        <v>39</v>
      </c>
      <c r="C779" s="2" t="s">
        <v>29</v>
      </c>
      <c r="D779" s="2" t="s">
        <v>30</v>
      </c>
      <c r="E779" s="2" t="s">
        <v>55</v>
      </c>
      <c r="F779" s="2" t="s">
        <v>45</v>
      </c>
      <c r="G779" s="2" t="s">
        <v>44</v>
      </c>
      <c r="H779" s="2" t="s">
        <v>1629</v>
      </c>
      <c r="I779" s="2" t="s">
        <v>82</v>
      </c>
      <c r="J779" s="2">
        <v>190.06</v>
      </c>
      <c r="K779" s="2">
        <v>9</v>
      </c>
      <c r="L779" s="2" t="s">
        <v>48</v>
      </c>
      <c r="M779" s="2">
        <v>5</v>
      </c>
      <c r="N779" s="2">
        <v>1</v>
      </c>
      <c r="O779" s="2">
        <v>1</v>
      </c>
      <c r="P779" s="2" t="s">
        <v>36</v>
      </c>
      <c r="Q779" s="2" t="s">
        <v>37</v>
      </c>
      <c r="R779" s="2">
        <v>1</v>
      </c>
      <c r="S779" s="2">
        <v>2</v>
      </c>
      <c r="T779" s="2" t="s">
        <v>59</v>
      </c>
      <c r="U779" s="2" t="s">
        <v>60</v>
      </c>
      <c r="V779" s="2" t="s">
        <v>66</v>
      </c>
      <c r="W779" s="3">
        <v>45325</v>
      </c>
      <c r="X779" s="2" t="b">
        <v>1</v>
      </c>
      <c r="Y779" s="2" t="b">
        <v>1</v>
      </c>
      <c r="Z779" s="2" t="s">
        <v>74</v>
      </c>
      <c r="AA779" s="2" t="s">
        <v>53</v>
      </c>
      <c r="AB779" s="2">
        <v>12</v>
      </c>
      <c r="AC779" s="2">
        <f>SUMIF(N:N,Ecommerce_Consumer_Behavior_Analysis_Data3[[#This Row],[Brand_Loyalty]],M:M)</f>
        <v>641</v>
      </c>
      <c r="AD779" s="2" t="e" cm="1" vm="1">
        <f t="array" aca="1" ref="AD779" ca="1">SUMIFS(Y:Y,Ecommerce_Consumer_Behavior_Analysis_Data3[[#This Row],[Payment_Method]],V:V)</f>
        <v>#VALUE!</v>
      </c>
      <c r="AE779" s="2">
        <f t="shared" si="16"/>
        <v>211.7</v>
      </c>
    </row>
    <row r="780" spans="1:31" x14ac:dyDescent="0.25">
      <c r="A780" s="2" t="s">
        <v>1630</v>
      </c>
      <c r="B780" s="2">
        <v>38</v>
      </c>
      <c r="C780" s="2" t="s">
        <v>29</v>
      </c>
      <c r="D780" s="2" t="s">
        <v>30</v>
      </c>
      <c r="E780" s="2" t="s">
        <v>55</v>
      </c>
      <c r="F780" s="2" t="s">
        <v>45</v>
      </c>
      <c r="G780" s="2" t="s">
        <v>30</v>
      </c>
      <c r="H780" s="2" t="s">
        <v>1631</v>
      </c>
      <c r="I780" s="2" t="s">
        <v>158</v>
      </c>
      <c r="J780" s="2">
        <v>485.76</v>
      </c>
      <c r="K780" s="2">
        <v>10</v>
      </c>
      <c r="L780" s="2" t="s">
        <v>48</v>
      </c>
      <c r="M780" s="2">
        <v>3</v>
      </c>
      <c r="N780" s="2">
        <v>4</v>
      </c>
      <c r="O780" s="2">
        <v>0</v>
      </c>
      <c r="P780" s="2" t="s">
        <v>49</v>
      </c>
      <c r="Q780" s="2" t="s">
        <v>37</v>
      </c>
      <c r="R780" s="2">
        <v>0</v>
      </c>
      <c r="S780" s="2">
        <v>4</v>
      </c>
      <c r="T780" s="2" t="s">
        <v>44</v>
      </c>
      <c r="U780" s="2" t="s">
        <v>79</v>
      </c>
      <c r="V780" s="2" t="s">
        <v>61</v>
      </c>
      <c r="W780" s="3">
        <v>45446</v>
      </c>
      <c r="X780" s="2" t="b">
        <v>1</v>
      </c>
      <c r="Y780" s="2" t="b">
        <v>1</v>
      </c>
      <c r="Z780" s="2" t="s">
        <v>52</v>
      </c>
      <c r="AA780" s="2" t="s">
        <v>41</v>
      </c>
      <c r="AB780" s="2">
        <v>4</v>
      </c>
      <c r="AC780" s="2">
        <f>SUMIF(N:N,Ecommerce_Consumer_Behavior_Analysis_Data3[[#This Row],[Brand_Loyalty]],M:M)</f>
        <v>597</v>
      </c>
      <c r="AD780" s="2" t="e" cm="1" vm="1">
        <f t="array" aca="1" ref="AD780" ca="1">SUMIFS(Y:Y,Ecommerce_Consumer_Behavior_Analysis_Data3[[#This Row],[Payment_Method]],V:V)</f>
        <v>#VALUE!</v>
      </c>
      <c r="AE780" s="2">
        <f t="shared" si="16"/>
        <v>101.31</v>
      </c>
    </row>
    <row r="781" spans="1:31" x14ac:dyDescent="0.25">
      <c r="A781" s="2" t="s">
        <v>1632</v>
      </c>
      <c r="B781" s="2">
        <v>27</v>
      </c>
      <c r="C781" s="2" t="s">
        <v>29</v>
      </c>
      <c r="D781" s="2" t="s">
        <v>44</v>
      </c>
      <c r="E781" s="2" t="s">
        <v>55</v>
      </c>
      <c r="F781" s="2" t="s">
        <v>32</v>
      </c>
      <c r="G781" s="2" t="s">
        <v>44</v>
      </c>
      <c r="H781" s="2" t="s">
        <v>1633</v>
      </c>
      <c r="I781" s="2" t="s">
        <v>82</v>
      </c>
      <c r="J781" s="2">
        <v>242.57</v>
      </c>
      <c r="K781" s="2">
        <v>7</v>
      </c>
      <c r="L781" s="2" t="s">
        <v>48</v>
      </c>
      <c r="M781" s="2">
        <v>1</v>
      </c>
      <c r="N781" s="2">
        <v>1</v>
      </c>
      <c r="O781" s="2">
        <v>1</v>
      </c>
      <c r="P781" s="2" t="s">
        <v>59</v>
      </c>
      <c r="Q781" s="2" t="s">
        <v>50</v>
      </c>
      <c r="R781" s="2">
        <v>0</v>
      </c>
      <c r="S781" s="2">
        <v>10</v>
      </c>
      <c r="T781" s="2" t="s">
        <v>59</v>
      </c>
      <c r="U781" s="2" t="s">
        <v>60</v>
      </c>
      <c r="V781" s="2" t="s">
        <v>51</v>
      </c>
      <c r="W781" s="3">
        <v>45570</v>
      </c>
      <c r="X781" s="2" t="b">
        <v>1</v>
      </c>
      <c r="Y781" s="2" t="b">
        <v>0</v>
      </c>
      <c r="Z781" s="2" t="s">
        <v>52</v>
      </c>
      <c r="AA781" s="2" t="s">
        <v>41</v>
      </c>
      <c r="AB781" s="2">
        <v>1</v>
      </c>
      <c r="AC781" s="2">
        <f>SUMIF(N:N,Ecommerce_Consumer_Behavior_Analysis_Data3[[#This Row],[Brand_Loyalty]],M:M)</f>
        <v>603</v>
      </c>
      <c r="AD781" s="2" t="e" cm="1" vm="1">
        <f t="array" aca="1" ref="AD781" ca="1">SUMIFS(Y:Y,Ecommerce_Consumer_Behavior_Analysis_Data3[[#This Row],[Payment_Method]],V:V)</f>
        <v>#VALUE!</v>
      </c>
      <c r="AE781" s="2">
        <f t="shared" si="16"/>
        <v>101.31</v>
      </c>
    </row>
    <row r="782" spans="1:31" x14ac:dyDescent="0.25">
      <c r="A782" s="2" t="s">
        <v>1634</v>
      </c>
      <c r="B782" s="2">
        <v>35</v>
      </c>
      <c r="C782" s="2" t="s">
        <v>43</v>
      </c>
      <c r="D782" s="2" t="s">
        <v>30</v>
      </c>
      <c r="E782" s="2" t="s">
        <v>69</v>
      </c>
      <c r="F782" s="2" t="s">
        <v>45</v>
      </c>
      <c r="G782" s="2" t="s">
        <v>44</v>
      </c>
      <c r="H782" s="2" t="s">
        <v>1635</v>
      </c>
      <c r="I782" s="2" t="s">
        <v>135</v>
      </c>
      <c r="J782" s="2">
        <v>303.13</v>
      </c>
      <c r="K782" s="2">
        <v>2</v>
      </c>
      <c r="L782" s="2" t="s">
        <v>78</v>
      </c>
      <c r="M782" s="2">
        <v>1</v>
      </c>
      <c r="N782" s="2">
        <v>1</v>
      </c>
      <c r="O782" s="2">
        <v>1</v>
      </c>
      <c r="P782" s="2" t="s">
        <v>44</v>
      </c>
      <c r="Q782" s="2" t="s">
        <v>50</v>
      </c>
      <c r="R782" s="2">
        <v>0</v>
      </c>
      <c r="S782" s="2">
        <v>7</v>
      </c>
      <c r="T782" s="2" t="s">
        <v>49</v>
      </c>
      <c r="U782" s="2" t="s">
        <v>79</v>
      </c>
      <c r="V782" s="2" t="s">
        <v>61</v>
      </c>
      <c r="W782" s="3">
        <v>45295</v>
      </c>
      <c r="X782" s="2" t="b">
        <v>0</v>
      </c>
      <c r="Y782" s="2" t="b">
        <v>1</v>
      </c>
      <c r="Z782" s="2" t="s">
        <v>40</v>
      </c>
      <c r="AA782" s="2" t="s">
        <v>53</v>
      </c>
      <c r="AB782" s="2">
        <v>10</v>
      </c>
      <c r="AC782" s="2">
        <f>SUMIF(N:N,Ecommerce_Consumer_Behavior_Analysis_Data3[[#This Row],[Brand_Loyalty]],M:M)</f>
        <v>603</v>
      </c>
      <c r="AD782" s="2" t="e" cm="1" vm="1">
        <f t="array" aca="1" ref="AD782" ca="1">SUMIFS(Y:Y,Ecommerce_Consumer_Behavior_Analysis_Data3[[#This Row],[Payment_Method]],V:V)</f>
        <v>#VALUE!</v>
      </c>
      <c r="AE782" s="2">
        <f t="shared" si="16"/>
        <v>333.8</v>
      </c>
    </row>
    <row r="783" spans="1:31" x14ac:dyDescent="0.25">
      <c r="A783" s="2" t="s">
        <v>1636</v>
      </c>
      <c r="B783" s="2">
        <v>43</v>
      </c>
      <c r="C783" s="2" t="s">
        <v>29</v>
      </c>
      <c r="D783" s="2" t="s">
        <v>30</v>
      </c>
      <c r="E783" s="2" t="s">
        <v>69</v>
      </c>
      <c r="F783" s="2" t="s">
        <v>56</v>
      </c>
      <c r="G783" s="2" t="s">
        <v>30</v>
      </c>
      <c r="H783" s="2" t="s">
        <v>1637</v>
      </c>
      <c r="I783" s="2" t="s">
        <v>126</v>
      </c>
      <c r="J783" s="2">
        <v>136.1</v>
      </c>
      <c r="K783" s="2">
        <v>5</v>
      </c>
      <c r="L783" s="2" t="s">
        <v>48</v>
      </c>
      <c r="M783" s="2">
        <v>3</v>
      </c>
      <c r="N783" s="2">
        <v>5</v>
      </c>
      <c r="O783" s="2">
        <v>2</v>
      </c>
      <c r="P783" s="2" t="s">
        <v>59</v>
      </c>
      <c r="Q783" s="2" t="s">
        <v>85</v>
      </c>
      <c r="R783" s="2">
        <v>0</v>
      </c>
      <c r="S783" s="2">
        <v>2</v>
      </c>
      <c r="T783" s="2" t="s">
        <v>44</v>
      </c>
      <c r="U783" s="2" t="s">
        <v>38</v>
      </c>
      <c r="V783" s="2" t="s">
        <v>61</v>
      </c>
      <c r="W783" s="3">
        <v>45349</v>
      </c>
      <c r="X783" s="2" t="b">
        <v>0</v>
      </c>
      <c r="Y783" s="2" t="b">
        <v>1</v>
      </c>
      <c r="Z783" s="2" t="s">
        <v>74</v>
      </c>
      <c r="AA783" s="2" t="s">
        <v>67</v>
      </c>
      <c r="AB783" s="2">
        <v>14</v>
      </c>
      <c r="AC783" s="2">
        <f>SUMIF(N:N,Ecommerce_Consumer_Behavior_Analysis_Data3[[#This Row],[Brand_Loyalty]],M:M)</f>
        <v>597</v>
      </c>
      <c r="AD783" s="2" t="e" cm="1" vm="1">
        <f t="array" aca="1" ref="AD783" ca="1">SUMIFS(Y:Y,Ecommerce_Consumer_Behavior_Analysis_Data3[[#This Row],[Payment_Method]],V:V)</f>
        <v>#VALUE!</v>
      </c>
      <c r="AE783" s="2">
        <f t="shared" si="16"/>
        <v>426.22</v>
      </c>
    </row>
    <row r="784" spans="1:31" x14ac:dyDescent="0.25">
      <c r="A784" s="2" t="s">
        <v>1638</v>
      </c>
      <c r="B784" s="2">
        <v>40</v>
      </c>
      <c r="C784" s="2" t="s">
        <v>88</v>
      </c>
      <c r="D784" s="2" t="s">
        <v>44</v>
      </c>
      <c r="E784" s="2" t="s">
        <v>55</v>
      </c>
      <c r="F784" s="2" t="s">
        <v>32</v>
      </c>
      <c r="G784" s="2" t="s">
        <v>30</v>
      </c>
      <c r="H784" s="2" t="s">
        <v>1639</v>
      </c>
      <c r="I784" s="2" t="s">
        <v>117</v>
      </c>
      <c r="J784" s="2">
        <v>249.02</v>
      </c>
      <c r="K784" s="2">
        <v>11</v>
      </c>
      <c r="L784" s="2" t="s">
        <v>35</v>
      </c>
      <c r="M784" s="2">
        <v>3</v>
      </c>
      <c r="N784" s="2">
        <v>2</v>
      </c>
      <c r="O784" s="2">
        <v>0.3</v>
      </c>
      <c r="P784" s="2" t="s">
        <v>49</v>
      </c>
      <c r="Q784" s="2" t="s">
        <v>50</v>
      </c>
      <c r="R784" s="2">
        <v>1</v>
      </c>
      <c r="S784" s="2">
        <v>1</v>
      </c>
      <c r="T784" s="2" t="s">
        <v>49</v>
      </c>
      <c r="U784" s="2" t="s">
        <v>60</v>
      </c>
      <c r="V784" s="2" t="s">
        <v>51</v>
      </c>
      <c r="W784" s="3">
        <v>45566</v>
      </c>
      <c r="X784" s="2" t="b">
        <v>1</v>
      </c>
      <c r="Y784" s="2" t="b">
        <v>1</v>
      </c>
      <c r="Z784" s="2" t="s">
        <v>74</v>
      </c>
      <c r="AA784" s="2" t="s">
        <v>67</v>
      </c>
      <c r="AB784" s="2">
        <v>14</v>
      </c>
      <c r="AC784" s="2">
        <f>SUMIF(N:N,Ecommerce_Consumer_Behavior_Analysis_Data3[[#This Row],[Brand_Loyalty]],M:M)</f>
        <v>597</v>
      </c>
      <c r="AD784" s="2" t="e" cm="1" vm="1">
        <f t="array" aca="1" ref="AD784" ca="1">SUMIFS(Y:Y,Ecommerce_Consumer_Behavior_Analysis_Data3[[#This Row],[Payment_Method]],V:V)</f>
        <v>#VALUE!</v>
      </c>
      <c r="AE784" s="2">
        <f t="shared" si="16"/>
        <v>497.8</v>
      </c>
    </row>
    <row r="785" spans="1:31" x14ac:dyDescent="0.25">
      <c r="A785" s="2" t="s">
        <v>1640</v>
      </c>
      <c r="B785" s="2">
        <v>19</v>
      </c>
      <c r="C785" s="2" t="s">
        <v>43</v>
      </c>
      <c r="D785" s="2" t="s">
        <v>30</v>
      </c>
      <c r="E785" s="2" t="s">
        <v>76</v>
      </c>
      <c r="F785" s="2" t="s">
        <v>45</v>
      </c>
      <c r="G785" s="2" t="s">
        <v>30</v>
      </c>
      <c r="H785" s="2" t="s">
        <v>1641</v>
      </c>
      <c r="I785" s="2" t="s">
        <v>58</v>
      </c>
      <c r="J785" s="2">
        <v>466.74</v>
      </c>
      <c r="K785" s="2">
        <v>7</v>
      </c>
      <c r="L785" s="2" t="s">
        <v>48</v>
      </c>
      <c r="M785" s="2">
        <v>3</v>
      </c>
      <c r="N785" s="2">
        <v>4</v>
      </c>
      <c r="O785" s="2">
        <v>0.2</v>
      </c>
      <c r="P785" s="2" t="s">
        <v>49</v>
      </c>
      <c r="Q785" s="2" t="s">
        <v>50</v>
      </c>
      <c r="R785" s="2">
        <v>2</v>
      </c>
      <c r="S785" s="2">
        <v>3</v>
      </c>
      <c r="T785" s="2" t="s">
        <v>44</v>
      </c>
      <c r="U785" s="2" t="s">
        <v>38</v>
      </c>
      <c r="V785" s="2" t="s">
        <v>61</v>
      </c>
      <c r="W785" s="3">
        <v>45637</v>
      </c>
      <c r="X785" s="2" t="b">
        <v>1</v>
      </c>
      <c r="Y785" s="2" t="b">
        <v>1</v>
      </c>
      <c r="Z785" s="2" t="s">
        <v>40</v>
      </c>
      <c r="AA785" s="2" t="s">
        <v>67</v>
      </c>
      <c r="AB785" s="2">
        <v>5</v>
      </c>
      <c r="AC785" s="2">
        <f>SUMIF(N:N,Ecommerce_Consumer_Behavior_Analysis_Data3[[#This Row],[Brand_Loyalty]],M:M)</f>
        <v>597</v>
      </c>
      <c r="AD785" s="2" t="e" cm="1" vm="1">
        <f t="array" aca="1" ref="AD785" ca="1">SUMIFS(Y:Y,Ecommerce_Consumer_Behavior_Analysis_Data3[[#This Row],[Payment_Method]],V:V)</f>
        <v>#VALUE!</v>
      </c>
      <c r="AE785" s="2">
        <f t="shared" si="16"/>
        <v>333.8</v>
      </c>
    </row>
    <row r="786" spans="1:31" x14ac:dyDescent="0.25">
      <c r="A786" s="2" t="s">
        <v>1642</v>
      </c>
      <c r="B786" s="2">
        <v>46</v>
      </c>
      <c r="C786" s="2" t="s">
        <v>274</v>
      </c>
      <c r="D786" s="2" t="s">
        <v>44</v>
      </c>
      <c r="E786" s="2" t="s">
        <v>31</v>
      </c>
      <c r="F786" s="2" t="s">
        <v>45</v>
      </c>
      <c r="G786" s="2" t="s">
        <v>44</v>
      </c>
      <c r="H786" s="2" t="s">
        <v>1643</v>
      </c>
      <c r="I786" s="2" t="s">
        <v>101</v>
      </c>
      <c r="J786" s="2">
        <v>229.3</v>
      </c>
      <c r="K786" s="2">
        <v>6</v>
      </c>
      <c r="L786" s="2" t="s">
        <v>48</v>
      </c>
      <c r="M786" s="2">
        <v>4</v>
      </c>
      <c r="N786" s="2">
        <v>5</v>
      </c>
      <c r="O786" s="2">
        <v>2</v>
      </c>
      <c r="P786" s="2" t="s">
        <v>36</v>
      </c>
      <c r="Q786" s="2" t="s">
        <v>37</v>
      </c>
      <c r="R786" s="2">
        <v>0</v>
      </c>
      <c r="S786" s="2">
        <v>6</v>
      </c>
      <c r="T786" s="2" t="s">
        <v>36</v>
      </c>
      <c r="U786" s="2" t="s">
        <v>60</v>
      </c>
      <c r="V786" s="2" t="s">
        <v>66</v>
      </c>
      <c r="W786" s="3">
        <v>45621</v>
      </c>
      <c r="X786" s="2" t="b">
        <v>0</v>
      </c>
      <c r="Y786" s="2" t="b">
        <v>0</v>
      </c>
      <c r="Z786" s="2" t="s">
        <v>74</v>
      </c>
      <c r="AA786" s="2" t="s">
        <v>67</v>
      </c>
      <c r="AB786" s="2">
        <v>6</v>
      </c>
      <c r="AC786" s="2">
        <f>SUMIF(N:N,Ecommerce_Consumer_Behavior_Analysis_Data3[[#This Row],[Brand_Loyalty]],M:M)</f>
        <v>603</v>
      </c>
      <c r="AD786" s="2" t="e" cm="1" vm="1">
        <f t="array" aca="1" ref="AD786" ca="1">SUMIFS(Y:Y,Ecommerce_Consumer_Behavior_Analysis_Data3[[#This Row],[Payment_Method]],V:V)</f>
        <v>#VALUE!</v>
      </c>
      <c r="AE786" s="2">
        <f t="shared" si="16"/>
        <v>497.8</v>
      </c>
    </row>
    <row r="787" spans="1:31" x14ac:dyDescent="0.25">
      <c r="A787" s="2" t="s">
        <v>1644</v>
      </c>
      <c r="B787" s="2">
        <v>30</v>
      </c>
      <c r="C787" s="2" t="s">
        <v>29</v>
      </c>
      <c r="D787" s="2" t="s">
        <v>44</v>
      </c>
      <c r="E787" s="2" t="s">
        <v>55</v>
      </c>
      <c r="F787" s="2" t="s">
        <v>45</v>
      </c>
      <c r="G787" s="2" t="s">
        <v>44</v>
      </c>
      <c r="H787" s="2" t="s">
        <v>1645</v>
      </c>
      <c r="I787" s="2" t="s">
        <v>114</v>
      </c>
      <c r="J787" s="2">
        <v>450.52</v>
      </c>
      <c r="K787" s="2">
        <v>8</v>
      </c>
      <c r="L787" s="2" t="s">
        <v>78</v>
      </c>
      <c r="M787" s="2">
        <v>2</v>
      </c>
      <c r="N787" s="2">
        <v>2</v>
      </c>
      <c r="O787" s="2">
        <v>0.2</v>
      </c>
      <c r="P787" s="2" t="s">
        <v>44</v>
      </c>
      <c r="Q787" s="2" t="s">
        <v>37</v>
      </c>
      <c r="R787" s="2">
        <v>0</v>
      </c>
      <c r="S787" s="2">
        <v>6</v>
      </c>
      <c r="T787" s="2" t="s">
        <v>59</v>
      </c>
      <c r="U787" s="2" t="s">
        <v>79</v>
      </c>
      <c r="V787" s="2" t="s">
        <v>51</v>
      </c>
      <c r="W787" s="3">
        <v>45304</v>
      </c>
      <c r="X787" s="2" t="b">
        <v>1</v>
      </c>
      <c r="Y787" s="2" t="b">
        <v>1</v>
      </c>
      <c r="Z787" s="2" t="s">
        <v>40</v>
      </c>
      <c r="AA787" s="2" t="s">
        <v>41</v>
      </c>
      <c r="AB787" s="2">
        <v>8</v>
      </c>
      <c r="AC787" s="2">
        <f>SUMIF(N:N,Ecommerce_Consumer_Behavior_Analysis_Data3[[#This Row],[Brand_Loyalty]],M:M)</f>
        <v>582</v>
      </c>
      <c r="AD787" s="2" t="e" cm="1" vm="1">
        <f t="array" aca="1" ref="AD787" ca="1">SUMIFS(Y:Y,Ecommerce_Consumer_Behavior_Analysis_Data3[[#This Row],[Payment_Method]],V:V)</f>
        <v>#VALUE!</v>
      </c>
      <c r="AE787" s="2">
        <f t="shared" si="16"/>
        <v>101.31</v>
      </c>
    </row>
    <row r="788" spans="1:31" x14ac:dyDescent="0.25">
      <c r="A788" s="2" t="s">
        <v>1646</v>
      </c>
      <c r="B788" s="2">
        <v>35</v>
      </c>
      <c r="C788" s="2" t="s">
        <v>43</v>
      </c>
      <c r="D788" s="2" t="s">
        <v>44</v>
      </c>
      <c r="E788" s="2" t="s">
        <v>76</v>
      </c>
      <c r="F788" s="2" t="s">
        <v>32</v>
      </c>
      <c r="G788" s="2" t="s">
        <v>30</v>
      </c>
      <c r="H788" s="2" t="s">
        <v>1647</v>
      </c>
      <c r="I788" s="2" t="s">
        <v>158</v>
      </c>
      <c r="J788" s="2">
        <v>246.44</v>
      </c>
      <c r="K788" s="2">
        <v>4</v>
      </c>
      <c r="L788" s="2" t="s">
        <v>35</v>
      </c>
      <c r="M788" s="2">
        <v>3</v>
      </c>
      <c r="N788" s="2">
        <v>1</v>
      </c>
      <c r="O788" s="2">
        <v>1</v>
      </c>
      <c r="P788" s="2" t="s">
        <v>49</v>
      </c>
      <c r="Q788" s="2" t="s">
        <v>37</v>
      </c>
      <c r="R788" s="2">
        <v>0</v>
      </c>
      <c r="S788" s="2">
        <v>3</v>
      </c>
      <c r="T788" s="2" t="s">
        <v>49</v>
      </c>
      <c r="U788" s="2" t="s">
        <v>60</v>
      </c>
      <c r="V788" s="2" t="s">
        <v>61</v>
      </c>
      <c r="W788" s="3">
        <v>45552</v>
      </c>
      <c r="X788" s="2" t="b">
        <v>0</v>
      </c>
      <c r="Y788" s="2" t="b">
        <v>1</v>
      </c>
      <c r="Z788" s="2" t="s">
        <v>52</v>
      </c>
      <c r="AA788" s="2" t="s">
        <v>41</v>
      </c>
      <c r="AB788" s="2">
        <v>5</v>
      </c>
      <c r="AC788" s="2">
        <f>SUMIF(N:N,Ecommerce_Consumer_Behavior_Analysis_Data3[[#This Row],[Brand_Loyalty]],M:M)</f>
        <v>597</v>
      </c>
      <c r="AD788" s="2" t="e" cm="1" vm="1">
        <f t="array" aca="1" ref="AD788" ca="1">SUMIFS(Y:Y,Ecommerce_Consumer_Behavior_Analysis_Data3[[#This Row],[Payment_Method]],V:V)</f>
        <v>#VALUE!</v>
      </c>
      <c r="AE788" s="2">
        <f t="shared" si="16"/>
        <v>101.31</v>
      </c>
    </row>
    <row r="789" spans="1:31" x14ac:dyDescent="0.25">
      <c r="A789" s="2" t="s">
        <v>1648</v>
      </c>
      <c r="B789" s="2">
        <v>34</v>
      </c>
      <c r="C789" s="2" t="s">
        <v>43</v>
      </c>
      <c r="D789" s="2" t="s">
        <v>44</v>
      </c>
      <c r="E789" s="2" t="s">
        <v>69</v>
      </c>
      <c r="F789" s="2" t="s">
        <v>45</v>
      </c>
      <c r="G789" s="2" t="s">
        <v>30</v>
      </c>
      <c r="H789" s="2" t="s">
        <v>1649</v>
      </c>
      <c r="I789" s="2" t="s">
        <v>65</v>
      </c>
      <c r="J789" s="2">
        <v>93.52</v>
      </c>
      <c r="K789" s="2">
        <v>2</v>
      </c>
      <c r="L789" s="2" t="s">
        <v>78</v>
      </c>
      <c r="M789" s="2">
        <v>1</v>
      </c>
      <c r="N789" s="2">
        <v>5</v>
      </c>
      <c r="O789" s="2">
        <v>1</v>
      </c>
      <c r="P789" s="2" t="s">
        <v>36</v>
      </c>
      <c r="Q789" s="2" t="s">
        <v>37</v>
      </c>
      <c r="R789" s="2">
        <v>1</v>
      </c>
      <c r="S789" s="2">
        <v>2</v>
      </c>
      <c r="T789" s="2" t="s">
        <v>44</v>
      </c>
      <c r="U789" s="2" t="s">
        <v>79</v>
      </c>
      <c r="V789" s="2" t="s">
        <v>51</v>
      </c>
      <c r="W789" s="3">
        <v>45516</v>
      </c>
      <c r="X789" s="2" t="b">
        <v>0</v>
      </c>
      <c r="Y789" s="2" t="b">
        <v>1</v>
      </c>
      <c r="Z789" s="2" t="s">
        <v>74</v>
      </c>
      <c r="AA789" s="2" t="s">
        <v>41</v>
      </c>
      <c r="AB789" s="2">
        <v>12</v>
      </c>
      <c r="AC789" s="2">
        <f>SUMIF(N:N,Ecommerce_Consumer_Behavior_Analysis_Data3[[#This Row],[Brand_Loyalty]],M:M)</f>
        <v>603</v>
      </c>
      <c r="AD789" s="2" t="e" cm="1" vm="1">
        <f t="array" aca="1" ref="AD789" ca="1">SUMIFS(Y:Y,Ecommerce_Consumer_Behavior_Analysis_Data3[[#This Row],[Payment_Method]],V:V)</f>
        <v>#VALUE!</v>
      </c>
      <c r="AE789" s="2">
        <f t="shared" si="16"/>
        <v>333.8</v>
      </c>
    </row>
    <row r="790" spans="1:31" x14ac:dyDescent="0.25">
      <c r="A790" s="2" t="s">
        <v>1650</v>
      </c>
      <c r="B790" s="2">
        <v>28</v>
      </c>
      <c r="C790" s="2" t="s">
        <v>29</v>
      </c>
      <c r="D790" s="2" t="s">
        <v>30</v>
      </c>
      <c r="E790" s="2" t="s">
        <v>31</v>
      </c>
      <c r="F790" s="2" t="s">
        <v>45</v>
      </c>
      <c r="G790" s="2" t="s">
        <v>44</v>
      </c>
      <c r="H790" s="2" t="s">
        <v>1651</v>
      </c>
      <c r="I790" s="2" t="s">
        <v>158</v>
      </c>
      <c r="J790" s="2">
        <v>137.75</v>
      </c>
      <c r="K790" s="2">
        <v>6</v>
      </c>
      <c r="L790" s="2" t="s">
        <v>78</v>
      </c>
      <c r="M790" s="2">
        <v>3</v>
      </c>
      <c r="N790" s="2">
        <v>3</v>
      </c>
      <c r="O790" s="2">
        <v>2</v>
      </c>
      <c r="P790" s="2" t="s">
        <v>44</v>
      </c>
      <c r="Q790" s="2" t="s">
        <v>85</v>
      </c>
      <c r="R790" s="2">
        <v>0</v>
      </c>
      <c r="S790" s="2">
        <v>1</v>
      </c>
      <c r="T790" s="2" t="s">
        <v>49</v>
      </c>
      <c r="U790" s="2" t="s">
        <v>60</v>
      </c>
      <c r="V790" s="2" t="s">
        <v>86</v>
      </c>
      <c r="W790" s="3">
        <v>45544</v>
      </c>
      <c r="X790" s="2" t="b">
        <v>0</v>
      </c>
      <c r="Y790" s="2" t="b">
        <v>1</v>
      </c>
      <c r="Z790" s="2" t="s">
        <v>40</v>
      </c>
      <c r="AA790" s="2" t="s">
        <v>41</v>
      </c>
      <c r="AB790" s="2">
        <v>4</v>
      </c>
      <c r="AC790" s="2">
        <f>SUMIF(N:N,Ecommerce_Consumer_Behavior_Analysis_Data3[[#This Row],[Brand_Loyalty]],M:M)</f>
        <v>597</v>
      </c>
      <c r="AD790" s="2" t="e" cm="1" vm="1">
        <f t="array" aca="1" ref="AD790" ca="1">SUMIFS(Y:Y,Ecommerce_Consumer_Behavior_Analysis_Data3[[#This Row],[Payment_Method]],V:V)</f>
        <v>#VALUE!</v>
      </c>
      <c r="AE790" s="2">
        <f t="shared" si="16"/>
        <v>333.8</v>
      </c>
    </row>
    <row r="791" spans="1:31" x14ac:dyDescent="0.25">
      <c r="A791" s="2" t="s">
        <v>1652</v>
      </c>
      <c r="B791" s="2">
        <v>44</v>
      </c>
      <c r="C791" s="2" t="s">
        <v>29</v>
      </c>
      <c r="D791" s="2" t="s">
        <v>30</v>
      </c>
      <c r="E791" s="2" t="s">
        <v>31</v>
      </c>
      <c r="F791" s="2" t="s">
        <v>56</v>
      </c>
      <c r="G791" s="2" t="s">
        <v>30</v>
      </c>
      <c r="H791" s="2" t="s">
        <v>1653</v>
      </c>
      <c r="I791" s="2" t="s">
        <v>65</v>
      </c>
      <c r="J791" s="2">
        <v>78.64</v>
      </c>
      <c r="K791" s="2">
        <v>5</v>
      </c>
      <c r="L791" s="2" t="s">
        <v>35</v>
      </c>
      <c r="M791" s="2">
        <v>3</v>
      </c>
      <c r="N791" s="2">
        <v>4</v>
      </c>
      <c r="O791" s="2">
        <v>2</v>
      </c>
      <c r="P791" s="2" t="s">
        <v>44</v>
      </c>
      <c r="Q791" s="2" t="s">
        <v>37</v>
      </c>
      <c r="R791" s="2">
        <v>0</v>
      </c>
      <c r="S791" s="2">
        <v>3</v>
      </c>
      <c r="T791" s="2" t="s">
        <v>44</v>
      </c>
      <c r="U791" s="2" t="s">
        <v>38</v>
      </c>
      <c r="V791" s="2" t="s">
        <v>51</v>
      </c>
      <c r="W791" s="3">
        <v>45438</v>
      </c>
      <c r="X791" s="2" t="b">
        <v>1</v>
      </c>
      <c r="Y791" s="2" t="b">
        <v>0</v>
      </c>
      <c r="Z791" s="2" t="s">
        <v>74</v>
      </c>
      <c r="AA791" s="2" t="s">
        <v>53</v>
      </c>
      <c r="AB791" s="2">
        <v>12</v>
      </c>
      <c r="AC791" s="2">
        <f>SUMIF(N:N,Ecommerce_Consumer_Behavior_Analysis_Data3[[#This Row],[Brand_Loyalty]],M:M)</f>
        <v>597</v>
      </c>
      <c r="AD791" s="2" t="e" cm="1" vm="1">
        <f t="array" aca="1" ref="AD791" ca="1">SUMIFS(Y:Y,Ecommerce_Consumer_Behavior_Analysis_Data3[[#This Row],[Payment_Method]],V:V)</f>
        <v>#VALUE!</v>
      </c>
      <c r="AE791" s="2">
        <f t="shared" si="16"/>
        <v>426.22</v>
      </c>
    </row>
    <row r="792" spans="1:31" x14ac:dyDescent="0.25">
      <c r="A792" s="2" t="s">
        <v>1654</v>
      </c>
      <c r="B792" s="2">
        <v>25</v>
      </c>
      <c r="C792" s="2" t="s">
        <v>43</v>
      </c>
      <c r="D792" s="2" t="s">
        <v>44</v>
      </c>
      <c r="E792" s="2" t="s">
        <v>76</v>
      </c>
      <c r="F792" s="2" t="s">
        <v>56</v>
      </c>
      <c r="G792" s="2" t="s">
        <v>30</v>
      </c>
      <c r="H792" s="2" t="s">
        <v>1655</v>
      </c>
      <c r="I792" s="2" t="s">
        <v>120</v>
      </c>
      <c r="J792" s="2">
        <v>214.82</v>
      </c>
      <c r="K792" s="2">
        <v>9</v>
      </c>
      <c r="L792" s="2" t="s">
        <v>35</v>
      </c>
      <c r="M792" s="2">
        <v>5</v>
      </c>
      <c r="N792" s="2">
        <v>4</v>
      </c>
      <c r="O792" s="2">
        <v>0.3</v>
      </c>
      <c r="P792" s="2" t="s">
        <v>36</v>
      </c>
      <c r="Q792" s="2" t="s">
        <v>85</v>
      </c>
      <c r="R792" s="2">
        <v>1</v>
      </c>
      <c r="S792" s="2">
        <v>9</v>
      </c>
      <c r="T792" s="2" t="s">
        <v>49</v>
      </c>
      <c r="U792" s="2" t="s">
        <v>38</v>
      </c>
      <c r="V792" s="2" t="s">
        <v>66</v>
      </c>
      <c r="W792" s="3">
        <v>45605</v>
      </c>
      <c r="X792" s="2" t="b">
        <v>1</v>
      </c>
      <c r="Y792" s="2" t="b">
        <v>0</v>
      </c>
      <c r="Z792" s="2" t="s">
        <v>74</v>
      </c>
      <c r="AA792" s="2" t="s">
        <v>41</v>
      </c>
      <c r="AB792" s="2">
        <v>11</v>
      </c>
      <c r="AC792" s="2">
        <f>SUMIF(N:N,Ecommerce_Consumer_Behavior_Analysis_Data3[[#This Row],[Brand_Loyalty]],M:M)</f>
        <v>641</v>
      </c>
      <c r="AD792" s="2" t="e" cm="1" vm="1">
        <f t="array" aca="1" ref="AD792" ca="1">SUMIFS(Y:Y,Ecommerce_Consumer_Behavior_Analysis_Data3[[#This Row],[Payment_Method]],V:V)</f>
        <v>#VALUE!</v>
      </c>
      <c r="AE792" s="2">
        <f t="shared" si="16"/>
        <v>494.34</v>
      </c>
    </row>
    <row r="793" spans="1:31" x14ac:dyDescent="0.25">
      <c r="A793" s="2" t="s">
        <v>1656</v>
      </c>
      <c r="B793" s="2">
        <v>45</v>
      </c>
      <c r="C793" s="2" t="s">
        <v>43</v>
      </c>
      <c r="D793" s="2" t="s">
        <v>30</v>
      </c>
      <c r="E793" s="2" t="s">
        <v>31</v>
      </c>
      <c r="F793" s="2" t="s">
        <v>32</v>
      </c>
      <c r="G793" s="2" t="s">
        <v>44</v>
      </c>
      <c r="H793" s="2" t="s">
        <v>1657</v>
      </c>
      <c r="I793" s="2" t="s">
        <v>93</v>
      </c>
      <c r="J793" s="2">
        <v>57.39</v>
      </c>
      <c r="K793" s="2">
        <v>3</v>
      </c>
      <c r="L793" s="2" t="s">
        <v>35</v>
      </c>
      <c r="M793" s="2">
        <v>2</v>
      </c>
      <c r="N793" s="2">
        <v>5</v>
      </c>
      <c r="O793" s="2">
        <v>0.25</v>
      </c>
      <c r="P793" s="2" t="s">
        <v>36</v>
      </c>
      <c r="Q793" s="2" t="s">
        <v>37</v>
      </c>
      <c r="R793" s="2">
        <v>0</v>
      </c>
      <c r="S793" s="2">
        <v>10</v>
      </c>
      <c r="T793" s="2" t="s">
        <v>49</v>
      </c>
      <c r="U793" s="2" t="s">
        <v>79</v>
      </c>
      <c r="V793" s="2" t="s">
        <v>39</v>
      </c>
      <c r="W793" s="3">
        <v>45492</v>
      </c>
      <c r="X793" s="2" t="b">
        <v>0</v>
      </c>
      <c r="Y793" s="2" t="b">
        <v>0</v>
      </c>
      <c r="Z793" s="2" t="s">
        <v>62</v>
      </c>
      <c r="AA793" s="2" t="s">
        <v>53</v>
      </c>
      <c r="AB793" s="2">
        <v>3</v>
      </c>
      <c r="AC793" s="2">
        <f>SUMIF(N:N,Ecommerce_Consumer_Behavior_Analysis_Data3[[#This Row],[Brand_Loyalty]],M:M)</f>
        <v>582</v>
      </c>
      <c r="AD793" s="2" t="e" cm="1" vm="1">
        <f t="array" aca="1" ref="AD793" ca="1">SUMIFS(Y:Y,Ecommerce_Consumer_Behavior_Analysis_Data3[[#This Row],[Payment_Method]],V:V)</f>
        <v>#VALUE!</v>
      </c>
      <c r="AE793" s="2">
        <f t="shared" si="16"/>
        <v>426.22</v>
      </c>
    </row>
    <row r="794" spans="1:31" x14ac:dyDescent="0.25">
      <c r="A794" s="2" t="s">
        <v>1658</v>
      </c>
      <c r="B794" s="2">
        <v>47</v>
      </c>
      <c r="C794" s="2" t="s">
        <v>29</v>
      </c>
      <c r="D794" s="2" t="s">
        <v>44</v>
      </c>
      <c r="E794" s="2" t="s">
        <v>55</v>
      </c>
      <c r="F794" s="2" t="s">
        <v>45</v>
      </c>
      <c r="G794" s="2" t="s">
        <v>30</v>
      </c>
      <c r="H794" s="2" t="s">
        <v>311</v>
      </c>
      <c r="I794" s="2" t="s">
        <v>188</v>
      </c>
      <c r="J794" s="2">
        <v>363.91</v>
      </c>
      <c r="K794" s="2">
        <v>10</v>
      </c>
      <c r="L794" s="2" t="s">
        <v>78</v>
      </c>
      <c r="M794" s="2">
        <v>1</v>
      </c>
      <c r="N794" s="2">
        <v>1</v>
      </c>
      <c r="O794" s="2">
        <v>0.3</v>
      </c>
      <c r="P794" s="2" t="s">
        <v>49</v>
      </c>
      <c r="Q794" s="2" t="s">
        <v>85</v>
      </c>
      <c r="R794" s="2">
        <v>0</v>
      </c>
      <c r="S794" s="2">
        <v>2</v>
      </c>
      <c r="T794" s="2" t="s">
        <v>59</v>
      </c>
      <c r="U794" s="2" t="s">
        <v>60</v>
      </c>
      <c r="V794" s="2" t="s">
        <v>86</v>
      </c>
      <c r="W794" s="3">
        <v>45298</v>
      </c>
      <c r="X794" s="2" t="b">
        <v>1</v>
      </c>
      <c r="Y794" s="2" t="b">
        <v>1</v>
      </c>
      <c r="Z794" s="2" t="s">
        <v>74</v>
      </c>
      <c r="AA794" s="2" t="s">
        <v>53</v>
      </c>
      <c r="AB794" s="2">
        <v>9</v>
      </c>
      <c r="AC794" s="2">
        <f>SUMIF(N:N,Ecommerce_Consumer_Behavior_Analysis_Data3[[#This Row],[Brand_Loyalty]],M:M)</f>
        <v>603</v>
      </c>
      <c r="AD794" s="2" t="e" cm="1" vm="1">
        <f t="array" aca="1" ref="AD794" ca="1">SUMIFS(Y:Y,Ecommerce_Consumer_Behavior_Analysis_Data3[[#This Row],[Payment_Method]],V:V)</f>
        <v>#VALUE!</v>
      </c>
      <c r="AE794" s="2">
        <f t="shared" si="16"/>
        <v>333.8</v>
      </c>
    </row>
    <row r="795" spans="1:31" x14ac:dyDescent="0.25">
      <c r="A795" s="2" t="s">
        <v>1659</v>
      </c>
      <c r="B795" s="2">
        <v>39</v>
      </c>
      <c r="C795" s="2" t="s">
        <v>43</v>
      </c>
      <c r="D795" s="2" t="s">
        <v>30</v>
      </c>
      <c r="E795" s="2" t="s">
        <v>55</v>
      </c>
      <c r="F795" s="2" t="s">
        <v>45</v>
      </c>
      <c r="G795" s="2" t="s">
        <v>30</v>
      </c>
      <c r="H795" s="2" t="s">
        <v>1660</v>
      </c>
      <c r="I795" s="2" t="s">
        <v>194</v>
      </c>
      <c r="J795" s="2">
        <v>304.79000000000002</v>
      </c>
      <c r="K795" s="2">
        <v>12</v>
      </c>
      <c r="L795" s="2" t="s">
        <v>48</v>
      </c>
      <c r="M795" s="2">
        <v>2</v>
      </c>
      <c r="N795" s="2">
        <v>4</v>
      </c>
      <c r="O795" s="2">
        <v>2</v>
      </c>
      <c r="P795" s="2" t="s">
        <v>59</v>
      </c>
      <c r="Q795" s="2" t="s">
        <v>37</v>
      </c>
      <c r="R795" s="2">
        <v>1</v>
      </c>
      <c r="S795" s="2">
        <v>9</v>
      </c>
      <c r="T795" s="2" t="s">
        <v>44</v>
      </c>
      <c r="U795" s="2" t="s">
        <v>79</v>
      </c>
      <c r="V795" s="2" t="s">
        <v>66</v>
      </c>
      <c r="W795" s="3">
        <v>45298</v>
      </c>
      <c r="X795" s="2" t="b">
        <v>1</v>
      </c>
      <c r="Y795" s="2" t="b">
        <v>1</v>
      </c>
      <c r="Z795" s="2" t="s">
        <v>52</v>
      </c>
      <c r="AA795" s="2" t="s">
        <v>53</v>
      </c>
      <c r="AB795" s="2">
        <v>10</v>
      </c>
      <c r="AC795" s="2">
        <f>SUMIF(N:N,Ecommerce_Consumer_Behavior_Analysis_Data3[[#This Row],[Brand_Loyalty]],M:M)</f>
        <v>582</v>
      </c>
      <c r="AD795" s="2" t="e" cm="1" vm="1">
        <f t="array" aca="1" ref="AD795" ca="1">SUMIFS(Y:Y,Ecommerce_Consumer_Behavior_Analysis_Data3[[#This Row],[Payment_Method]],V:V)</f>
        <v>#VALUE!</v>
      </c>
      <c r="AE795" s="2">
        <f t="shared" si="16"/>
        <v>101.31</v>
      </c>
    </row>
    <row r="796" spans="1:31" x14ac:dyDescent="0.25">
      <c r="A796" s="2" t="s">
        <v>1661</v>
      </c>
      <c r="B796" s="2">
        <v>32</v>
      </c>
      <c r="C796" s="2" t="s">
        <v>43</v>
      </c>
      <c r="D796" s="2" t="s">
        <v>44</v>
      </c>
      <c r="E796" s="2" t="s">
        <v>76</v>
      </c>
      <c r="F796" s="2" t="s">
        <v>45</v>
      </c>
      <c r="G796" s="2" t="s">
        <v>30</v>
      </c>
      <c r="H796" s="2" t="s">
        <v>1662</v>
      </c>
      <c r="I796" s="2" t="s">
        <v>246</v>
      </c>
      <c r="J796" s="2">
        <v>363.98</v>
      </c>
      <c r="K796" s="2">
        <v>4</v>
      </c>
      <c r="L796" s="2" t="s">
        <v>78</v>
      </c>
      <c r="M796" s="2">
        <v>4</v>
      </c>
      <c r="N796" s="2">
        <v>4</v>
      </c>
      <c r="O796" s="2">
        <v>1</v>
      </c>
      <c r="P796" s="2" t="s">
        <v>36</v>
      </c>
      <c r="Q796" s="2" t="s">
        <v>37</v>
      </c>
      <c r="R796" s="2">
        <v>2</v>
      </c>
      <c r="S796" s="2">
        <v>7</v>
      </c>
      <c r="T796" s="2" t="s">
        <v>36</v>
      </c>
      <c r="U796" s="2" t="s">
        <v>38</v>
      </c>
      <c r="V796" s="2" t="s">
        <v>51</v>
      </c>
      <c r="W796" s="3">
        <v>45439</v>
      </c>
      <c r="X796" s="2" t="b">
        <v>1</v>
      </c>
      <c r="Y796" s="2" t="b">
        <v>1</v>
      </c>
      <c r="Z796" s="2" t="s">
        <v>74</v>
      </c>
      <c r="AA796" s="2" t="s">
        <v>67</v>
      </c>
      <c r="AB796" s="2">
        <v>1</v>
      </c>
      <c r="AC796" s="2">
        <f>SUMIF(N:N,Ecommerce_Consumer_Behavior_Analysis_Data3[[#This Row],[Brand_Loyalty]],M:M)</f>
        <v>603</v>
      </c>
      <c r="AD796" s="2" t="e" cm="1" vm="1">
        <f t="array" aca="1" ref="AD796" ca="1">SUMIFS(Y:Y,Ecommerce_Consumer_Behavior_Analysis_Data3[[#This Row],[Payment_Method]],V:V)</f>
        <v>#VALUE!</v>
      </c>
      <c r="AE796" s="2">
        <f t="shared" si="16"/>
        <v>101.31</v>
      </c>
    </row>
    <row r="797" spans="1:31" x14ac:dyDescent="0.25">
      <c r="A797" s="2" t="s">
        <v>1663</v>
      </c>
      <c r="B797" s="2">
        <v>47</v>
      </c>
      <c r="C797" s="2" t="s">
        <v>43</v>
      </c>
      <c r="D797" s="2" t="s">
        <v>30</v>
      </c>
      <c r="E797" s="2" t="s">
        <v>69</v>
      </c>
      <c r="F797" s="2" t="s">
        <v>32</v>
      </c>
      <c r="G797" s="2" t="s">
        <v>44</v>
      </c>
      <c r="H797" s="2" t="s">
        <v>1664</v>
      </c>
      <c r="I797" s="2" t="s">
        <v>82</v>
      </c>
      <c r="J797" s="2">
        <v>249.6</v>
      </c>
      <c r="K797" s="2">
        <v>7</v>
      </c>
      <c r="L797" s="2" t="s">
        <v>35</v>
      </c>
      <c r="M797" s="2">
        <v>4</v>
      </c>
      <c r="N797" s="2">
        <v>1</v>
      </c>
      <c r="O797" s="2">
        <v>1</v>
      </c>
      <c r="P797" s="2" t="s">
        <v>59</v>
      </c>
      <c r="Q797" s="2" t="s">
        <v>37</v>
      </c>
      <c r="R797" s="2">
        <v>2</v>
      </c>
      <c r="S797" s="2">
        <v>7</v>
      </c>
      <c r="T797" s="2" t="s">
        <v>44</v>
      </c>
      <c r="U797" s="2" t="s">
        <v>60</v>
      </c>
      <c r="V797" s="2" t="s">
        <v>61</v>
      </c>
      <c r="W797" s="3">
        <v>45423</v>
      </c>
      <c r="X797" s="2" t="b">
        <v>1</v>
      </c>
      <c r="Y797" s="2" t="b">
        <v>0</v>
      </c>
      <c r="Z797" s="2" t="s">
        <v>52</v>
      </c>
      <c r="AA797" s="2" t="s">
        <v>53</v>
      </c>
      <c r="AB797" s="2">
        <v>11</v>
      </c>
      <c r="AC797" s="2">
        <f>SUMIF(N:N,Ecommerce_Consumer_Behavior_Analysis_Data3[[#This Row],[Brand_Loyalty]],M:M)</f>
        <v>603</v>
      </c>
      <c r="AD797" s="2" t="e" cm="1" vm="1">
        <f t="array" aca="1" ref="AD797" ca="1">SUMIFS(Y:Y,Ecommerce_Consumer_Behavior_Analysis_Data3[[#This Row],[Payment_Method]],V:V)</f>
        <v>#VALUE!</v>
      </c>
      <c r="AE797" s="2">
        <f t="shared" si="16"/>
        <v>101.31</v>
      </c>
    </row>
    <row r="798" spans="1:31" x14ac:dyDescent="0.25">
      <c r="A798" s="2" t="s">
        <v>1665</v>
      </c>
      <c r="B798" s="2">
        <v>19</v>
      </c>
      <c r="C798" s="2" t="s">
        <v>43</v>
      </c>
      <c r="D798" s="2" t="s">
        <v>44</v>
      </c>
      <c r="E798" s="2" t="s">
        <v>31</v>
      </c>
      <c r="F798" s="2" t="s">
        <v>32</v>
      </c>
      <c r="G798" s="2" t="s">
        <v>30</v>
      </c>
      <c r="H798" s="2" t="s">
        <v>1666</v>
      </c>
      <c r="I798" s="2" t="s">
        <v>117</v>
      </c>
      <c r="J798" s="2">
        <v>345.04</v>
      </c>
      <c r="K798" s="2">
        <v>12</v>
      </c>
      <c r="L798" s="2" t="s">
        <v>48</v>
      </c>
      <c r="M798" s="2">
        <v>1</v>
      </c>
      <c r="N798" s="2">
        <v>5</v>
      </c>
      <c r="O798" s="2">
        <v>1</v>
      </c>
      <c r="P798" s="2" t="s">
        <v>59</v>
      </c>
      <c r="Q798" s="2" t="s">
        <v>37</v>
      </c>
      <c r="R798" s="2">
        <v>0</v>
      </c>
      <c r="S798" s="2">
        <v>8</v>
      </c>
      <c r="T798" s="2" t="s">
        <v>49</v>
      </c>
      <c r="U798" s="2" t="s">
        <v>38</v>
      </c>
      <c r="V798" s="2" t="s">
        <v>39</v>
      </c>
      <c r="W798" s="3">
        <v>45581</v>
      </c>
      <c r="X798" s="2" t="b">
        <v>1</v>
      </c>
      <c r="Y798" s="2" t="b">
        <v>1</v>
      </c>
      <c r="Z798" s="2" t="s">
        <v>74</v>
      </c>
      <c r="AA798" s="2" t="s">
        <v>67</v>
      </c>
      <c r="AB798" s="2">
        <v>13</v>
      </c>
      <c r="AC798" s="2">
        <f>SUMIF(N:N,Ecommerce_Consumer_Behavior_Analysis_Data3[[#This Row],[Brand_Loyalty]],M:M)</f>
        <v>603</v>
      </c>
      <c r="AD798" s="2" t="e" cm="1" vm="1">
        <f t="array" aca="1" ref="AD798" ca="1">SUMIFS(Y:Y,Ecommerce_Consumer_Behavior_Analysis_Data3[[#This Row],[Payment_Method]],V:V)</f>
        <v>#VALUE!</v>
      </c>
      <c r="AE798" s="2">
        <f t="shared" si="16"/>
        <v>101.31</v>
      </c>
    </row>
    <row r="799" spans="1:31" x14ac:dyDescent="0.25">
      <c r="A799" s="2" t="s">
        <v>1667</v>
      </c>
      <c r="B799" s="2">
        <v>48</v>
      </c>
      <c r="C799" s="2" t="s">
        <v>29</v>
      </c>
      <c r="D799" s="2" t="s">
        <v>30</v>
      </c>
      <c r="E799" s="2" t="s">
        <v>55</v>
      </c>
      <c r="F799" s="2" t="s">
        <v>45</v>
      </c>
      <c r="G799" s="2" t="s">
        <v>44</v>
      </c>
      <c r="H799" s="2" t="s">
        <v>1668</v>
      </c>
      <c r="I799" s="2" t="s">
        <v>135</v>
      </c>
      <c r="J799" s="2">
        <v>59.15</v>
      </c>
      <c r="K799" s="2">
        <v>3</v>
      </c>
      <c r="L799" s="2" t="s">
        <v>48</v>
      </c>
      <c r="M799" s="2">
        <v>4</v>
      </c>
      <c r="N799" s="2">
        <v>2</v>
      </c>
      <c r="O799" s="2">
        <v>1</v>
      </c>
      <c r="P799" s="2" t="s">
        <v>36</v>
      </c>
      <c r="Q799" s="2" t="s">
        <v>50</v>
      </c>
      <c r="R799" s="2">
        <v>0</v>
      </c>
      <c r="S799" s="2">
        <v>1</v>
      </c>
      <c r="T799" s="2" t="s">
        <v>44</v>
      </c>
      <c r="U799" s="2" t="s">
        <v>79</v>
      </c>
      <c r="V799" s="2" t="s">
        <v>61</v>
      </c>
      <c r="W799" s="3">
        <v>45401</v>
      </c>
      <c r="X799" s="2" t="b">
        <v>0</v>
      </c>
      <c r="Y799" s="2" t="b">
        <v>0</v>
      </c>
      <c r="Z799" s="2" t="s">
        <v>40</v>
      </c>
      <c r="AA799" s="2" t="s">
        <v>53</v>
      </c>
      <c r="AB799" s="2">
        <v>8</v>
      </c>
      <c r="AC799" s="2">
        <f>SUMIF(N:N,Ecommerce_Consumer_Behavior_Analysis_Data3[[#This Row],[Brand_Loyalty]],M:M)</f>
        <v>603</v>
      </c>
      <c r="AD799" s="2" t="e" cm="1" vm="1">
        <f t="array" aca="1" ref="AD799" ca="1">SUMIFS(Y:Y,Ecommerce_Consumer_Behavior_Analysis_Data3[[#This Row],[Payment_Method]],V:V)</f>
        <v>#VALUE!</v>
      </c>
      <c r="AE799" s="2">
        <f t="shared" si="16"/>
        <v>211.7</v>
      </c>
    </row>
    <row r="800" spans="1:31" x14ac:dyDescent="0.25">
      <c r="A800" s="2" t="s">
        <v>1669</v>
      </c>
      <c r="B800" s="2">
        <v>27</v>
      </c>
      <c r="C800" s="2" t="s">
        <v>43</v>
      </c>
      <c r="D800" s="2" t="s">
        <v>44</v>
      </c>
      <c r="E800" s="2" t="s">
        <v>55</v>
      </c>
      <c r="F800" s="2" t="s">
        <v>56</v>
      </c>
      <c r="G800" s="2" t="s">
        <v>44</v>
      </c>
      <c r="H800" s="2" t="s">
        <v>1670</v>
      </c>
      <c r="I800" s="2" t="s">
        <v>65</v>
      </c>
      <c r="J800" s="2">
        <v>461.81</v>
      </c>
      <c r="K800" s="2">
        <v>12</v>
      </c>
      <c r="L800" s="2" t="s">
        <v>35</v>
      </c>
      <c r="M800" s="2">
        <v>4</v>
      </c>
      <c r="N800" s="2">
        <v>3</v>
      </c>
      <c r="O800" s="2">
        <v>0</v>
      </c>
      <c r="P800" s="2" t="s">
        <v>49</v>
      </c>
      <c r="Q800" s="2" t="s">
        <v>85</v>
      </c>
      <c r="R800" s="2">
        <v>0</v>
      </c>
      <c r="S800" s="2">
        <v>8</v>
      </c>
      <c r="T800" s="2" t="s">
        <v>59</v>
      </c>
      <c r="U800" s="2" t="s">
        <v>79</v>
      </c>
      <c r="V800" s="2" t="s">
        <v>66</v>
      </c>
      <c r="W800" s="3">
        <v>45450</v>
      </c>
      <c r="X800" s="2" t="b">
        <v>1</v>
      </c>
      <c r="Y800" s="2" t="b">
        <v>0</v>
      </c>
      <c r="Z800" s="2" t="s">
        <v>52</v>
      </c>
      <c r="AA800" s="2" t="s">
        <v>41</v>
      </c>
      <c r="AB800" s="2">
        <v>8</v>
      </c>
      <c r="AC800" s="2">
        <f>SUMIF(N:N,Ecommerce_Consumer_Behavior_Analysis_Data3[[#This Row],[Brand_Loyalty]],M:M)</f>
        <v>603</v>
      </c>
      <c r="AD800" s="2" t="e" cm="1" vm="1">
        <f t="array" aca="1" ref="AD800" ca="1">SUMIFS(Y:Y,Ecommerce_Consumer_Behavior_Analysis_Data3[[#This Row],[Payment_Method]],V:V)</f>
        <v>#VALUE!</v>
      </c>
      <c r="AE800" s="2">
        <f t="shared" si="16"/>
        <v>101.31</v>
      </c>
    </row>
    <row r="801" spans="1:31" x14ac:dyDescent="0.25">
      <c r="A801" s="2" t="s">
        <v>1671</v>
      </c>
      <c r="B801" s="2">
        <v>31</v>
      </c>
      <c r="C801" s="2" t="s">
        <v>29</v>
      </c>
      <c r="D801" s="2" t="s">
        <v>44</v>
      </c>
      <c r="E801" s="2" t="s">
        <v>76</v>
      </c>
      <c r="F801" s="2" t="s">
        <v>32</v>
      </c>
      <c r="G801" s="2" t="s">
        <v>44</v>
      </c>
      <c r="H801" s="2" t="s">
        <v>1672</v>
      </c>
      <c r="I801" s="2" t="s">
        <v>104</v>
      </c>
      <c r="J801" s="2">
        <v>280.88</v>
      </c>
      <c r="K801" s="2">
        <v>4</v>
      </c>
      <c r="L801" s="2" t="s">
        <v>35</v>
      </c>
      <c r="M801" s="2">
        <v>3</v>
      </c>
      <c r="N801" s="2">
        <v>4</v>
      </c>
      <c r="O801" s="2">
        <v>1</v>
      </c>
      <c r="P801" s="2" t="s">
        <v>44</v>
      </c>
      <c r="Q801" s="2" t="s">
        <v>50</v>
      </c>
      <c r="R801" s="2">
        <v>0</v>
      </c>
      <c r="S801" s="2">
        <v>2</v>
      </c>
      <c r="T801" s="2" t="s">
        <v>44</v>
      </c>
      <c r="U801" s="2" t="s">
        <v>60</v>
      </c>
      <c r="V801" s="2" t="s">
        <v>39</v>
      </c>
      <c r="W801" s="3">
        <v>45417</v>
      </c>
      <c r="X801" s="2" t="b">
        <v>1</v>
      </c>
      <c r="Y801" s="2" t="b">
        <v>1</v>
      </c>
      <c r="Z801" s="2" t="s">
        <v>74</v>
      </c>
      <c r="AA801" s="2" t="s">
        <v>41</v>
      </c>
      <c r="AB801" s="2">
        <v>2</v>
      </c>
      <c r="AC801" s="2">
        <f>SUMIF(N:N,Ecommerce_Consumer_Behavior_Analysis_Data3[[#This Row],[Brand_Loyalty]],M:M)</f>
        <v>597</v>
      </c>
      <c r="AD801" s="2" t="e" cm="1" vm="1">
        <f t="array" aca="1" ref="AD801" ca="1">SUMIFS(Y:Y,Ecommerce_Consumer_Behavior_Analysis_Data3[[#This Row],[Payment_Method]],V:V)</f>
        <v>#VALUE!</v>
      </c>
      <c r="AE801" s="2">
        <f t="shared" si="16"/>
        <v>101.31</v>
      </c>
    </row>
    <row r="802" spans="1:31" x14ac:dyDescent="0.25">
      <c r="A802" s="2" t="s">
        <v>1673</v>
      </c>
      <c r="B802" s="2">
        <v>44</v>
      </c>
      <c r="C802" s="2" t="s">
        <v>43</v>
      </c>
      <c r="D802" s="2" t="s">
        <v>30</v>
      </c>
      <c r="E802" s="2" t="s">
        <v>31</v>
      </c>
      <c r="F802" s="2" t="s">
        <v>56</v>
      </c>
      <c r="G802" s="2" t="s">
        <v>30</v>
      </c>
      <c r="H802" s="2" t="s">
        <v>1674</v>
      </c>
      <c r="I802" s="2" t="s">
        <v>98</v>
      </c>
      <c r="J802" s="2">
        <v>283.7</v>
      </c>
      <c r="K802" s="2">
        <v>8</v>
      </c>
      <c r="L802" s="2" t="s">
        <v>35</v>
      </c>
      <c r="M802" s="2">
        <v>2</v>
      </c>
      <c r="N802" s="2">
        <v>5</v>
      </c>
      <c r="O802" s="2">
        <v>1</v>
      </c>
      <c r="P802" s="2" t="s">
        <v>49</v>
      </c>
      <c r="Q802" s="2" t="s">
        <v>50</v>
      </c>
      <c r="R802" s="2">
        <v>1</v>
      </c>
      <c r="S802" s="2">
        <v>3</v>
      </c>
      <c r="T802" s="2" t="s">
        <v>59</v>
      </c>
      <c r="U802" s="2" t="s">
        <v>60</v>
      </c>
      <c r="V802" s="2" t="s">
        <v>86</v>
      </c>
      <c r="W802" s="3">
        <v>45351</v>
      </c>
      <c r="X802" s="2" t="b">
        <v>0</v>
      </c>
      <c r="Y802" s="2" t="b">
        <v>0</v>
      </c>
      <c r="Z802" s="2" t="s">
        <v>62</v>
      </c>
      <c r="AA802" s="2" t="s">
        <v>67</v>
      </c>
      <c r="AB802" s="2">
        <v>8</v>
      </c>
      <c r="AC802" s="2">
        <f>SUMIF(N:N,Ecommerce_Consumer_Behavior_Analysis_Data3[[#This Row],[Brand_Loyalty]],M:M)</f>
        <v>582</v>
      </c>
      <c r="AD802" s="2" t="e" cm="1" vm="1">
        <f t="array" aca="1" ref="AD802" ca="1">SUMIFS(Y:Y,Ecommerce_Consumer_Behavior_Analysis_Data3[[#This Row],[Payment_Method]],V:V)</f>
        <v>#VALUE!</v>
      </c>
      <c r="AE802" s="2">
        <f t="shared" si="16"/>
        <v>101.31</v>
      </c>
    </row>
    <row r="803" spans="1:31" x14ac:dyDescent="0.25">
      <c r="A803" s="2" t="s">
        <v>1675</v>
      </c>
      <c r="B803" s="2">
        <v>24</v>
      </c>
      <c r="C803" s="2" t="s">
        <v>29</v>
      </c>
      <c r="D803" s="2" t="s">
        <v>44</v>
      </c>
      <c r="E803" s="2" t="s">
        <v>69</v>
      </c>
      <c r="F803" s="2" t="s">
        <v>45</v>
      </c>
      <c r="G803" s="2" t="s">
        <v>30</v>
      </c>
      <c r="H803" s="2" t="s">
        <v>1676</v>
      </c>
      <c r="I803" s="2" t="s">
        <v>98</v>
      </c>
      <c r="J803" s="2">
        <v>411.95</v>
      </c>
      <c r="K803" s="2">
        <v>10</v>
      </c>
      <c r="L803" s="2" t="s">
        <v>48</v>
      </c>
      <c r="M803" s="2">
        <v>5</v>
      </c>
      <c r="N803" s="2">
        <v>3</v>
      </c>
      <c r="O803" s="2">
        <v>1</v>
      </c>
      <c r="P803" s="2" t="s">
        <v>36</v>
      </c>
      <c r="Q803" s="2" t="s">
        <v>50</v>
      </c>
      <c r="R803" s="2">
        <v>0</v>
      </c>
      <c r="S803" s="2">
        <v>4</v>
      </c>
      <c r="T803" s="2" t="s">
        <v>36</v>
      </c>
      <c r="U803" s="2" t="s">
        <v>60</v>
      </c>
      <c r="V803" s="2" t="s">
        <v>51</v>
      </c>
      <c r="W803" s="3">
        <v>45644</v>
      </c>
      <c r="X803" s="2" t="b">
        <v>1</v>
      </c>
      <c r="Y803" s="2" t="b">
        <v>1</v>
      </c>
      <c r="Z803" s="2" t="s">
        <v>62</v>
      </c>
      <c r="AA803" s="2" t="s">
        <v>53</v>
      </c>
      <c r="AB803" s="2">
        <v>5</v>
      </c>
      <c r="AC803" s="2">
        <f>SUMIF(N:N,Ecommerce_Consumer_Behavior_Analysis_Data3[[#This Row],[Brand_Loyalty]],M:M)</f>
        <v>641</v>
      </c>
      <c r="AD803" s="2" t="e" cm="1" vm="1">
        <f t="array" aca="1" ref="AD803" ca="1">SUMIFS(Y:Y,Ecommerce_Consumer_Behavior_Analysis_Data3[[#This Row],[Payment_Method]],V:V)</f>
        <v>#VALUE!</v>
      </c>
      <c r="AE803" s="2">
        <f t="shared" si="16"/>
        <v>101.31</v>
      </c>
    </row>
    <row r="804" spans="1:31" x14ac:dyDescent="0.25">
      <c r="A804" s="2" t="s">
        <v>1677</v>
      </c>
      <c r="B804" s="2">
        <v>32</v>
      </c>
      <c r="C804" s="2" t="s">
        <v>29</v>
      </c>
      <c r="D804" s="2" t="s">
        <v>30</v>
      </c>
      <c r="E804" s="2" t="s">
        <v>69</v>
      </c>
      <c r="F804" s="2" t="s">
        <v>56</v>
      </c>
      <c r="G804" s="2" t="s">
        <v>30</v>
      </c>
      <c r="H804" s="2" t="s">
        <v>1678</v>
      </c>
      <c r="I804" s="2" t="s">
        <v>34</v>
      </c>
      <c r="J804" s="2">
        <v>476.11</v>
      </c>
      <c r="K804" s="2">
        <v>5</v>
      </c>
      <c r="L804" s="2" t="s">
        <v>48</v>
      </c>
      <c r="M804" s="2">
        <v>1</v>
      </c>
      <c r="N804" s="2">
        <v>4</v>
      </c>
      <c r="O804" s="2">
        <v>1</v>
      </c>
      <c r="P804" s="2" t="s">
        <v>36</v>
      </c>
      <c r="Q804" s="2" t="s">
        <v>85</v>
      </c>
      <c r="R804" s="2">
        <v>2</v>
      </c>
      <c r="S804" s="2">
        <v>10</v>
      </c>
      <c r="T804" s="2" t="s">
        <v>44</v>
      </c>
      <c r="U804" s="2" t="s">
        <v>79</v>
      </c>
      <c r="V804" s="2" t="s">
        <v>61</v>
      </c>
      <c r="W804" s="3">
        <v>45594</v>
      </c>
      <c r="X804" s="2" t="b">
        <v>1</v>
      </c>
      <c r="Y804" s="2" t="b">
        <v>0</v>
      </c>
      <c r="Z804" s="2" t="s">
        <v>52</v>
      </c>
      <c r="AA804" s="2" t="s">
        <v>53</v>
      </c>
      <c r="AB804" s="2">
        <v>1</v>
      </c>
      <c r="AC804" s="2">
        <f>SUMIF(N:N,Ecommerce_Consumer_Behavior_Analysis_Data3[[#This Row],[Brand_Loyalty]],M:M)</f>
        <v>603</v>
      </c>
      <c r="AD804" s="2" t="e" cm="1" vm="1">
        <f t="array" aca="1" ref="AD804" ca="1">SUMIFS(Y:Y,Ecommerce_Consumer_Behavior_Analysis_Data3[[#This Row],[Payment_Method]],V:V)</f>
        <v>#VALUE!</v>
      </c>
      <c r="AE804" s="2">
        <f t="shared" si="16"/>
        <v>101.31</v>
      </c>
    </row>
    <row r="805" spans="1:31" x14ac:dyDescent="0.25">
      <c r="A805" s="2" t="s">
        <v>1679</v>
      </c>
      <c r="B805" s="2">
        <v>28</v>
      </c>
      <c r="C805" s="2" t="s">
        <v>29</v>
      </c>
      <c r="D805" s="2" t="s">
        <v>30</v>
      </c>
      <c r="E805" s="2" t="s">
        <v>31</v>
      </c>
      <c r="F805" s="2" t="s">
        <v>56</v>
      </c>
      <c r="G805" s="2" t="s">
        <v>44</v>
      </c>
      <c r="H805" s="2" t="s">
        <v>1680</v>
      </c>
      <c r="I805" s="2" t="s">
        <v>34</v>
      </c>
      <c r="J805" s="2">
        <v>399.24</v>
      </c>
      <c r="K805" s="2">
        <v>7</v>
      </c>
      <c r="L805" s="2" t="s">
        <v>48</v>
      </c>
      <c r="M805" s="2">
        <v>4</v>
      </c>
      <c r="N805" s="2">
        <v>2</v>
      </c>
      <c r="O805" s="2">
        <v>1</v>
      </c>
      <c r="P805" s="2" t="s">
        <v>49</v>
      </c>
      <c r="Q805" s="2" t="s">
        <v>85</v>
      </c>
      <c r="R805" s="2">
        <v>1</v>
      </c>
      <c r="S805" s="2">
        <v>2</v>
      </c>
      <c r="T805" s="2" t="s">
        <v>49</v>
      </c>
      <c r="U805" s="2" t="s">
        <v>60</v>
      </c>
      <c r="V805" s="2" t="s">
        <v>61</v>
      </c>
      <c r="W805" s="3">
        <v>45464</v>
      </c>
      <c r="X805" s="2" t="b">
        <v>0</v>
      </c>
      <c r="Y805" s="2" t="b">
        <v>0</v>
      </c>
      <c r="Z805" s="2" t="s">
        <v>40</v>
      </c>
      <c r="AA805" s="2" t="s">
        <v>53</v>
      </c>
      <c r="AB805" s="2">
        <v>10</v>
      </c>
      <c r="AC805" s="2">
        <f>SUMIF(N:N,Ecommerce_Consumer_Behavior_Analysis_Data3[[#This Row],[Brand_Loyalty]],M:M)</f>
        <v>603</v>
      </c>
      <c r="AD805" s="2" t="e" cm="1" vm="1">
        <f t="array" aca="1" ref="AD805" ca="1">SUMIFS(Y:Y,Ecommerce_Consumer_Behavior_Analysis_Data3[[#This Row],[Payment_Method]],V:V)</f>
        <v>#VALUE!</v>
      </c>
      <c r="AE805" s="2">
        <f t="shared" si="16"/>
        <v>333.8</v>
      </c>
    </row>
    <row r="806" spans="1:31" x14ac:dyDescent="0.25">
      <c r="A806" s="2" t="s">
        <v>1681</v>
      </c>
      <c r="B806" s="2">
        <v>26</v>
      </c>
      <c r="C806" s="2" t="s">
        <v>43</v>
      </c>
      <c r="D806" s="2" t="s">
        <v>30</v>
      </c>
      <c r="E806" s="2" t="s">
        <v>76</v>
      </c>
      <c r="F806" s="2" t="s">
        <v>56</v>
      </c>
      <c r="G806" s="2" t="s">
        <v>30</v>
      </c>
      <c r="H806" s="2" t="s">
        <v>1682</v>
      </c>
      <c r="I806" s="2" t="s">
        <v>246</v>
      </c>
      <c r="J806" s="2">
        <v>90.79</v>
      </c>
      <c r="K806" s="2">
        <v>12</v>
      </c>
      <c r="L806" s="2" t="s">
        <v>48</v>
      </c>
      <c r="M806" s="2">
        <v>4</v>
      </c>
      <c r="N806" s="2">
        <v>1</v>
      </c>
      <c r="O806" s="2">
        <v>2</v>
      </c>
      <c r="P806" s="2" t="s">
        <v>49</v>
      </c>
      <c r="Q806" s="2" t="s">
        <v>37</v>
      </c>
      <c r="R806" s="2">
        <v>0</v>
      </c>
      <c r="S806" s="2">
        <v>2</v>
      </c>
      <c r="T806" s="2" t="s">
        <v>49</v>
      </c>
      <c r="U806" s="2" t="s">
        <v>38</v>
      </c>
      <c r="V806" s="2" t="s">
        <v>66</v>
      </c>
      <c r="W806" s="3">
        <v>45551</v>
      </c>
      <c r="X806" s="2" t="b">
        <v>0</v>
      </c>
      <c r="Y806" s="2" t="b">
        <v>0</v>
      </c>
      <c r="Z806" s="2" t="s">
        <v>74</v>
      </c>
      <c r="AA806" s="2" t="s">
        <v>41</v>
      </c>
      <c r="AB806" s="2">
        <v>6</v>
      </c>
      <c r="AC806" s="2">
        <f>SUMIF(N:N,Ecommerce_Consumer_Behavior_Analysis_Data3[[#This Row],[Brand_Loyalty]],M:M)</f>
        <v>603</v>
      </c>
      <c r="AD806" s="2" t="e" cm="1" vm="1">
        <f t="array" aca="1" ref="AD806" ca="1">SUMIFS(Y:Y,Ecommerce_Consumer_Behavior_Analysis_Data3[[#This Row],[Payment_Method]],V:V)</f>
        <v>#VALUE!</v>
      </c>
      <c r="AE806" s="2">
        <f t="shared" si="16"/>
        <v>101.31</v>
      </c>
    </row>
    <row r="807" spans="1:31" x14ac:dyDescent="0.25">
      <c r="A807" s="2" t="s">
        <v>1683</v>
      </c>
      <c r="B807" s="2">
        <v>38</v>
      </c>
      <c r="C807" s="2" t="s">
        <v>29</v>
      </c>
      <c r="D807" s="2" t="s">
        <v>30</v>
      </c>
      <c r="E807" s="2" t="s">
        <v>31</v>
      </c>
      <c r="F807" s="2" t="s">
        <v>56</v>
      </c>
      <c r="G807" s="2" t="s">
        <v>30</v>
      </c>
      <c r="H807" s="2" t="s">
        <v>1684</v>
      </c>
      <c r="I807" s="2" t="s">
        <v>101</v>
      </c>
      <c r="J807" s="2">
        <v>229.56</v>
      </c>
      <c r="K807" s="2">
        <v>9</v>
      </c>
      <c r="L807" s="2" t="s">
        <v>78</v>
      </c>
      <c r="M807" s="2">
        <v>1</v>
      </c>
      <c r="N807" s="2">
        <v>2</v>
      </c>
      <c r="O807" s="2">
        <v>1</v>
      </c>
      <c r="P807" s="2" t="s">
        <v>36</v>
      </c>
      <c r="Q807" s="2" t="s">
        <v>37</v>
      </c>
      <c r="R807" s="2">
        <v>0</v>
      </c>
      <c r="S807" s="2">
        <v>9</v>
      </c>
      <c r="T807" s="2" t="s">
        <v>59</v>
      </c>
      <c r="U807" s="2" t="s">
        <v>38</v>
      </c>
      <c r="V807" s="2" t="s">
        <v>51</v>
      </c>
      <c r="W807" s="3">
        <v>45305</v>
      </c>
      <c r="X807" s="2" t="b">
        <v>1</v>
      </c>
      <c r="Y807" s="2" t="b">
        <v>1</v>
      </c>
      <c r="Z807" s="2" t="s">
        <v>40</v>
      </c>
      <c r="AA807" s="2" t="s">
        <v>41</v>
      </c>
      <c r="AB807" s="2">
        <v>11</v>
      </c>
      <c r="AC807" s="2">
        <f>SUMIF(N:N,Ecommerce_Consumer_Behavior_Analysis_Data3[[#This Row],[Brand_Loyalty]],M:M)</f>
        <v>603</v>
      </c>
      <c r="AD807" s="2" t="e" cm="1" vm="1">
        <f t="array" aca="1" ref="AD807" ca="1">SUMIFS(Y:Y,Ecommerce_Consumer_Behavior_Analysis_Data3[[#This Row],[Payment_Method]],V:V)</f>
        <v>#VALUE!</v>
      </c>
      <c r="AE807" s="2">
        <f t="shared" si="16"/>
        <v>211.7</v>
      </c>
    </row>
    <row r="808" spans="1:31" x14ac:dyDescent="0.25">
      <c r="A808" s="2" t="s">
        <v>1685</v>
      </c>
      <c r="B808" s="2">
        <v>28</v>
      </c>
      <c r="C808" s="2" t="s">
        <v>29</v>
      </c>
      <c r="D808" s="2" t="s">
        <v>30</v>
      </c>
      <c r="E808" s="2" t="s">
        <v>76</v>
      </c>
      <c r="F808" s="2" t="s">
        <v>45</v>
      </c>
      <c r="G808" s="2" t="s">
        <v>30</v>
      </c>
      <c r="H808" s="2" t="s">
        <v>1686</v>
      </c>
      <c r="I808" s="2" t="s">
        <v>90</v>
      </c>
      <c r="J808" s="2">
        <v>160.47</v>
      </c>
      <c r="K808" s="2">
        <v>7</v>
      </c>
      <c r="L808" s="2" t="s">
        <v>35</v>
      </c>
      <c r="M808" s="2">
        <v>1</v>
      </c>
      <c r="N808" s="2">
        <v>5</v>
      </c>
      <c r="O808" s="2">
        <v>0</v>
      </c>
      <c r="P808" s="2" t="s">
        <v>36</v>
      </c>
      <c r="Q808" s="2" t="s">
        <v>50</v>
      </c>
      <c r="R808" s="2">
        <v>0</v>
      </c>
      <c r="S808" s="2">
        <v>3</v>
      </c>
      <c r="T808" s="2" t="s">
        <v>36</v>
      </c>
      <c r="U808" s="2" t="s">
        <v>60</v>
      </c>
      <c r="V808" s="2" t="s">
        <v>61</v>
      </c>
      <c r="W808" s="3">
        <v>45368</v>
      </c>
      <c r="X808" s="2" t="b">
        <v>1</v>
      </c>
      <c r="Y808" s="2" t="b">
        <v>0</v>
      </c>
      <c r="Z808" s="2" t="s">
        <v>52</v>
      </c>
      <c r="AA808" s="2" t="s">
        <v>41</v>
      </c>
      <c r="AB808" s="2">
        <v>6</v>
      </c>
      <c r="AC808" s="2">
        <f>SUMIF(N:N,Ecommerce_Consumer_Behavior_Analysis_Data3[[#This Row],[Brand_Loyalty]],M:M)</f>
        <v>603</v>
      </c>
      <c r="AD808" s="2" t="e" cm="1" vm="1">
        <f t="array" aca="1" ref="AD808" ca="1">SUMIFS(Y:Y,Ecommerce_Consumer_Behavior_Analysis_Data3[[#This Row],[Payment_Method]],V:V)</f>
        <v>#VALUE!</v>
      </c>
      <c r="AE808" s="2">
        <f t="shared" si="16"/>
        <v>333.8</v>
      </c>
    </row>
    <row r="809" spans="1:31" x14ac:dyDescent="0.25">
      <c r="A809" s="2" t="s">
        <v>1687</v>
      </c>
      <c r="B809" s="2">
        <v>30</v>
      </c>
      <c r="C809" s="2" t="s">
        <v>352</v>
      </c>
      <c r="D809" s="2" t="s">
        <v>44</v>
      </c>
      <c r="E809" s="2" t="s">
        <v>31</v>
      </c>
      <c r="F809" s="2" t="s">
        <v>45</v>
      </c>
      <c r="G809" s="2" t="s">
        <v>44</v>
      </c>
      <c r="H809" s="2" t="s">
        <v>1688</v>
      </c>
      <c r="I809" s="2" t="s">
        <v>120</v>
      </c>
      <c r="J809" s="2">
        <v>104.74</v>
      </c>
      <c r="K809" s="2">
        <v>6</v>
      </c>
      <c r="L809" s="2" t="s">
        <v>78</v>
      </c>
      <c r="M809" s="2">
        <v>2</v>
      </c>
      <c r="N809" s="2">
        <v>4</v>
      </c>
      <c r="O809" s="2">
        <v>2</v>
      </c>
      <c r="P809" s="2" t="s">
        <v>36</v>
      </c>
      <c r="Q809" s="2" t="s">
        <v>85</v>
      </c>
      <c r="R809" s="2">
        <v>0</v>
      </c>
      <c r="S809" s="2">
        <v>4</v>
      </c>
      <c r="T809" s="2" t="s">
        <v>59</v>
      </c>
      <c r="U809" s="2" t="s">
        <v>60</v>
      </c>
      <c r="V809" s="2" t="s">
        <v>51</v>
      </c>
      <c r="W809" s="3">
        <v>45557</v>
      </c>
      <c r="X809" s="2" t="b">
        <v>0</v>
      </c>
      <c r="Y809" s="2" t="b">
        <v>0</v>
      </c>
      <c r="Z809" s="2" t="s">
        <v>62</v>
      </c>
      <c r="AA809" s="2" t="s">
        <v>41</v>
      </c>
      <c r="AB809" s="2">
        <v>1</v>
      </c>
      <c r="AC809" s="2">
        <f>SUMIF(N:N,Ecommerce_Consumer_Behavior_Analysis_Data3[[#This Row],[Brand_Loyalty]],M:M)</f>
        <v>582</v>
      </c>
      <c r="AD809" s="2" t="e" cm="1" vm="1">
        <f t="array" aca="1" ref="AD809" ca="1">SUMIFS(Y:Y,Ecommerce_Consumer_Behavior_Analysis_Data3[[#This Row],[Payment_Method]],V:V)</f>
        <v>#VALUE!</v>
      </c>
      <c r="AE809" s="2">
        <f t="shared" si="16"/>
        <v>211.7</v>
      </c>
    </row>
    <row r="810" spans="1:31" x14ac:dyDescent="0.25">
      <c r="A810" s="2" t="s">
        <v>1689</v>
      </c>
      <c r="B810" s="2">
        <v>37</v>
      </c>
      <c r="C810" s="2" t="s">
        <v>29</v>
      </c>
      <c r="D810" s="2" t="s">
        <v>44</v>
      </c>
      <c r="E810" s="2" t="s">
        <v>69</v>
      </c>
      <c r="F810" s="2" t="s">
        <v>56</v>
      </c>
      <c r="G810" s="2" t="s">
        <v>30</v>
      </c>
      <c r="H810" s="2" t="s">
        <v>1690</v>
      </c>
      <c r="I810" s="2" t="s">
        <v>47</v>
      </c>
      <c r="J810" s="2">
        <v>399.95</v>
      </c>
      <c r="K810" s="2">
        <v>10</v>
      </c>
      <c r="L810" s="2" t="s">
        <v>48</v>
      </c>
      <c r="M810" s="2">
        <v>2</v>
      </c>
      <c r="N810" s="2">
        <v>1</v>
      </c>
      <c r="O810" s="2">
        <v>0</v>
      </c>
      <c r="P810" s="2" t="s">
        <v>59</v>
      </c>
      <c r="Q810" s="2" t="s">
        <v>50</v>
      </c>
      <c r="R810" s="2">
        <v>1</v>
      </c>
      <c r="S810" s="2">
        <v>2</v>
      </c>
      <c r="T810" s="2" t="s">
        <v>44</v>
      </c>
      <c r="U810" s="2" t="s">
        <v>60</v>
      </c>
      <c r="V810" s="2" t="s">
        <v>86</v>
      </c>
      <c r="W810" s="3">
        <v>45358</v>
      </c>
      <c r="X810" s="2" t="b">
        <v>1</v>
      </c>
      <c r="Y810" s="2" t="b">
        <v>0</v>
      </c>
      <c r="Z810" s="2" t="s">
        <v>40</v>
      </c>
      <c r="AA810" s="2" t="s">
        <v>67</v>
      </c>
      <c r="AB810" s="2">
        <v>10</v>
      </c>
      <c r="AC810" s="2">
        <f>SUMIF(N:N,Ecommerce_Consumer_Behavior_Analysis_Data3[[#This Row],[Brand_Loyalty]],M:M)</f>
        <v>582</v>
      </c>
      <c r="AD810" s="2" t="e" cm="1" vm="1">
        <f t="array" aca="1" ref="AD810" ca="1">SUMIFS(Y:Y,Ecommerce_Consumer_Behavior_Analysis_Data3[[#This Row],[Payment_Method]],V:V)</f>
        <v>#VALUE!</v>
      </c>
      <c r="AE810" s="2">
        <f t="shared" si="16"/>
        <v>101.31</v>
      </c>
    </row>
    <row r="811" spans="1:31" x14ac:dyDescent="0.25">
      <c r="A811" s="2" t="s">
        <v>1691</v>
      </c>
      <c r="B811" s="2">
        <v>47</v>
      </c>
      <c r="C811" s="2" t="s">
        <v>29</v>
      </c>
      <c r="D811" s="2" t="s">
        <v>44</v>
      </c>
      <c r="E811" s="2" t="s">
        <v>76</v>
      </c>
      <c r="F811" s="2" t="s">
        <v>32</v>
      </c>
      <c r="G811" s="2" t="s">
        <v>30</v>
      </c>
      <c r="H811" s="2" t="s">
        <v>1692</v>
      </c>
      <c r="I811" s="2" t="s">
        <v>123</v>
      </c>
      <c r="J811" s="2">
        <v>337.33</v>
      </c>
      <c r="K811" s="2">
        <v>8</v>
      </c>
      <c r="L811" s="2" t="s">
        <v>48</v>
      </c>
      <c r="M811" s="2">
        <v>1</v>
      </c>
      <c r="N811" s="2">
        <v>4</v>
      </c>
      <c r="O811" s="2">
        <v>1</v>
      </c>
      <c r="P811" s="2" t="s">
        <v>36</v>
      </c>
      <c r="Q811" s="2" t="s">
        <v>37</v>
      </c>
      <c r="R811" s="2">
        <v>0</v>
      </c>
      <c r="S811" s="2">
        <v>5</v>
      </c>
      <c r="T811" s="2" t="s">
        <v>49</v>
      </c>
      <c r="U811" s="2" t="s">
        <v>79</v>
      </c>
      <c r="V811" s="2" t="s">
        <v>61</v>
      </c>
      <c r="W811" s="3">
        <v>45621</v>
      </c>
      <c r="X811" s="2" t="b">
        <v>0</v>
      </c>
      <c r="Y811" s="2" t="b">
        <v>0</v>
      </c>
      <c r="Z811" s="2" t="s">
        <v>74</v>
      </c>
      <c r="AA811" s="2" t="s">
        <v>67</v>
      </c>
      <c r="AB811" s="2">
        <v>10</v>
      </c>
      <c r="AC811" s="2">
        <f>SUMIF(N:N,Ecommerce_Consumer_Behavior_Analysis_Data3[[#This Row],[Brand_Loyalty]],M:M)</f>
        <v>603</v>
      </c>
      <c r="AD811" s="2" t="e" cm="1" vm="1">
        <f t="array" aca="1" ref="AD811" ca="1">SUMIFS(Y:Y,Ecommerce_Consumer_Behavior_Analysis_Data3[[#This Row],[Payment_Method]],V:V)</f>
        <v>#VALUE!</v>
      </c>
      <c r="AE811" s="2">
        <f t="shared" si="16"/>
        <v>211.7</v>
      </c>
    </row>
    <row r="812" spans="1:31" x14ac:dyDescent="0.25">
      <c r="A812" s="2" t="s">
        <v>1693</v>
      </c>
      <c r="B812" s="2">
        <v>41</v>
      </c>
      <c r="C812" s="2" t="s">
        <v>29</v>
      </c>
      <c r="D812" s="2" t="s">
        <v>44</v>
      </c>
      <c r="E812" s="2" t="s">
        <v>69</v>
      </c>
      <c r="F812" s="2" t="s">
        <v>56</v>
      </c>
      <c r="G812" s="2" t="s">
        <v>30</v>
      </c>
      <c r="H812" s="2" t="s">
        <v>1694</v>
      </c>
      <c r="I812" s="2" t="s">
        <v>246</v>
      </c>
      <c r="J812" s="2">
        <v>204.83</v>
      </c>
      <c r="K812" s="2">
        <v>6</v>
      </c>
      <c r="L812" s="2" t="s">
        <v>48</v>
      </c>
      <c r="M812" s="2">
        <v>5</v>
      </c>
      <c r="N812" s="2">
        <v>1</v>
      </c>
      <c r="O812" s="2">
        <v>0</v>
      </c>
      <c r="P812" s="2" t="s">
        <v>44</v>
      </c>
      <c r="Q812" s="2" t="s">
        <v>85</v>
      </c>
      <c r="R812" s="2">
        <v>1</v>
      </c>
      <c r="S812" s="2">
        <v>5</v>
      </c>
      <c r="T812" s="2" t="s">
        <v>49</v>
      </c>
      <c r="U812" s="2" t="s">
        <v>60</v>
      </c>
      <c r="V812" s="2" t="s">
        <v>61</v>
      </c>
      <c r="W812" s="3">
        <v>45404</v>
      </c>
      <c r="X812" s="2" t="b">
        <v>1</v>
      </c>
      <c r="Y812" s="2" t="b">
        <v>0</v>
      </c>
      <c r="Z812" s="2" t="s">
        <v>52</v>
      </c>
      <c r="AA812" s="2" t="s">
        <v>53</v>
      </c>
      <c r="AB812" s="2">
        <v>5</v>
      </c>
      <c r="AC812" s="2">
        <f>SUMIF(N:N,Ecommerce_Consumer_Behavior_Analysis_Data3[[#This Row],[Brand_Loyalty]],M:M)</f>
        <v>641</v>
      </c>
      <c r="AD812" s="2" t="e" cm="1" vm="1">
        <f t="array" aca="1" ref="AD812" ca="1">SUMIFS(Y:Y,Ecommerce_Consumer_Behavior_Analysis_Data3[[#This Row],[Payment_Method]],V:V)</f>
        <v>#VALUE!</v>
      </c>
      <c r="AE812" s="2">
        <f t="shared" si="16"/>
        <v>211.7</v>
      </c>
    </row>
    <row r="813" spans="1:31" x14ac:dyDescent="0.25">
      <c r="A813" s="2" t="s">
        <v>1695</v>
      </c>
      <c r="B813" s="2">
        <v>22</v>
      </c>
      <c r="C813" s="2" t="s">
        <v>29</v>
      </c>
      <c r="D813" s="2" t="s">
        <v>30</v>
      </c>
      <c r="E813" s="2" t="s">
        <v>69</v>
      </c>
      <c r="F813" s="2" t="s">
        <v>56</v>
      </c>
      <c r="G813" s="2" t="s">
        <v>44</v>
      </c>
      <c r="H813" s="2" t="s">
        <v>1696</v>
      </c>
      <c r="I813" s="2" t="s">
        <v>114</v>
      </c>
      <c r="J813" s="2">
        <v>193.94</v>
      </c>
      <c r="K813" s="2">
        <v>11</v>
      </c>
      <c r="L813" s="2" t="s">
        <v>35</v>
      </c>
      <c r="M813" s="2">
        <v>4</v>
      </c>
      <c r="N813" s="2">
        <v>1</v>
      </c>
      <c r="O813" s="2">
        <v>0</v>
      </c>
      <c r="P813" s="2" t="s">
        <v>36</v>
      </c>
      <c r="Q813" s="2" t="s">
        <v>50</v>
      </c>
      <c r="R813" s="2">
        <v>0</v>
      </c>
      <c r="S813" s="2">
        <v>3</v>
      </c>
      <c r="T813" s="2" t="s">
        <v>44</v>
      </c>
      <c r="U813" s="2" t="s">
        <v>79</v>
      </c>
      <c r="V813" s="2" t="s">
        <v>66</v>
      </c>
      <c r="W813" s="3">
        <v>45513</v>
      </c>
      <c r="X813" s="2" t="b">
        <v>0</v>
      </c>
      <c r="Y813" s="2" t="b">
        <v>0</v>
      </c>
      <c r="Z813" s="2" t="s">
        <v>52</v>
      </c>
      <c r="AA813" s="2" t="s">
        <v>53</v>
      </c>
      <c r="AB813" s="2">
        <v>9</v>
      </c>
      <c r="AC813" s="2">
        <f>SUMIF(N:N,Ecommerce_Consumer_Behavior_Analysis_Data3[[#This Row],[Brand_Loyalty]],M:M)</f>
        <v>603</v>
      </c>
      <c r="AD813" s="2" t="e" cm="1" vm="1">
        <f t="array" aca="1" ref="AD813" ca="1">SUMIFS(Y:Y,Ecommerce_Consumer_Behavior_Analysis_Data3[[#This Row],[Payment_Method]],V:V)</f>
        <v>#VALUE!</v>
      </c>
      <c r="AE813" s="2">
        <f t="shared" si="16"/>
        <v>333.8</v>
      </c>
    </row>
    <row r="814" spans="1:31" x14ac:dyDescent="0.25">
      <c r="A814" s="2" t="s">
        <v>1697</v>
      </c>
      <c r="B814" s="2">
        <v>46</v>
      </c>
      <c r="C814" s="2" t="s">
        <v>43</v>
      </c>
      <c r="D814" s="2" t="s">
        <v>44</v>
      </c>
      <c r="E814" s="2" t="s">
        <v>31</v>
      </c>
      <c r="F814" s="2" t="s">
        <v>56</v>
      </c>
      <c r="G814" s="2" t="s">
        <v>30</v>
      </c>
      <c r="H814" s="2" t="s">
        <v>1698</v>
      </c>
      <c r="I814" s="2" t="s">
        <v>93</v>
      </c>
      <c r="J814" s="2">
        <v>460.37</v>
      </c>
      <c r="K814" s="2">
        <v>10</v>
      </c>
      <c r="L814" s="2" t="s">
        <v>78</v>
      </c>
      <c r="M814" s="2">
        <v>5</v>
      </c>
      <c r="N814" s="2">
        <v>4</v>
      </c>
      <c r="O814" s="2">
        <v>2</v>
      </c>
      <c r="P814" s="2" t="s">
        <v>59</v>
      </c>
      <c r="Q814" s="2" t="s">
        <v>85</v>
      </c>
      <c r="R814" s="2">
        <v>2</v>
      </c>
      <c r="S814" s="2">
        <v>7</v>
      </c>
      <c r="T814" s="2" t="s">
        <v>44</v>
      </c>
      <c r="U814" s="2" t="s">
        <v>79</v>
      </c>
      <c r="V814" s="2" t="s">
        <v>39</v>
      </c>
      <c r="W814" s="3">
        <v>45486</v>
      </c>
      <c r="X814" s="2" t="b">
        <v>1</v>
      </c>
      <c r="Y814" s="2" t="b">
        <v>1</v>
      </c>
      <c r="Z814" s="2" t="s">
        <v>52</v>
      </c>
      <c r="AA814" s="2" t="s">
        <v>67</v>
      </c>
      <c r="AB814" s="2">
        <v>12</v>
      </c>
      <c r="AC814" s="2">
        <f>SUMIF(N:N,Ecommerce_Consumer_Behavior_Analysis_Data3[[#This Row],[Brand_Loyalty]],M:M)</f>
        <v>641</v>
      </c>
      <c r="AD814" s="2" t="e" cm="1" vm="1">
        <f t="array" aca="1" ref="AD814" ca="1">SUMIFS(Y:Y,Ecommerce_Consumer_Behavior_Analysis_Data3[[#This Row],[Payment_Method]],V:V)</f>
        <v>#VALUE!</v>
      </c>
      <c r="AE814" s="2">
        <f t="shared" si="16"/>
        <v>333.8</v>
      </c>
    </row>
    <row r="815" spans="1:31" x14ac:dyDescent="0.25">
      <c r="A815" s="2" t="s">
        <v>1699</v>
      </c>
      <c r="B815" s="2">
        <v>34</v>
      </c>
      <c r="C815" s="2" t="s">
        <v>190</v>
      </c>
      <c r="D815" s="2" t="s">
        <v>30</v>
      </c>
      <c r="E815" s="2" t="s">
        <v>55</v>
      </c>
      <c r="F815" s="2" t="s">
        <v>32</v>
      </c>
      <c r="G815" s="2" t="s">
        <v>30</v>
      </c>
      <c r="H815" s="2" t="s">
        <v>637</v>
      </c>
      <c r="I815" s="2" t="s">
        <v>135</v>
      </c>
      <c r="J815" s="2">
        <v>297.29000000000002</v>
      </c>
      <c r="K815" s="2">
        <v>9</v>
      </c>
      <c r="L815" s="2" t="s">
        <v>78</v>
      </c>
      <c r="M815" s="2">
        <v>5</v>
      </c>
      <c r="N815" s="2">
        <v>4</v>
      </c>
      <c r="O815" s="2">
        <v>2</v>
      </c>
      <c r="P815" s="2" t="s">
        <v>36</v>
      </c>
      <c r="Q815" s="2" t="s">
        <v>50</v>
      </c>
      <c r="R815" s="2">
        <v>0</v>
      </c>
      <c r="S815" s="2">
        <v>9</v>
      </c>
      <c r="T815" s="2" t="s">
        <v>59</v>
      </c>
      <c r="U815" s="2" t="s">
        <v>60</v>
      </c>
      <c r="V815" s="2" t="s">
        <v>86</v>
      </c>
      <c r="W815" s="3">
        <v>45292</v>
      </c>
      <c r="X815" s="2" t="b">
        <v>1</v>
      </c>
      <c r="Y815" s="2" t="b">
        <v>1</v>
      </c>
      <c r="Z815" s="2" t="s">
        <v>40</v>
      </c>
      <c r="AA815" s="2" t="s">
        <v>53</v>
      </c>
      <c r="AB815" s="2">
        <v>3</v>
      </c>
      <c r="AC815" s="2">
        <f>SUMIF(N:N,Ecommerce_Consumer_Behavior_Analysis_Data3[[#This Row],[Brand_Loyalty]],M:M)</f>
        <v>641</v>
      </c>
      <c r="AD815" s="2" t="e" cm="1" vm="1">
        <f t="array" aca="1" ref="AD815" ca="1">SUMIFS(Y:Y,Ecommerce_Consumer_Behavior_Analysis_Data3[[#This Row],[Payment_Method]],V:V)</f>
        <v>#VALUE!</v>
      </c>
      <c r="AE815" s="2">
        <f t="shared" si="16"/>
        <v>333.8</v>
      </c>
    </row>
    <row r="816" spans="1:31" x14ac:dyDescent="0.25">
      <c r="A816" s="2" t="s">
        <v>1700</v>
      </c>
      <c r="B816" s="2">
        <v>31</v>
      </c>
      <c r="C816" s="2" t="s">
        <v>43</v>
      </c>
      <c r="D816" s="2" t="s">
        <v>30</v>
      </c>
      <c r="E816" s="2" t="s">
        <v>55</v>
      </c>
      <c r="F816" s="2" t="s">
        <v>32</v>
      </c>
      <c r="G816" s="2" t="s">
        <v>30</v>
      </c>
      <c r="H816" s="2" t="s">
        <v>1701</v>
      </c>
      <c r="I816" s="2" t="s">
        <v>82</v>
      </c>
      <c r="J816" s="2">
        <v>389.47</v>
      </c>
      <c r="K816" s="2">
        <v>4</v>
      </c>
      <c r="L816" s="2" t="s">
        <v>48</v>
      </c>
      <c r="M816" s="2">
        <v>5</v>
      </c>
      <c r="N816" s="2">
        <v>3</v>
      </c>
      <c r="O816" s="2">
        <v>2</v>
      </c>
      <c r="P816" s="2" t="s">
        <v>59</v>
      </c>
      <c r="Q816" s="2" t="s">
        <v>50</v>
      </c>
      <c r="R816" s="2">
        <v>1</v>
      </c>
      <c r="S816" s="2">
        <v>9</v>
      </c>
      <c r="T816" s="2" t="s">
        <v>44</v>
      </c>
      <c r="U816" s="2" t="s">
        <v>79</v>
      </c>
      <c r="V816" s="2" t="s">
        <v>39</v>
      </c>
      <c r="W816" s="3">
        <v>45333</v>
      </c>
      <c r="X816" s="2" t="b">
        <v>1</v>
      </c>
      <c r="Y816" s="2" t="b">
        <v>1</v>
      </c>
      <c r="Z816" s="2" t="s">
        <v>52</v>
      </c>
      <c r="AA816" s="2" t="s">
        <v>53</v>
      </c>
      <c r="AB816" s="2">
        <v>6</v>
      </c>
      <c r="AC816" s="2">
        <f>SUMIF(N:N,Ecommerce_Consumer_Behavior_Analysis_Data3[[#This Row],[Brand_Loyalty]],M:M)</f>
        <v>641</v>
      </c>
      <c r="AD816" s="2" t="e" cm="1" vm="1">
        <f t="array" aca="1" ref="AD816" ca="1">SUMIFS(Y:Y,Ecommerce_Consumer_Behavior_Analysis_Data3[[#This Row],[Payment_Method]],V:V)</f>
        <v>#VALUE!</v>
      </c>
      <c r="AE816" s="2">
        <f t="shared" si="16"/>
        <v>211.7</v>
      </c>
    </row>
    <row r="817" spans="1:31" x14ac:dyDescent="0.25">
      <c r="A817" s="2" t="s">
        <v>1702</v>
      </c>
      <c r="B817" s="2">
        <v>38</v>
      </c>
      <c r="C817" s="2" t="s">
        <v>43</v>
      </c>
      <c r="D817" s="2" t="s">
        <v>44</v>
      </c>
      <c r="E817" s="2" t="s">
        <v>55</v>
      </c>
      <c r="F817" s="2" t="s">
        <v>56</v>
      </c>
      <c r="G817" s="2" t="s">
        <v>44</v>
      </c>
      <c r="H817" s="2" t="s">
        <v>1703</v>
      </c>
      <c r="I817" s="2" t="s">
        <v>65</v>
      </c>
      <c r="J817" s="2">
        <v>370.05</v>
      </c>
      <c r="K817" s="2">
        <v>11</v>
      </c>
      <c r="L817" s="2" t="s">
        <v>35</v>
      </c>
      <c r="M817" s="2">
        <v>5</v>
      </c>
      <c r="N817" s="2">
        <v>3</v>
      </c>
      <c r="O817" s="2">
        <v>0</v>
      </c>
      <c r="P817" s="2" t="s">
        <v>49</v>
      </c>
      <c r="Q817" s="2" t="s">
        <v>85</v>
      </c>
      <c r="R817" s="2">
        <v>1</v>
      </c>
      <c r="S817" s="2">
        <v>10</v>
      </c>
      <c r="T817" s="2" t="s">
        <v>44</v>
      </c>
      <c r="U817" s="2" t="s">
        <v>60</v>
      </c>
      <c r="V817" s="2" t="s">
        <v>86</v>
      </c>
      <c r="W817" s="3">
        <v>45595</v>
      </c>
      <c r="X817" s="2" t="b">
        <v>1</v>
      </c>
      <c r="Y817" s="2" t="b">
        <v>1</v>
      </c>
      <c r="Z817" s="2" t="s">
        <v>62</v>
      </c>
      <c r="AA817" s="2" t="s">
        <v>41</v>
      </c>
      <c r="AB817" s="2">
        <v>10</v>
      </c>
      <c r="AC817" s="2">
        <f>SUMIF(N:N,Ecommerce_Consumer_Behavior_Analysis_Data3[[#This Row],[Brand_Loyalty]],M:M)</f>
        <v>641</v>
      </c>
      <c r="AD817" s="2" t="e" cm="1" vm="1">
        <f t="array" aca="1" ref="AD817" ca="1">SUMIFS(Y:Y,Ecommerce_Consumer_Behavior_Analysis_Data3[[#This Row],[Payment_Method]],V:V)</f>
        <v>#VALUE!</v>
      </c>
      <c r="AE817" s="2">
        <f t="shared" si="16"/>
        <v>211.7</v>
      </c>
    </row>
    <row r="818" spans="1:31" x14ac:dyDescent="0.25">
      <c r="A818" s="2" t="s">
        <v>1704</v>
      </c>
      <c r="B818" s="2">
        <v>45</v>
      </c>
      <c r="C818" s="2" t="s">
        <v>43</v>
      </c>
      <c r="D818" s="2" t="s">
        <v>44</v>
      </c>
      <c r="E818" s="2" t="s">
        <v>55</v>
      </c>
      <c r="F818" s="2" t="s">
        <v>56</v>
      </c>
      <c r="G818" s="2" t="s">
        <v>30</v>
      </c>
      <c r="H818" s="2" t="s">
        <v>1705</v>
      </c>
      <c r="I818" s="2" t="s">
        <v>246</v>
      </c>
      <c r="J818" s="2">
        <v>462.24</v>
      </c>
      <c r="K818" s="2">
        <v>2</v>
      </c>
      <c r="L818" s="2" t="s">
        <v>35</v>
      </c>
      <c r="M818" s="2">
        <v>4</v>
      </c>
      <c r="N818" s="2">
        <v>5</v>
      </c>
      <c r="O818" s="2">
        <v>0</v>
      </c>
      <c r="P818" s="2" t="s">
        <v>59</v>
      </c>
      <c r="Q818" s="2" t="s">
        <v>50</v>
      </c>
      <c r="R818" s="2">
        <v>2</v>
      </c>
      <c r="S818" s="2">
        <v>1</v>
      </c>
      <c r="T818" s="2" t="s">
        <v>36</v>
      </c>
      <c r="U818" s="2" t="s">
        <v>60</v>
      </c>
      <c r="V818" s="2" t="s">
        <v>66</v>
      </c>
      <c r="W818" s="3">
        <v>45370</v>
      </c>
      <c r="X818" s="2" t="b">
        <v>1</v>
      </c>
      <c r="Y818" s="2" t="b">
        <v>1</v>
      </c>
      <c r="Z818" s="2" t="s">
        <v>52</v>
      </c>
      <c r="AA818" s="2" t="s">
        <v>67</v>
      </c>
      <c r="AB818" s="2">
        <v>13</v>
      </c>
      <c r="AC818" s="2">
        <f>SUMIF(N:N,Ecommerce_Consumer_Behavior_Analysis_Data3[[#This Row],[Brand_Loyalty]],M:M)</f>
        <v>603</v>
      </c>
      <c r="AD818" s="2" t="e" cm="1" vm="1">
        <f t="array" aca="1" ref="AD818" ca="1">SUMIFS(Y:Y,Ecommerce_Consumer_Behavior_Analysis_Data3[[#This Row],[Payment_Method]],V:V)</f>
        <v>#VALUE!</v>
      </c>
      <c r="AE818" s="2">
        <f t="shared" si="16"/>
        <v>101.31</v>
      </c>
    </row>
    <row r="819" spans="1:31" x14ac:dyDescent="0.25">
      <c r="A819" s="2" t="s">
        <v>1706</v>
      </c>
      <c r="B819" s="2">
        <v>30</v>
      </c>
      <c r="C819" s="2" t="s">
        <v>29</v>
      </c>
      <c r="D819" s="2" t="s">
        <v>44</v>
      </c>
      <c r="E819" s="2" t="s">
        <v>31</v>
      </c>
      <c r="F819" s="2" t="s">
        <v>45</v>
      </c>
      <c r="G819" s="2" t="s">
        <v>44</v>
      </c>
      <c r="H819" s="2" t="s">
        <v>1707</v>
      </c>
      <c r="I819" s="2" t="s">
        <v>47</v>
      </c>
      <c r="J819" s="2">
        <v>472.53</v>
      </c>
      <c r="K819" s="2">
        <v>11</v>
      </c>
      <c r="L819" s="2" t="s">
        <v>78</v>
      </c>
      <c r="M819" s="2">
        <v>4</v>
      </c>
      <c r="N819" s="2">
        <v>1</v>
      </c>
      <c r="O819" s="2">
        <v>1</v>
      </c>
      <c r="P819" s="2" t="s">
        <v>49</v>
      </c>
      <c r="Q819" s="2" t="s">
        <v>37</v>
      </c>
      <c r="R819" s="2">
        <v>2</v>
      </c>
      <c r="S819" s="2">
        <v>7</v>
      </c>
      <c r="T819" s="2" t="s">
        <v>49</v>
      </c>
      <c r="U819" s="2" t="s">
        <v>60</v>
      </c>
      <c r="V819" s="2" t="s">
        <v>61</v>
      </c>
      <c r="W819" s="3">
        <v>45412</v>
      </c>
      <c r="X819" s="2" t="b">
        <v>0</v>
      </c>
      <c r="Y819" s="2" t="b">
        <v>0</v>
      </c>
      <c r="Z819" s="2" t="s">
        <v>52</v>
      </c>
      <c r="AA819" s="2" t="s">
        <v>67</v>
      </c>
      <c r="AB819" s="2">
        <v>4</v>
      </c>
      <c r="AC819" s="2">
        <f>SUMIF(N:N,Ecommerce_Consumer_Behavior_Analysis_Data3[[#This Row],[Brand_Loyalty]],M:M)</f>
        <v>603</v>
      </c>
      <c r="AD819" s="2" t="e" cm="1" vm="1">
        <f t="array" aca="1" ref="AD819" ca="1">SUMIFS(Y:Y,Ecommerce_Consumer_Behavior_Analysis_Data3[[#This Row],[Payment_Method]],V:V)</f>
        <v>#VALUE!</v>
      </c>
      <c r="AE819" s="2">
        <f t="shared" si="16"/>
        <v>211.7</v>
      </c>
    </row>
    <row r="820" spans="1:31" x14ac:dyDescent="0.25">
      <c r="A820" s="2" t="s">
        <v>1708</v>
      </c>
      <c r="B820" s="2">
        <v>45</v>
      </c>
      <c r="C820" s="2" t="s">
        <v>29</v>
      </c>
      <c r="D820" s="2" t="s">
        <v>30</v>
      </c>
      <c r="E820" s="2" t="s">
        <v>31</v>
      </c>
      <c r="F820" s="2" t="s">
        <v>45</v>
      </c>
      <c r="G820" s="2" t="s">
        <v>30</v>
      </c>
      <c r="H820" s="2" t="s">
        <v>1709</v>
      </c>
      <c r="I820" s="2" t="s">
        <v>65</v>
      </c>
      <c r="J820" s="2">
        <v>407.29</v>
      </c>
      <c r="K820" s="2">
        <v>3</v>
      </c>
      <c r="L820" s="2" t="s">
        <v>48</v>
      </c>
      <c r="M820" s="2">
        <v>5</v>
      </c>
      <c r="N820" s="2">
        <v>5</v>
      </c>
      <c r="O820" s="2">
        <v>0</v>
      </c>
      <c r="P820" s="2" t="s">
        <v>59</v>
      </c>
      <c r="Q820" s="2" t="s">
        <v>50</v>
      </c>
      <c r="R820" s="2">
        <v>0</v>
      </c>
      <c r="S820" s="2">
        <v>5</v>
      </c>
      <c r="T820" s="2" t="s">
        <v>59</v>
      </c>
      <c r="U820" s="2" t="s">
        <v>38</v>
      </c>
      <c r="V820" s="2" t="s">
        <v>66</v>
      </c>
      <c r="W820" s="3">
        <v>45621</v>
      </c>
      <c r="X820" s="2" t="b">
        <v>0</v>
      </c>
      <c r="Y820" s="2" t="b">
        <v>0</v>
      </c>
      <c r="Z820" s="2" t="s">
        <v>74</v>
      </c>
      <c r="AA820" s="2" t="s">
        <v>67</v>
      </c>
      <c r="AB820" s="2">
        <v>3</v>
      </c>
      <c r="AC820" s="2">
        <f>SUMIF(N:N,Ecommerce_Consumer_Behavior_Analysis_Data3[[#This Row],[Brand_Loyalty]],M:M)</f>
        <v>641</v>
      </c>
      <c r="AD820" s="2" t="e" cm="1" vm="1">
        <f t="array" aca="1" ref="AD820" ca="1">SUMIFS(Y:Y,Ecommerce_Consumer_Behavior_Analysis_Data3[[#This Row],[Payment_Method]],V:V)</f>
        <v>#VALUE!</v>
      </c>
      <c r="AE820" s="2">
        <f t="shared" si="16"/>
        <v>101.31</v>
      </c>
    </row>
    <row r="821" spans="1:31" x14ac:dyDescent="0.25">
      <c r="A821" s="2" t="s">
        <v>1710</v>
      </c>
      <c r="B821" s="2">
        <v>18</v>
      </c>
      <c r="C821" s="2" t="s">
        <v>43</v>
      </c>
      <c r="D821" s="2" t="s">
        <v>44</v>
      </c>
      <c r="E821" s="2" t="s">
        <v>31</v>
      </c>
      <c r="F821" s="2" t="s">
        <v>32</v>
      </c>
      <c r="G821" s="2" t="s">
        <v>44</v>
      </c>
      <c r="H821" s="2" t="s">
        <v>1711</v>
      </c>
      <c r="I821" s="2" t="s">
        <v>93</v>
      </c>
      <c r="J821" s="2">
        <v>135.65</v>
      </c>
      <c r="K821" s="2">
        <v>8</v>
      </c>
      <c r="L821" s="2" t="s">
        <v>78</v>
      </c>
      <c r="M821" s="2">
        <v>4</v>
      </c>
      <c r="N821" s="2">
        <v>1</v>
      </c>
      <c r="O821" s="2">
        <v>1</v>
      </c>
      <c r="P821" s="2" t="s">
        <v>59</v>
      </c>
      <c r="Q821" s="2" t="s">
        <v>85</v>
      </c>
      <c r="R821" s="2">
        <v>0</v>
      </c>
      <c r="S821" s="2">
        <v>9</v>
      </c>
      <c r="T821" s="2" t="s">
        <v>36</v>
      </c>
      <c r="U821" s="2" t="s">
        <v>79</v>
      </c>
      <c r="V821" s="2" t="s">
        <v>66</v>
      </c>
      <c r="W821" s="3">
        <v>45338</v>
      </c>
      <c r="X821" s="2" t="b">
        <v>0</v>
      </c>
      <c r="Y821" s="2" t="b">
        <v>0</v>
      </c>
      <c r="Z821" s="2" t="s">
        <v>62</v>
      </c>
      <c r="AA821" s="2" t="s">
        <v>53</v>
      </c>
      <c r="AB821" s="2">
        <v>14</v>
      </c>
      <c r="AC821" s="2">
        <f>SUMIF(N:N,Ecommerce_Consumer_Behavior_Analysis_Data3[[#This Row],[Brand_Loyalty]],M:M)</f>
        <v>603</v>
      </c>
      <c r="AD821" s="2" t="e" cm="1" vm="1">
        <f t="array" aca="1" ref="AD821" ca="1">SUMIFS(Y:Y,Ecommerce_Consumer_Behavior_Analysis_Data3[[#This Row],[Payment_Method]],V:V)</f>
        <v>#VALUE!</v>
      </c>
      <c r="AE821" s="2">
        <f t="shared" si="16"/>
        <v>211.7</v>
      </c>
    </row>
    <row r="822" spans="1:31" x14ac:dyDescent="0.25">
      <c r="A822" s="2" t="s">
        <v>1712</v>
      </c>
      <c r="B822" s="2">
        <v>36</v>
      </c>
      <c r="C822" s="2" t="s">
        <v>43</v>
      </c>
      <c r="D822" s="2" t="s">
        <v>44</v>
      </c>
      <c r="E822" s="2" t="s">
        <v>55</v>
      </c>
      <c r="F822" s="2" t="s">
        <v>32</v>
      </c>
      <c r="G822" s="2" t="s">
        <v>30</v>
      </c>
      <c r="H822" s="2" t="s">
        <v>1713</v>
      </c>
      <c r="I822" s="2" t="s">
        <v>101</v>
      </c>
      <c r="J822" s="2">
        <v>352.35</v>
      </c>
      <c r="K822" s="2">
        <v>4</v>
      </c>
      <c r="L822" s="2" t="s">
        <v>78</v>
      </c>
      <c r="M822" s="2">
        <v>2</v>
      </c>
      <c r="N822" s="2">
        <v>2</v>
      </c>
      <c r="O822" s="2">
        <v>0</v>
      </c>
      <c r="P822" s="2" t="s">
        <v>59</v>
      </c>
      <c r="Q822" s="2" t="s">
        <v>85</v>
      </c>
      <c r="R822" s="2">
        <v>1</v>
      </c>
      <c r="S822" s="2">
        <v>1</v>
      </c>
      <c r="T822" s="2" t="s">
        <v>59</v>
      </c>
      <c r="U822" s="2" t="s">
        <v>60</v>
      </c>
      <c r="V822" s="2" t="s">
        <v>39</v>
      </c>
      <c r="W822" s="3">
        <v>45463</v>
      </c>
      <c r="X822" s="2" t="b">
        <v>0</v>
      </c>
      <c r="Y822" s="2" t="b">
        <v>0</v>
      </c>
      <c r="Z822" s="2" t="s">
        <v>74</v>
      </c>
      <c r="AA822" s="2" t="s">
        <v>67</v>
      </c>
      <c r="AB822" s="2">
        <v>14</v>
      </c>
      <c r="AC822" s="2">
        <f>SUMIF(N:N,Ecommerce_Consumer_Behavior_Analysis_Data3[[#This Row],[Brand_Loyalty]],M:M)</f>
        <v>582</v>
      </c>
      <c r="AD822" s="2" t="e" cm="1" vm="1">
        <f t="array" aca="1" ref="AD822" ca="1">SUMIFS(Y:Y,Ecommerce_Consumer_Behavior_Analysis_Data3[[#This Row],[Payment_Method]],V:V)</f>
        <v>#VALUE!</v>
      </c>
      <c r="AE822" s="2">
        <f t="shared" si="16"/>
        <v>333.8</v>
      </c>
    </row>
    <row r="823" spans="1:31" x14ac:dyDescent="0.25">
      <c r="A823" s="2" t="s">
        <v>1714</v>
      </c>
      <c r="B823" s="2">
        <v>25</v>
      </c>
      <c r="C823" s="2" t="s">
        <v>29</v>
      </c>
      <c r="D823" s="2" t="s">
        <v>44</v>
      </c>
      <c r="E823" s="2" t="s">
        <v>55</v>
      </c>
      <c r="F823" s="2" t="s">
        <v>45</v>
      </c>
      <c r="G823" s="2" t="s">
        <v>44</v>
      </c>
      <c r="H823" s="2" t="s">
        <v>520</v>
      </c>
      <c r="I823" s="2" t="s">
        <v>82</v>
      </c>
      <c r="J823" s="2">
        <v>441.73</v>
      </c>
      <c r="K823" s="2">
        <v>12</v>
      </c>
      <c r="L823" s="2" t="s">
        <v>78</v>
      </c>
      <c r="M823" s="2">
        <v>1</v>
      </c>
      <c r="N823" s="2">
        <v>4</v>
      </c>
      <c r="O823" s="2">
        <v>2</v>
      </c>
      <c r="P823" s="2" t="s">
        <v>59</v>
      </c>
      <c r="Q823" s="2" t="s">
        <v>37</v>
      </c>
      <c r="R823" s="2">
        <v>0</v>
      </c>
      <c r="S823" s="2">
        <v>8</v>
      </c>
      <c r="T823" s="2" t="s">
        <v>49</v>
      </c>
      <c r="U823" s="2" t="s">
        <v>60</v>
      </c>
      <c r="V823" s="2" t="s">
        <v>39</v>
      </c>
      <c r="W823" s="3">
        <v>45326</v>
      </c>
      <c r="X823" s="2" t="b">
        <v>1</v>
      </c>
      <c r="Y823" s="2" t="b">
        <v>0</v>
      </c>
      <c r="Z823" s="2" t="s">
        <v>74</v>
      </c>
      <c r="AA823" s="2" t="s">
        <v>53</v>
      </c>
      <c r="AB823" s="2">
        <v>8</v>
      </c>
      <c r="AC823" s="2">
        <f>SUMIF(N:N,Ecommerce_Consumer_Behavior_Analysis_Data3[[#This Row],[Brand_Loyalty]],M:M)</f>
        <v>603</v>
      </c>
      <c r="AD823" s="2" t="e" cm="1" vm="1">
        <f t="array" aca="1" ref="AD823" ca="1">SUMIFS(Y:Y,Ecommerce_Consumer_Behavior_Analysis_Data3[[#This Row],[Payment_Method]],V:V)</f>
        <v>#VALUE!</v>
      </c>
      <c r="AE823" s="2">
        <f t="shared" si="16"/>
        <v>333.8</v>
      </c>
    </row>
    <row r="824" spans="1:31" x14ac:dyDescent="0.25">
      <c r="A824" s="2" t="s">
        <v>1715</v>
      </c>
      <c r="B824" s="2">
        <v>21</v>
      </c>
      <c r="C824" s="2" t="s">
        <v>29</v>
      </c>
      <c r="D824" s="2" t="s">
        <v>44</v>
      </c>
      <c r="E824" s="2" t="s">
        <v>76</v>
      </c>
      <c r="F824" s="2" t="s">
        <v>45</v>
      </c>
      <c r="G824" s="2" t="s">
        <v>30</v>
      </c>
      <c r="H824" s="2" t="s">
        <v>1716</v>
      </c>
      <c r="I824" s="2" t="s">
        <v>98</v>
      </c>
      <c r="J824" s="2">
        <v>105.95</v>
      </c>
      <c r="K824" s="2">
        <v>12</v>
      </c>
      <c r="L824" s="2" t="s">
        <v>35</v>
      </c>
      <c r="M824" s="2">
        <v>1</v>
      </c>
      <c r="N824" s="2">
        <v>4</v>
      </c>
      <c r="O824" s="2">
        <v>2</v>
      </c>
      <c r="P824" s="2" t="s">
        <v>59</v>
      </c>
      <c r="Q824" s="2" t="s">
        <v>85</v>
      </c>
      <c r="R824" s="2">
        <v>1</v>
      </c>
      <c r="S824" s="2">
        <v>7</v>
      </c>
      <c r="T824" s="2" t="s">
        <v>49</v>
      </c>
      <c r="U824" s="2" t="s">
        <v>79</v>
      </c>
      <c r="V824" s="2" t="s">
        <v>86</v>
      </c>
      <c r="W824" s="3">
        <v>45508</v>
      </c>
      <c r="X824" s="2" t="b">
        <v>0</v>
      </c>
      <c r="Y824" s="2" t="b">
        <v>0</v>
      </c>
      <c r="Z824" s="2" t="s">
        <v>62</v>
      </c>
      <c r="AA824" s="2" t="s">
        <v>53</v>
      </c>
      <c r="AB824" s="2">
        <v>11</v>
      </c>
      <c r="AC824" s="2">
        <f>SUMIF(N:N,Ecommerce_Consumer_Behavior_Analysis_Data3[[#This Row],[Brand_Loyalty]],M:M)</f>
        <v>603</v>
      </c>
      <c r="AD824" s="2" t="e" cm="1" vm="1">
        <f t="array" aca="1" ref="AD824" ca="1">SUMIFS(Y:Y,Ecommerce_Consumer_Behavior_Analysis_Data3[[#This Row],[Payment_Method]],V:V)</f>
        <v>#VALUE!</v>
      </c>
      <c r="AE824" s="2">
        <f t="shared" si="16"/>
        <v>333.8</v>
      </c>
    </row>
    <row r="825" spans="1:31" x14ac:dyDescent="0.25">
      <c r="A825" s="2" t="s">
        <v>1717</v>
      </c>
      <c r="B825" s="2">
        <v>26</v>
      </c>
      <c r="C825" s="2" t="s">
        <v>43</v>
      </c>
      <c r="D825" s="2" t="s">
        <v>44</v>
      </c>
      <c r="E825" s="2" t="s">
        <v>55</v>
      </c>
      <c r="F825" s="2" t="s">
        <v>56</v>
      </c>
      <c r="G825" s="2" t="s">
        <v>44</v>
      </c>
      <c r="H825" s="2" t="s">
        <v>1718</v>
      </c>
      <c r="I825" s="2" t="s">
        <v>158</v>
      </c>
      <c r="J825" s="2">
        <v>351.54</v>
      </c>
      <c r="K825" s="2">
        <v>11</v>
      </c>
      <c r="L825" s="2" t="s">
        <v>35</v>
      </c>
      <c r="M825" s="2">
        <v>1</v>
      </c>
      <c r="N825" s="2">
        <v>3</v>
      </c>
      <c r="O825" s="2">
        <v>2</v>
      </c>
      <c r="P825" s="2" t="s">
        <v>36</v>
      </c>
      <c r="Q825" s="2" t="s">
        <v>37</v>
      </c>
      <c r="R825" s="2">
        <v>0</v>
      </c>
      <c r="S825" s="2">
        <v>8</v>
      </c>
      <c r="T825" s="2" t="s">
        <v>36</v>
      </c>
      <c r="U825" s="2" t="s">
        <v>38</v>
      </c>
      <c r="V825" s="2" t="s">
        <v>51</v>
      </c>
      <c r="W825" s="3">
        <v>45372</v>
      </c>
      <c r="X825" s="2" t="b">
        <v>1</v>
      </c>
      <c r="Y825" s="2" t="b">
        <v>0</v>
      </c>
      <c r="Z825" s="2" t="s">
        <v>74</v>
      </c>
      <c r="AA825" s="2" t="s">
        <v>67</v>
      </c>
      <c r="AB825" s="2">
        <v>12</v>
      </c>
      <c r="AC825" s="2">
        <f>SUMIF(N:N,Ecommerce_Consumer_Behavior_Analysis_Data3[[#This Row],[Brand_Loyalty]],M:M)</f>
        <v>603</v>
      </c>
      <c r="AD825" s="2" t="e" cm="1" vm="1">
        <f t="array" aca="1" ref="AD825" ca="1">SUMIFS(Y:Y,Ecommerce_Consumer_Behavior_Analysis_Data3[[#This Row],[Payment_Method]],V:V)</f>
        <v>#VALUE!</v>
      </c>
      <c r="AE825" s="2">
        <f t="shared" si="16"/>
        <v>211.7</v>
      </c>
    </row>
    <row r="826" spans="1:31" x14ac:dyDescent="0.25">
      <c r="A826" s="2" t="s">
        <v>1719</v>
      </c>
      <c r="B826" s="2">
        <v>40</v>
      </c>
      <c r="C826" s="2" t="s">
        <v>43</v>
      </c>
      <c r="D826" s="2" t="s">
        <v>44</v>
      </c>
      <c r="E826" s="2" t="s">
        <v>76</v>
      </c>
      <c r="F826" s="2" t="s">
        <v>32</v>
      </c>
      <c r="G826" s="2" t="s">
        <v>44</v>
      </c>
      <c r="H826" s="2" t="s">
        <v>1720</v>
      </c>
      <c r="I826" s="2" t="s">
        <v>65</v>
      </c>
      <c r="J826" s="2">
        <v>321.26</v>
      </c>
      <c r="K826" s="2">
        <v>12</v>
      </c>
      <c r="L826" s="2" t="s">
        <v>78</v>
      </c>
      <c r="M826" s="2">
        <v>4</v>
      </c>
      <c r="N826" s="2">
        <v>1</v>
      </c>
      <c r="O826" s="2">
        <v>0</v>
      </c>
      <c r="P826" s="2" t="s">
        <v>36</v>
      </c>
      <c r="Q826" s="2" t="s">
        <v>85</v>
      </c>
      <c r="R826" s="2">
        <v>0</v>
      </c>
      <c r="S826" s="2">
        <v>6</v>
      </c>
      <c r="T826" s="2" t="s">
        <v>36</v>
      </c>
      <c r="U826" s="2" t="s">
        <v>79</v>
      </c>
      <c r="V826" s="2" t="s">
        <v>61</v>
      </c>
      <c r="W826" s="3">
        <v>45456</v>
      </c>
      <c r="X826" s="2" t="b">
        <v>0</v>
      </c>
      <c r="Y826" s="2" t="b">
        <v>0</v>
      </c>
      <c r="Z826" s="2" t="s">
        <v>40</v>
      </c>
      <c r="AA826" s="2" t="s">
        <v>53</v>
      </c>
      <c r="AB826" s="2">
        <v>14</v>
      </c>
      <c r="AC826" s="2">
        <f>SUMIF(N:N,Ecommerce_Consumer_Behavior_Analysis_Data3[[#This Row],[Brand_Loyalty]],M:M)</f>
        <v>603</v>
      </c>
      <c r="AD826" s="2" t="e" cm="1" vm="1">
        <f t="array" aca="1" ref="AD826" ca="1">SUMIFS(Y:Y,Ecommerce_Consumer_Behavior_Analysis_Data3[[#This Row],[Payment_Method]],V:V)</f>
        <v>#VALUE!</v>
      </c>
      <c r="AE826" s="2">
        <f t="shared" si="16"/>
        <v>333.8</v>
      </c>
    </row>
    <row r="827" spans="1:31" x14ac:dyDescent="0.25">
      <c r="A827" s="2" t="s">
        <v>1721</v>
      </c>
      <c r="B827" s="2">
        <v>47</v>
      </c>
      <c r="C827" s="2" t="s">
        <v>29</v>
      </c>
      <c r="D827" s="2" t="s">
        <v>44</v>
      </c>
      <c r="E827" s="2" t="s">
        <v>76</v>
      </c>
      <c r="F827" s="2" t="s">
        <v>45</v>
      </c>
      <c r="G827" s="2" t="s">
        <v>30</v>
      </c>
      <c r="H827" s="2" t="s">
        <v>1722</v>
      </c>
      <c r="I827" s="2" t="s">
        <v>101</v>
      </c>
      <c r="J827" s="2">
        <v>421.5</v>
      </c>
      <c r="K827" s="2">
        <v>11</v>
      </c>
      <c r="L827" s="2" t="s">
        <v>78</v>
      </c>
      <c r="M827" s="2">
        <v>5</v>
      </c>
      <c r="N827" s="2">
        <v>1</v>
      </c>
      <c r="O827" s="2">
        <v>2</v>
      </c>
      <c r="P827" s="2" t="s">
        <v>59</v>
      </c>
      <c r="Q827" s="2" t="s">
        <v>37</v>
      </c>
      <c r="R827" s="2">
        <v>0</v>
      </c>
      <c r="S827" s="2">
        <v>8</v>
      </c>
      <c r="T827" s="2" t="s">
        <v>36</v>
      </c>
      <c r="U827" s="2" t="s">
        <v>79</v>
      </c>
      <c r="V827" s="2" t="s">
        <v>51</v>
      </c>
      <c r="W827" s="3">
        <v>45386</v>
      </c>
      <c r="X827" s="2" t="b">
        <v>1</v>
      </c>
      <c r="Y827" s="2" t="b">
        <v>1</v>
      </c>
      <c r="Z827" s="2" t="s">
        <v>40</v>
      </c>
      <c r="AA827" s="2" t="s">
        <v>67</v>
      </c>
      <c r="AB827" s="2">
        <v>3</v>
      </c>
      <c r="AC827" s="2">
        <f>SUMIF(N:N,Ecommerce_Consumer_Behavior_Analysis_Data3[[#This Row],[Brand_Loyalty]],M:M)</f>
        <v>641</v>
      </c>
      <c r="AD827" s="2" t="e" cm="1" vm="1">
        <f t="array" aca="1" ref="AD827" ca="1">SUMIFS(Y:Y,Ecommerce_Consumer_Behavior_Analysis_Data3[[#This Row],[Payment_Method]],V:V)</f>
        <v>#VALUE!</v>
      </c>
      <c r="AE827" s="2">
        <f t="shared" si="16"/>
        <v>333.8</v>
      </c>
    </row>
    <row r="828" spans="1:31" x14ac:dyDescent="0.25">
      <c r="A828" s="2" t="s">
        <v>1723</v>
      </c>
      <c r="B828" s="2">
        <v>27</v>
      </c>
      <c r="C828" s="2" t="s">
        <v>88</v>
      </c>
      <c r="D828" s="2" t="s">
        <v>44</v>
      </c>
      <c r="E828" s="2" t="s">
        <v>69</v>
      </c>
      <c r="F828" s="2" t="s">
        <v>45</v>
      </c>
      <c r="G828" s="2" t="s">
        <v>30</v>
      </c>
      <c r="H828" s="2" t="s">
        <v>1724</v>
      </c>
      <c r="I828" s="2" t="s">
        <v>47</v>
      </c>
      <c r="J828" s="2">
        <v>253.29</v>
      </c>
      <c r="K828" s="2">
        <v>6</v>
      </c>
      <c r="L828" s="2" t="s">
        <v>35</v>
      </c>
      <c r="M828" s="2">
        <v>3</v>
      </c>
      <c r="N828" s="2">
        <v>2</v>
      </c>
      <c r="O828" s="2">
        <v>2</v>
      </c>
      <c r="P828" s="2" t="s">
        <v>36</v>
      </c>
      <c r="Q828" s="2" t="s">
        <v>37</v>
      </c>
      <c r="R828" s="2">
        <v>1</v>
      </c>
      <c r="S828" s="2">
        <v>4</v>
      </c>
      <c r="T828" s="2" t="s">
        <v>36</v>
      </c>
      <c r="U828" s="2" t="s">
        <v>79</v>
      </c>
      <c r="V828" s="2" t="s">
        <v>51</v>
      </c>
      <c r="W828" s="3">
        <v>45414</v>
      </c>
      <c r="X828" s="2" t="b">
        <v>1</v>
      </c>
      <c r="Y828" s="2" t="b">
        <v>0</v>
      </c>
      <c r="Z828" s="2" t="s">
        <v>74</v>
      </c>
      <c r="AA828" s="2" t="s">
        <v>53</v>
      </c>
      <c r="AB828" s="2">
        <v>8</v>
      </c>
      <c r="AC828" s="2">
        <f>SUMIF(N:N,Ecommerce_Consumer_Behavior_Analysis_Data3[[#This Row],[Brand_Loyalty]],M:M)</f>
        <v>597</v>
      </c>
      <c r="AD828" s="2" t="e" cm="1" vm="1">
        <f t="array" aca="1" ref="AD828" ca="1">SUMIFS(Y:Y,Ecommerce_Consumer_Behavior_Analysis_Data3[[#This Row],[Payment_Method]],V:V)</f>
        <v>#VALUE!</v>
      </c>
      <c r="AE828" s="2">
        <f t="shared" si="16"/>
        <v>101.31</v>
      </c>
    </row>
    <row r="829" spans="1:31" x14ac:dyDescent="0.25">
      <c r="A829" s="2" t="s">
        <v>1725</v>
      </c>
      <c r="B829" s="2">
        <v>29</v>
      </c>
      <c r="C829" s="2" t="s">
        <v>29</v>
      </c>
      <c r="D829" s="2" t="s">
        <v>30</v>
      </c>
      <c r="E829" s="2" t="s">
        <v>76</v>
      </c>
      <c r="F829" s="2" t="s">
        <v>45</v>
      </c>
      <c r="G829" s="2" t="s">
        <v>44</v>
      </c>
      <c r="H829" s="2" t="s">
        <v>1726</v>
      </c>
      <c r="I829" s="2" t="s">
        <v>246</v>
      </c>
      <c r="J829" s="2">
        <v>217.62</v>
      </c>
      <c r="K829" s="2">
        <v>3</v>
      </c>
      <c r="L829" s="2" t="s">
        <v>78</v>
      </c>
      <c r="M829" s="2">
        <v>5</v>
      </c>
      <c r="N829" s="2">
        <v>2</v>
      </c>
      <c r="O829" s="2">
        <v>1</v>
      </c>
      <c r="P829" s="2" t="s">
        <v>44</v>
      </c>
      <c r="Q829" s="2" t="s">
        <v>85</v>
      </c>
      <c r="R829" s="2">
        <v>2</v>
      </c>
      <c r="S829" s="2">
        <v>3</v>
      </c>
      <c r="T829" s="2" t="s">
        <v>59</v>
      </c>
      <c r="U829" s="2" t="s">
        <v>60</v>
      </c>
      <c r="V829" s="2" t="s">
        <v>51</v>
      </c>
      <c r="W829" s="3">
        <v>45336</v>
      </c>
      <c r="X829" s="2" t="b">
        <v>0</v>
      </c>
      <c r="Y829" s="2" t="b">
        <v>1</v>
      </c>
      <c r="Z829" s="2" t="s">
        <v>62</v>
      </c>
      <c r="AA829" s="2" t="s">
        <v>41</v>
      </c>
      <c r="AB829" s="2">
        <v>5</v>
      </c>
      <c r="AC829" s="2">
        <f>SUMIF(N:N,Ecommerce_Consumer_Behavior_Analysis_Data3[[#This Row],[Brand_Loyalty]],M:M)</f>
        <v>641</v>
      </c>
      <c r="AD829" s="2" t="e" cm="1" vm="1">
        <f t="array" aca="1" ref="AD829" ca="1">SUMIFS(Y:Y,Ecommerce_Consumer_Behavior_Analysis_Data3[[#This Row],[Payment_Method]],V:V)</f>
        <v>#VALUE!</v>
      </c>
      <c r="AE829" s="2">
        <f t="shared" si="16"/>
        <v>101.31</v>
      </c>
    </row>
    <row r="830" spans="1:31" x14ac:dyDescent="0.25">
      <c r="A830" s="2" t="s">
        <v>1727</v>
      </c>
      <c r="B830" s="2">
        <v>21</v>
      </c>
      <c r="C830" s="2" t="s">
        <v>43</v>
      </c>
      <c r="D830" s="2" t="s">
        <v>30</v>
      </c>
      <c r="E830" s="2" t="s">
        <v>55</v>
      </c>
      <c r="F830" s="2" t="s">
        <v>32</v>
      </c>
      <c r="G830" s="2" t="s">
        <v>44</v>
      </c>
      <c r="H830" s="2" t="s">
        <v>1728</v>
      </c>
      <c r="I830" s="2" t="s">
        <v>82</v>
      </c>
      <c r="J830" s="2">
        <v>226.04</v>
      </c>
      <c r="K830" s="2">
        <v>11</v>
      </c>
      <c r="L830" s="2" t="s">
        <v>78</v>
      </c>
      <c r="M830" s="2">
        <v>4</v>
      </c>
      <c r="N830" s="2">
        <v>1</v>
      </c>
      <c r="O830" s="2">
        <v>1</v>
      </c>
      <c r="P830" s="2" t="s">
        <v>36</v>
      </c>
      <c r="Q830" s="2" t="s">
        <v>85</v>
      </c>
      <c r="R830" s="2">
        <v>0</v>
      </c>
      <c r="S830" s="2">
        <v>9</v>
      </c>
      <c r="T830" s="2" t="s">
        <v>49</v>
      </c>
      <c r="U830" s="2" t="s">
        <v>79</v>
      </c>
      <c r="V830" s="2" t="s">
        <v>51</v>
      </c>
      <c r="W830" s="3">
        <v>45426</v>
      </c>
      <c r="X830" s="2" t="b">
        <v>1</v>
      </c>
      <c r="Y830" s="2" t="b">
        <v>0</v>
      </c>
      <c r="Z830" s="2" t="s">
        <v>52</v>
      </c>
      <c r="AA830" s="2" t="s">
        <v>67</v>
      </c>
      <c r="AB830" s="2">
        <v>12</v>
      </c>
      <c r="AC830" s="2">
        <f>SUMIF(N:N,Ecommerce_Consumer_Behavior_Analysis_Data3[[#This Row],[Brand_Loyalty]],M:M)</f>
        <v>603</v>
      </c>
      <c r="AD830" s="2" t="e" cm="1" vm="1">
        <f t="array" aca="1" ref="AD830" ca="1">SUMIFS(Y:Y,Ecommerce_Consumer_Behavior_Analysis_Data3[[#This Row],[Payment_Method]],V:V)</f>
        <v>#VALUE!</v>
      </c>
      <c r="AE830" s="2">
        <f t="shared" si="16"/>
        <v>211.7</v>
      </c>
    </row>
    <row r="831" spans="1:31" x14ac:dyDescent="0.25">
      <c r="A831" s="2" t="s">
        <v>1729</v>
      </c>
      <c r="B831" s="2">
        <v>41</v>
      </c>
      <c r="C831" s="2" t="s">
        <v>148</v>
      </c>
      <c r="D831" s="2" t="s">
        <v>44</v>
      </c>
      <c r="E831" s="2" t="s">
        <v>55</v>
      </c>
      <c r="F831" s="2" t="s">
        <v>32</v>
      </c>
      <c r="G831" s="2" t="s">
        <v>44</v>
      </c>
      <c r="H831" s="2" t="s">
        <v>1730</v>
      </c>
      <c r="I831" s="2" t="s">
        <v>114</v>
      </c>
      <c r="J831" s="2">
        <v>52.79</v>
      </c>
      <c r="K831" s="2">
        <v>4</v>
      </c>
      <c r="L831" s="2" t="s">
        <v>78</v>
      </c>
      <c r="M831" s="2">
        <v>2</v>
      </c>
      <c r="N831" s="2">
        <v>2</v>
      </c>
      <c r="O831" s="2">
        <v>0</v>
      </c>
      <c r="P831" s="2" t="s">
        <v>59</v>
      </c>
      <c r="Q831" s="2" t="s">
        <v>50</v>
      </c>
      <c r="R831" s="2">
        <v>1</v>
      </c>
      <c r="S831" s="2">
        <v>7</v>
      </c>
      <c r="T831" s="2" t="s">
        <v>36</v>
      </c>
      <c r="U831" s="2" t="s">
        <v>38</v>
      </c>
      <c r="V831" s="2" t="s">
        <v>61</v>
      </c>
      <c r="W831" s="3">
        <v>45328</v>
      </c>
      <c r="X831" s="2" t="b">
        <v>1</v>
      </c>
      <c r="Y831" s="2" t="b">
        <v>1</v>
      </c>
      <c r="Z831" s="2" t="s">
        <v>62</v>
      </c>
      <c r="AA831" s="2" t="s">
        <v>67</v>
      </c>
      <c r="AB831" s="2">
        <v>4</v>
      </c>
      <c r="AC831" s="2">
        <f>SUMIF(N:N,Ecommerce_Consumer_Behavior_Analysis_Data3[[#This Row],[Brand_Loyalty]],M:M)</f>
        <v>582</v>
      </c>
      <c r="AD831" s="2" t="e" cm="1" vm="1">
        <f t="array" aca="1" ref="AD831" ca="1">SUMIFS(Y:Y,Ecommerce_Consumer_Behavior_Analysis_Data3[[#This Row],[Payment_Method]],V:V)</f>
        <v>#VALUE!</v>
      </c>
      <c r="AE831" s="2">
        <f t="shared" si="16"/>
        <v>101.31</v>
      </c>
    </row>
    <row r="832" spans="1:31" x14ac:dyDescent="0.25">
      <c r="A832" s="2" t="s">
        <v>1731</v>
      </c>
      <c r="B832" s="2">
        <v>43</v>
      </c>
      <c r="C832" s="2" t="s">
        <v>43</v>
      </c>
      <c r="D832" s="2" t="s">
        <v>30</v>
      </c>
      <c r="E832" s="2" t="s">
        <v>69</v>
      </c>
      <c r="F832" s="2" t="s">
        <v>45</v>
      </c>
      <c r="G832" s="2" t="s">
        <v>44</v>
      </c>
      <c r="H832" s="2" t="s">
        <v>1732</v>
      </c>
      <c r="I832" s="2" t="s">
        <v>246</v>
      </c>
      <c r="J832" s="2">
        <v>385.08</v>
      </c>
      <c r="K832" s="2">
        <v>7</v>
      </c>
      <c r="L832" s="2" t="s">
        <v>48</v>
      </c>
      <c r="M832" s="2">
        <v>2</v>
      </c>
      <c r="N832" s="2">
        <v>4</v>
      </c>
      <c r="O832" s="2">
        <v>1</v>
      </c>
      <c r="P832" s="2" t="s">
        <v>44</v>
      </c>
      <c r="Q832" s="2" t="s">
        <v>37</v>
      </c>
      <c r="R832" s="2">
        <v>1</v>
      </c>
      <c r="S832" s="2">
        <v>1</v>
      </c>
      <c r="T832" s="2" t="s">
        <v>59</v>
      </c>
      <c r="U832" s="2" t="s">
        <v>38</v>
      </c>
      <c r="V832" s="2" t="s">
        <v>61</v>
      </c>
      <c r="W832" s="3">
        <v>45608</v>
      </c>
      <c r="X832" s="2" t="b">
        <v>0</v>
      </c>
      <c r="Y832" s="2" t="b">
        <v>1</v>
      </c>
      <c r="Z832" s="2" t="s">
        <v>62</v>
      </c>
      <c r="AA832" s="2" t="s">
        <v>41</v>
      </c>
      <c r="AB832" s="2">
        <v>1</v>
      </c>
      <c r="AC832" s="2">
        <f>SUMIF(N:N,Ecommerce_Consumer_Behavior_Analysis_Data3[[#This Row],[Brand_Loyalty]],M:M)</f>
        <v>582</v>
      </c>
      <c r="AD832" s="2" t="e" cm="1" vm="1">
        <f t="array" aca="1" ref="AD832" ca="1">SUMIFS(Y:Y,Ecommerce_Consumer_Behavior_Analysis_Data3[[#This Row],[Payment_Method]],V:V)</f>
        <v>#VALUE!</v>
      </c>
      <c r="AE832" s="2">
        <f t="shared" si="16"/>
        <v>333.8</v>
      </c>
    </row>
    <row r="833" spans="1:31" x14ac:dyDescent="0.25">
      <c r="A833" s="2" t="s">
        <v>1733</v>
      </c>
      <c r="B833" s="2">
        <v>33</v>
      </c>
      <c r="C833" s="2" t="s">
        <v>43</v>
      </c>
      <c r="D833" s="2" t="s">
        <v>44</v>
      </c>
      <c r="E833" s="2" t="s">
        <v>69</v>
      </c>
      <c r="F833" s="2" t="s">
        <v>56</v>
      </c>
      <c r="G833" s="2" t="s">
        <v>30</v>
      </c>
      <c r="H833" s="2" t="s">
        <v>918</v>
      </c>
      <c r="I833" s="2" t="s">
        <v>107</v>
      </c>
      <c r="J833" s="2">
        <v>181.1</v>
      </c>
      <c r="K833" s="2">
        <v>2</v>
      </c>
      <c r="L833" s="2" t="s">
        <v>78</v>
      </c>
      <c r="M833" s="2">
        <v>2</v>
      </c>
      <c r="N833" s="2">
        <v>5</v>
      </c>
      <c r="O833" s="2">
        <v>2</v>
      </c>
      <c r="P833" s="2" t="s">
        <v>59</v>
      </c>
      <c r="Q833" s="2" t="s">
        <v>50</v>
      </c>
      <c r="R833" s="2">
        <v>2</v>
      </c>
      <c r="S833" s="2">
        <v>7</v>
      </c>
      <c r="T833" s="2" t="s">
        <v>59</v>
      </c>
      <c r="U833" s="2" t="s">
        <v>38</v>
      </c>
      <c r="V833" s="2" t="s">
        <v>39</v>
      </c>
      <c r="W833" s="3">
        <v>45652</v>
      </c>
      <c r="X833" s="2" t="b">
        <v>0</v>
      </c>
      <c r="Y833" s="2" t="b">
        <v>0</v>
      </c>
      <c r="Z833" s="2" t="s">
        <v>62</v>
      </c>
      <c r="AA833" s="2" t="s">
        <v>41</v>
      </c>
      <c r="AB833" s="2">
        <v>5</v>
      </c>
      <c r="AC833" s="2">
        <f>SUMIF(N:N,Ecommerce_Consumer_Behavior_Analysis_Data3[[#This Row],[Brand_Loyalty]],M:M)</f>
        <v>582</v>
      </c>
      <c r="AD833" s="2" t="e" cm="1" vm="1">
        <f t="array" aca="1" ref="AD833" ca="1">SUMIFS(Y:Y,Ecommerce_Consumer_Behavior_Analysis_Data3[[#This Row],[Payment_Method]],V:V)</f>
        <v>#VALUE!</v>
      </c>
      <c r="AE833" s="2">
        <f t="shared" si="16"/>
        <v>211.7</v>
      </c>
    </row>
    <row r="834" spans="1:31" x14ac:dyDescent="0.25">
      <c r="A834" s="2" t="s">
        <v>1734</v>
      </c>
      <c r="B834" s="2">
        <v>23</v>
      </c>
      <c r="C834" s="2" t="s">
        <v>29</v>
      </c>
      <c r="D834" s="2" t="s">
        <v>30</v>
      </c>
      <c r="E834" s="2" t="s">
        <v>55</v>
      </c>
      <c r="F834" s="2" t="s">
        <v>56</v>
      </c>
      <c r="G834" s="2" t="s">
        <v>30</v>
      </c>
      <c r="H834" s="2" t="s">
        <v>1735</v>
      </c>
      <c r="I834" s="2" t="s">
        <v>58</v>
      </c>
      <c r="J834" s="2">
        <v>246.41</v>
      </c>
      <c r="K834" s="2">
        <v>7</v>
      </c>
      <c r="L834" s="2" t="s">
        <v>48</v>
      </c>
      <c r="M834" s="2">
        <v>2</v>
      </c>
      <c r="N834" s="2">
        <v>4</v>
      </c>
      <c r="O834" s="2">
        <v>0</v>
      </c>
      <c r="P834" s="2" t="s">
        <v>36</v>
      </c>
      <c r="Q834" s="2" t="s">
        <v>37</v>
      </c>
      <c r="R834" s="2">
        <v>2</v>
      </c>
      <c r="S834" s="2">
        <v>8</v>
      </c>
      <c r="T834" s="2" t="s">
        <v>59</v>
      </c>
      <c r="U834" s="2" t="s">
        <v>60</v>
      </c>
      <c r="V834" s="2" t="s">
        <v>86</v>
      </c>
      <c r="W834" s="3">
        <v>45566</v>
      </c>
      <c r="X834" s="2" t="b">
        <v>1</v>
      </c>
      <c r="Y834" s="2" t="b">
        <v>0</v>
      </c>
      <c r="Z834" s="2" t="s">
        <v>40</v>
      </c>
      <c r="AA834" s="2" t="s">
        <v>53</v>
      </c>
      <c r="AB834" s="2">
        <v>11</v>
      </c>
      <c r="AC834" s="2">
        <f>SUMIF(N:N,Ecommerce_Consumer_Behavior_Analysis_Data3[[#This Row],[Brand_Loyalty]],M:M)</f>
        <v>582</v>
      </c>
      <c r="AD834" s="2" t="e" cm="1" vm="1">
        <f t="array" aca="1" ref="AD834" ca="1">SUMIFS(Y:Y,Ecommerce_Consumer_Behavior_Analysis_Data3[[#This Row],[Payment_Method]],V:V)</f>
        <v>#VALUE!</v>
      </c>
      <c r="AE834" s="2">
        <f t="shared" ref="AE834:AE897" si="17">INDEX(J:J,MATCH(O835,O:O,0))</f>
        <v>333.8</v>
      </c>
    </row>
    <row r="835" spans="1:31" x14ac:dyDescent="0.25">
      <c r="A835" s="2" t="s">
        <v>1736</v>
      </c>
      <c r="B835" s="2">
        <v>37</v>
      </c>
      <c r="C835" s="2" t="s">
        <v>29</v>
      </c>
      <c r="D835" s="2" t="s">
        <v>30</v>
      </c>
      <c r="E835" s="2" t="s">
        <v>76</v>
      </c>
      <c r="F835" s="2" t="s">
        <v>32</v>
      </c>
      <c r="G835" s="2" t="s">
        <v>44</v>
      </c>
      <c r="H835" s="2" t="s">
        <v>1737</v>
      </c>
      <c r="I835" s="2" t="s">
        <v>123</v>
      </c>
      <c r="J835" s="2">
        <v>140.87</v>
      </c>
      <c r="K835" s="2">
        <v>8</v>
      </c>
      <c r="L835" s="2" t="s">
        <v>48</v>
      </c>
      <c r="M835" s="2">
        <v>3</v>
      </c>
      <c r="N835" s="2">
        <v>3</v>
      </c>
      <c r="O835" s="2">
        <v>2</v>
      </c>
      <c r="P835" s="2" t="s">
        <v>59</v>
      </c>
      <c r="Q835" s="2" t="s">
        <v>50</v>
      </c>
      <c r="R835" s="2">
        <v>2</v>
      </c>
      <c r="S835" s="2">
        <v>7</v>
      </c>
      <c r="T835" s="2" t="s">
        <v>49</v>
      </c>
      <c r="U835" s="2" t="s">
        <v>38</v>
      </c>
      <c r="V835" s="2" t="s">
        <v>66</v>
      </c>
      <c r="W835" s="3">
        <v>45354</v>
      </c>
      <c r="X835" s="2" t="b">
        <v>1</v>
      </c>
      <c r="Y835" s="2" t="b">
        <v>0</v>
      </c>
      <c r="Z835" s="2" t="s">
        <v>62</v>
      </c>
      <c r="AA835" s="2" t="s">
        <v>41</v>
      </c>
      <c r="AB835" s="2">
        <v>9</v>
      </c>
      <c r="AC835" s="2">
        <f>SUMIF(N:N,Ecommerce_Consumer_Behavior_Analysis_Data3[[#This Row],[Brand_Loyalty]],M:M)</f>
        <v>597</v>
      </c>
      <c r="AD835" s="2" t="e" cm="1" vm="1">
        <f t="array" aca="1" ref="AD835" ca="1">SUMIFS(Y:Y,Ecommerce_Consumer_Behavior_Analysis_Data3[[#This Row],[Payment_Method]],V:V)</f>
        <v>#VALUE!</v>
      </c>
      <c r="AE835" s="2">
        <f t="shared" si="17"/>
        <v>211.7</v>
      </c>
    </row>
    <row r="836" spans="1:31" x14ac:dyDescent="0.25">
      <c r="A836" s="2" t="s">
        <v>1738</v>
      </c>
      <c r="B836" s="2">
        <v>34</v>
      </c>
      <c r="C836" s="2" t="s">
        <v>29</v>
      </c>
      <c r="D836" s="2" t="s">
        <v>44</v>
      </c>
      <c r="E836" s="2" t="s">
        <v>55</v>
      </c>
      <c r="F836" s="2" t="s">
        <v>56</v>
      </c>
      <c r="G836" s="2" t="s">
        <v>44</v>
      </c>
      <c r="H836" s="2" t="s">
        <v>1739</v>
      </c>
      <c r="I836" s="2" t="s">
        <v>120</v>
      </c>
      <c r="J836" s="2">
        <v>151.25</v>
      </c>
      <c r="K836" s="2">
        <v>2</v>
      </c>
      <c r="L836" s="2" t="s">
        <v>48</v>
      </c>
      <c r="M836" s="2">
        <v>2</v>
      </c>
      <c r="N836" s="2">
        <v>5</v>
      </c>
      <c r="O836" s="2">
        <v>0</v>
      </c>
      <c r="P836" s="2" t="s">
        <v>49</v>
      </c>
      <c r="Q836" s="2" t="s">
        <v>37</v>
      </c>
      <c r="R836" s="2">
        <v>1</v>
      </c>
      <c r="S836" s="2">
        <v>8</v>
      </c>
      <c r="T836" s="2" t="s">
        <v>49</v>
      </c>
      <c r="U836" s="2" t="s">
        <v>38</v>
      </c>
      <c r="V836" s="2" t="s">
        <v>61</v>
      </c>
      <c r="W836" s="3">
        <v>45402</v>
      </c>
      <c r="X836" s="2" t="b">
        <v>1</v>
      </c>
      <c r="Y836" s="2" t="b">
        <v>0</v>
      </c>
      <c r="Z836" s="2" t="s">
        <v>74</v>
      </c>
      <c r="AA836" s="2" t="s">
        <v>41</v>
      </c>
      <c r="AB836" s="2">
        <v>10</v>
      </c>
      <c r="AC836" s="2">
        <f>SUMIF(N:N,Ecommerce_Consumer_Behavior_Analysis_Data3[[#This Row],[Brand_Loyalty]],M:M)</f>
        <v>582</v>
      </c>
      <c r="AD836" s="2" t="e" cm="1" vm="1">
        <f t="array" aca="1" ref="AD836" ca="1">SUMIFS(Y:Y,Ecommerce_Consumer_Behavior_Analysis_Data3[[#This Row],[Payment_Method]],V:V)</f>
        <v>#VALUE!</v>
      </c>
      <c r="AE836" s="2">
        <f t="shared" si="17"/>
        <v>333.8</v>
      </c>
    </row>
    <row r="837" spans="1:31" x14ac:dyDescent="0.25">
      <c r="A837" s="2" t="s">
        <v>1740</v>
      </c>
      <c r="B837" s="2">
        <v>27</v>
      </c>
      <c r="C837" s="2" t="s">
        <v>43</v>
      </c>
      <c r="D837" s="2" t="s">
        <v>44</v>
      </c>
      <c r="E837" s="2" t="s">
        <v>76</v>
      </c>
      <c r="F837" s="2" t="s">
        <v>56</v>
      </c>
      <c r="G837" s="2" t="s">
        <v>30</v>
      </c>
      <c r="H837" s="2" t="s">
        <v>1741</v>
      </c>
      <c r="I837" s="2" t="s">
        <v>107</v>
      </c>
      <c r="J837" s="2">
        <v>171.52</v>
      </c>
      <c r="K837" s="2">
        <v>3</v>
      </c>
      <c r="L837" s="2" t="s">
        <v>35</v>
      </c>
      <c r="M837" s="2">
        <v>5</v>
      </c>
      <c r="N837" s="2">
        <v>5</v>
      </c>
      <c r="O837" s="2">
        <v>2</v>
      </c>
      <c r="P837" s="2" t="s">
        <v>49</v>
      </c>
      <c r="Q837" s="2" t="s">
        <v>85</v>
      </c>
      <c r="R837" s="2">
        <v>1</v>
      </c>
      <c r="S837" s="2">
        <v>9</v>
      </c>
      <c r="T837" s="2" t="s">
        <v>49</v>
      </c>
      <c r="U837" s="2" t="s">
        <v>60</v>
      </c>
      <c r="V837" s="2" t="s">
        <v>86</v>
      </c>
      <c r="W837" s="3">
        <v>45525</v>
      </c>
      <c r="X837" s="2" t="b">
        <v>1</v>
      </c>
      <c r="Y837" s="2" t="b">
        <v>1</v>
      </c>
      <c r="Z837" s="2" t="s">
        <v>74</v>
      </c>
      <c r="AA837" s="2" t="s">
        <v>53</v>
      </c>
      <c r="AB837" s="2">
        <v>12</v>
      </c>
      <c r="AC837" s="2">
        <f>SUMIF(N:N,Ecommerce_Consumer_Behavior_Analysis_Data3[[#This Row],[Brand_Loyalty]],M:M)</f>
        <v>641</v>
      </c>
      <c r="AD837" s="2" t="e" cm="1" vm="1">
        <f t="array" aca="1" ref="AD837" ca="1">SUMIFS(Y:Y,Ecommerce_Consumer_Behavior_Analysis_Data3[[#This Row],[Payment_Method]],V:V)</f>
        <v>#VALUE!</v>
      </c>
      <c r="AE837" s="2">
        <f t="shared" si="17"/>
        <v>101.31</v>
      </c>
    </row>
    <row r="838" spans="1:31" x14ac:dyDescent="0.25">
      <c r="A838" s="2" t="s">
        <v>1742</v>
      </c>
      <c r="B838" s="2">
        <v>40</v>
      </c>
      <c r="C838" s="2" t="s">
        <v>43</v>
      </c>
      <c r="D838" s="2" t="s">
        <v>30</v>
      </c>
      <c r="E838" s="2" t="s">
        <v>69</v>
      </c>
      <c r="F838" s="2" t="s">
        <v>56</v>
      </c>
      <c r="G838" s="2" t="s">
        <v>44</v>
      </c>
      <c r="H838" s="2" t="s">
        <v>1743</v>
      </c>
      <c r="I838" s="2" t="s">
        <v>90</v>
      </c>
      <c r="J838" s="2">
        <v>399.56</v>
      </c>
      <c r="K838" s="2">
        <v>10</v>
      </c>
      <c r="L838" s="2" t="s">
        <v>78</v>
      </c>
      <c r="M838" s="2">
        <v>4</v>
      </c>
      <c r="N838" s="2">
        <v>2</v>
      </c>
      <c r="O838" s="2">
        <v>1</v>
      </c>
      <c r="P838" s="2" t="s">
        <v>59</v>
      </c>
      <c r="Q838" s="2" t="s">
        <v>50</v>
      </c>
      <c r="R838" s="2">
        <v>0</v>
      </c>
      <c r="S838" s="2">
        <v>4</v>
      </c>
      <c r="T838" s="2" t="s">
        <v>49</v>
      </c>
      <c r="U838" s="2" t="s">
        <v>79</v>
      </c>
      <c r="V838" s="2" t="s">
        <v>86</v>
      </c>
      <c r="W838" s="3">
        <v>45586</v>
      </c>
      <c r="X838" s="2" t="b">
        <v>1</v>
      </c>
      <c r="Y838" s="2" t="b">
        <v>1</v>
      </c>
      <c r="Z838" s="2" t="s">
        <v>40</v>
      </c>
      <c r="AA838" s="2" t="s">
        <v>41</v>
      </c>
      <c r="AB838" s="2">
        <v>1</v>
      </c>
      <c r="AC838" s="2">
        <f>SUMIF(N:N,Ecommerce_Consumer_Behavior_Analysis_Data3[[#This Row],[Brand_Loyalty]],M:M)</f>
        <v>603</v>
      </c>
      <c r="AD838" s="2" t="e" cm="1" vm="1">
        <f t="array" aca="1" ref="AD838" ca="1">SUMIFS(Y:Y,Ecommerce_Consumer_Behavior_Analysis_Data3[[#This Row],[Payment_Method]],V:V)</f>
        <v>#VALUE!</v>
      </c>
      <c r="AE838" s="2">
        <f t="shared" si="17"/>
        <v>101.31</v>
      </c>
    </row>
    <row r="839" spans="1:31" x14ac:dyDescent="0.25">
      <c r="A839" s="2" t="s">
        <v>1744</v>
      </c>
      <c r="B839" s="2">
        <v>40</v>
      </c>
      <c r="C839" s="2" t="s">
        <v>29</v>
      </c>
      <c r="D839" s="2" t="s">
        <v>30</v>
      </c>
      <c r="E839" s="2" t="s">
        <v>69</v>
      </c>
      <c r="F839" s="2" t="s">
        <v>56</v>
      </c>
      <c r="G839" s="2" t="s">
        <v>30</v>
      </c>
      <c r="H839" s="2" t="s">
        <v>1745</v>
      </c>
      <c r="I839" s="2" t="s">
        <v>90</v>
      </c>
      <c r="J839" s="2">
        <v>173.46</v>
      </c>
      <c r="K839" s="2">
        <v>4</v>
      </c>
      <c r="L839" s="2" t="s">
        <v>35</v>
      </c>
      <c r="M839" s="2">
        <v>5</v>
      </c>
      <c r="N839" s="2">
        <v>3</v>
      </c>
      <c r="O839" s="2">
        <v>1</v>
      </c>
      <c r="P839" s="2" t="s">
        <v>36</v>
      </c>
      <c r="Q839" s="2" t="s">
        <v>50</v>
      </c>
      <c r="R839" s="2">
        <v>0</v>
      </c>
      <c r="S839" s="2">
        <v>9</v>
      </c>
      <c r="T839" s="2" t="s">
        <v>49</v>
      </c>
      <c r="U839" s="2" t="s">
        <v>60</v>
      </c>
      <c r="V839" s="2" t="s">
        <v>51</v>
      </c>
      <c r="W839" s="3">
        <v>45393</v>
      </c>
      <c r="X839" s="2" t="b">
        <v>0</v>
      </c>
      <c r="Y839" s="2" t="b">
        <v>1</v>
      </c>
      <c r="Z839" s="2" t="s">
        <v>52</v>
      </c>
      <c r="AA839" s="2" t="s">
        <v>41</v>
      </c>
      <c r="AB839" s="2">
        <v>2</v>
      </c>
      <c r="AC839" s="2">
        <f>SUMIF(N:N,Ecommerce_Consumer_Behavior_Analysis_Data3[[#This Row],[Brand_Loyalty]],M:M)</f>
        <v>641</v>
      </c>
      <c r="AD839" s="2" t="e" cm="1" vm="1">
        <f t="array" aca="1" ref="AD839" ca="1">SUMIFS(Y:Y,Ecommerce_Consumer_Behavior_Analysis_Data3[[#This Row],[Payment_Method]],V:V)</f>
        <v>#VALUE!</v>
      </c>
      <c r="AE839" s="2">
        <f t="shared" si="17"/>
        <v>211.7</v>
      </c>
    </row>
    <row r="840" spans="1:31" x14ac:dyDescent="0.25">
      <c r="A840" s="2" t="s">
        <v>1746</v>
      </c>
      <c r="B840" s="2">
        <v>43</v>
      </c>
      <c r="C840" s="2" t="s">
        <v>43</v>
      </c>
      <c r="D840" s="2" t="s">
        <v>44</v>
      </c>
      <c r="E840" s="2" t="s">
        <v>69</v>
      </c>
      <c r="F840" s="2" t="s">
        <v>32</v>
      </c>
      <c r="G840" s="2" t="s">
        <v>44</v>
      </c>
      <c r="H840" s="2" t="s">
        <v>1747</v>
      </c>
      <c r="I840" s="2" t="s">
        <v>126</v>
      </c>
      <c r="J840" s="2">
        <v>332.14</v>
      </c>
      <c r="K840" s="2">
        <v>10</v>
      </c>
      <c r="L840" s="2" t="s">
        <v>78</v>
      </c>
      <c r="M840" s="2">
        <v>4</v>
      </c>
      <c r="N840" s="2">
        <v>4</v>
      </c>
      <c r="O840" s="2">
        <v>0</v>
      </c>
      <c r="P840" s="2" t="s">
        <v>59</v>
      </c>
      <c r="Q840" s="2" t="s">
        <v>37</v>
      </c>
      <c r="R840" s="2">
        <v>1</v>
      </c>
      <c r="S840" s="2">
        <v>2</v>
      </c>
      <c r="T840" s="2" t="s">
        <v>36</v>
      </c>
      <c r="U840" s="2" t="s">
        <v>79</v>
      </c>
      <c r="V840" s="2" t="s">
        <v>51</v>
      </c>
      <c r="W840" s="3">
        <v>45331</v>
      </c>
      <c r="X840" s="2" t="b">
        <v>1</v>
      </c>
      <c r="Y840" s="2" t="b">
        <v>1</v>
      </c>
      <c r="Z840" s="2" t="s">
        <v>74</v>
      </c>
      <c r="AA840" s="2" t="s">
        <v>41</v>
      </c>
      <c r="AB840" s="2">
        <v>13</v>
      </c>
      <c r="AC840" s="2">
        <f>SUMIF(N:N,Ecommerce_Consumer_Behavior_Analysis_Data3[[#This Row],[Brand_Loyalty]],M:M)</f>
        <v>603</v>
      </c>
      <c r="AD840" s="2" t="e" cm="1" vm="1">
        <f t="array" aca="1" ref="AD840" ca="1">SUMIFS(Y:Y,Ecommerce_Consumer_Behavior_Analysis_Data3[[#This Row],[Payment_Method]],V:V)</f>
        <v>#VALUE!</v>
      </c>
      <c r="AE840" s="2">
        <f t="shared" si="17"/>
        <v>101.31</v>
      </c>
    </row>
    <row r="841" spans="1:31" x14ac:dyDescent="0.25">
      <c r="A841" s="2" t="s">
        <v>1748</v>
      </c>
      <c r="B841" s="2">
        <v>37</v>
      </c>
      <c r="C841" s="2" t="s">
        <v>190</v>
      </c>
      <c r="D841" s="2" t="s">
        <v>30</v>
      </c>
      <c r="E841" s="2" t="s">
        <v>55</v>
      </c>
      <c r="F841" s="2" t="s">
        <v>32</v>
      </c>
      <c r="G841" s="2" t="s">
        <v>30</v>
      </c>
      <c r="H841" s="2" t="s">
        <v>1749</v>
      </c>
      <c r="I841" s="2" t="s">
        <v>47</v>
      </c>
      <c r="J841" s="2">
        <v>247.05</v>
      </c>
      <c r="K841" s="2">
        <v>8</v>
      </c>
      <c r="L841" s="2" t="s">
        <v>48</v>
      </c>
      <c r="M841" s="2">
        <v>3</v>
      </c>
      <c r="N841" s="2">
        <v>2</v>
      </c>
      <c r="O841" s="2">
        <v>1</v>
      </c>
      <c r="P841" s="2" t="s">
        <v>59</v>
      </c>
      <c r="Q841" s="2" t="s">
        <v>37</v>
      </c>
      <c r="R841" s="2">
        <v>1</v>
      </c>
      <c r="S841" s="2">
        <v>8</v>
      </c>
      <c r="T841" s="2" t="s">
        <v>44</v>
      </c>
      <c r="U841" s="2" t="s">
        <v>79</v>
      </c>
      <c r="V841" s="2" t="s">
        <v>86</v>
      </c>
      <c r="W841" s="3">
        <v>45437</v>
      </c>
      <c r="X841" s="2" t="b">
        <v>0</v>
      </c>
      <c r="Y841" s="2" t="b">
        <v>0</v>
      </c>
      <c r="Z841" s="2" t="s">
        <v>52</v>
      </c>
      <c r="AA841" s="2" t="s">
        <v>53</v>
      </c>
      <c r="AB841" s="2">
        <v>2</v>
      </c>
      <c r="AC841" s="2">
        <f>SUMIF(N:N,Ecommerce_Consumer_Behavior_Analysis_Data3[[#This Row],[Brand_Loyalty]],M:M)</f>
        <v>597</v>
      </c>
      <c r="AD841" s="2" t="e" cm="1" vm="1">
        <f t="array" aca="1" ref="AD841" ca="1">SUMIFS(Y:Y,Ecommerce_Consumer_Behavior_Analysis_Data3[[#This Row],[Payment_Method]],V:V)</f>
        <v>#VALUE!</v>
      </c>
      <c r="AE841" s="2">
        <f t="shared" si="17"/>
        <v>101.31</v>
      </c>
    </row>
    <row r="842" spans="1:31" x14ac:dyDescent="0.25">
      <c r="A842" s="2" t="s">
        <v>1750</v>
      </c>
      <c r="B842" s="2">
        <v>49</v>
      </c>
      <c r="C842" s="2" t="s">
        <v>43</v>
      </c>
      <c r="D842" s="2" t="s">
        <v>44</v>
      </c>
      <c r="E842" s="2" t="s">
        <v>55</v>
      </c>
      <c r="F842" s="2" t="s">
        <v>32</v>
      </c>
      <c r="G842" s="2" t="s">
        <v>44</v>
      </c>
      <c r="H842" s="2" t="s">
        <v>1751</v>
      </c>
      <c r="I842" s="2" t="s">
        <v>58</v>
      </c>
      <c r="J842" s="2">
        <v>365.88</v>
      </c>
      <c r="K842" s="2">
        <v>10</v>
      </c>
      <c r="L842" s="2" t="s">
        <v>35</v>
      </c>
      <c r="M842" s="2">
        <v>4</v>
      </c>
      <c r="N842" s="2">
        <v>5</v>
      </c>
      <c r="O842" s="2">
        <v>1</v>
      </c>
      <c r="P842" s="2" t="s">
        <v>36</v>
      </c>
      <c r="Q842" s="2" t="s">
        <v>37</v>
      </c>
      <c r="R842" s="2">
        <v>1</v>
      </c>
      <c r="S842" s="2">
        <v>1</v>
      </c>
      <c r="T842" s="2" t="s">
        <v>49</v>
      </c>
      <c r="U842" s="2" t="s">
        <v>38</v>
      </c>
      <c r="V842" s="2" t="s">
        <v>51</v>
      </c>
      <c r="W842" s="3">
        <v>45398</v>
      </c>
      <c r="X842" s="2" t="b">
        <v>0</v>
      </c>
      <c r="Y842" s="2" t="b">
        <v>0</v>
      </c>
      <c r="Z842" s="2" t="s">
        <v>52</v>
      </c>
      <c r="AA842" s="2" t="s">
        <v>67</v>
      </c>
      <c r="AB842" s="2">
        <v>9</v>
      </c>
      <c r="AC842" s="2">
        <f>SUMIF(N:N,Ecommerce_Consumer_Behavior_Analysis_Data3[[#This Row],[Brand_Loyalty]],M:M)</f>
        <v>603</v>
      </c>
      <c r="AD842" s="2" t="e" cm="1" vm="1">
        <f t="array" aca="1" ref="AD842" ca="1">SUMIFS(Y:Y,Ecommerce_Consumer_Behavior_Analysis_Data3[[#This Row],[Payment_Method]],V:V)</f>
        <v>#VALUE!</v>
      </c>
      <c r="AE842" s="2">
        <f t="shared" si="17"/>
        <v>211.7</v>
      </c>
    </row>
    <row r="843" spans="1:31" x14ac:dyDescent="0.25">
      <c r="A843" s="2" t="s">
        <v>1752</v>
      </c>
      <c r="B843" s="2">
        <v>27</v>
      </c>
      <c r="C843" s="2" t="s">
        <v>29</v>
      </c>
      <c r="D843" s="2" t="s">
        <v>30</v>
      </c>
      <c r="E843" s="2" t="s">
        <v>31</v>
      </c>
      <c r="F843" s="2" t="s">
        <v>32</v>
      </c>
      <c r="G843" s="2" t="s">
        <v>30</v>
      </c>
      <c r="H843" s="2" t="s">
        <v>1753</v>
      </c>
      <c r="I843" s="2" t="s">
        <v>126</v>
      </c>
      <c r="J843" s="2">
        <v>354.92</v>
      </c>
      <c r="K843" s="2">
        <v>8</v>
      </c>
      <c r="L843" s="2" t="s">
        <v>35</v>
      </c>
      <c r="M843" s="2">
        <v>5</v>
      </c>
      <c r="N843" s="2">
        <v>4</v>
      </c>
      <c r="O843" s="2">
        <v>0</v>
      </c>
      <c r="P843" s="2" t="s">
        <v>36</v>
      </c>
      <c r="Q843" s="2" t="s">
        <v>37</v>
      </c>
      <c r="R843" s="2">
        <v>0</v>
      </c>
      <c r="S843" s="2">
        <v>1</v>
      </c>
      <c r="T843" s="2" t="s">
        <v>36</v>
      </c>
      <c r="U843" s="2" t="s">
        <v>38</v>
      </c>
      <c r="V843" s="2" t="s">
        <v>61</v>
      </c>
      <c r="W843" s="3">
        <v>45339</v>
      </c>
      <c r="X843" s="2" t="b">
        <v>1</v>
      </c>
      <c r="Y843" s="2" t="b">
        <v>1</v>
      </c>
      <c r="Z843" s="2" t="s">
        <v>52</v>
      </c>
      <c r="AA843" s="2" t="s">
        <v>67</v>
      </c>
      <c r="AB843" s="2">
        <v>13</v>
      </c>
      <c r="AC843" s="2">
        <f>SUMIF(N:N,Ecommerce_Consumer_Behavior_Analysis_Data3[[#This Row],[Brand_Loyalty]],M:M)</f>
        <v>641</v>
      </c>
      <c r="AD843" s="2" t="e" cm="1" vm="1">
        <f t="array" aca="1" ref="AD843" ca="1">SUMIFS(Y:Y,Ecommerce_Consumer_Behavior_Analysis_Data3[[#This Row],[Payment_Method]],V:V)</f>
        <v>#VALUE!</v>
      </c>
      <c r="AE843" s="2">
        <f t="shared" si="17"/>
        <v>333.8</v>
      </c>
    </row>
    <row r="844" spans="1:31" x14ac:dyDescent="0.25">
      <c r="A844" s="2" t="s">
        <v>1754</v>
      </c>
      <c r="B844" s="2">
        <v>19</v>
      </c>
      <c r="C844" s="2" t="s">
        <v>29</v>
      </c>
      <c r="D844" s="2" t="s">
        <v>44</v>
      </c>
      <c r="E844" s="2" t="s">
        <v>55</v>
      </c>
      <c r="F844" s="2" t="s">
        <v>45</v>
      </c>
      <c r="G844" s="2" t="s">
        <v>44</v>
      </c>
      <c r="H844" s="2" t="s">
        <v>1755</v>
      </c>
      <c r="I844" s="2" t="s">
        <v>246</v>
      </c>
      <c r="J844" s="2">
        <v>195.46</v>
      </c>
      <c r="K844" s="2">
        <v>10</v>
      </c>
      <c r="L844" s="2" t="s">
        <v>35</v>
      </c>
      <c r="M844" s="2">
        <v>5</v>
      </c>
      <c r="N844" s="2">
        <v>3</v>
      </c>
      <c r="O844" s="2">
        <v>2</v>
      </c>
      <c r="P844" s="2" t="s">
        <v>36</v>
      </c>
      <c r="Q844" s="2" t="s">
        <v>50</v>
      </c>
      <c r="R844" s="2">
        <v>0</v>
      </c>
      <c r="S844" s="2">
        <v>10</v>
      </c>
      <c r="T844" s="2" t="s">
        <v>59</v>
      </c>
      <c r="U844" s="2" t="s">
        <v>38</v>
      </c>
      <c r="V844" s="2" t="s">
        <v>66</v>
      </c>
      <c r="W844" s="3">
        <v>45480</v>
      </c>
      <c r="X844" s="2" t="b">
        <v>1</v>
      </c>
      <c r="Y844" s="2" t="b">
        <v>0</v>
      </c>
      <c r="Z844" s="2" t="s">
        <v>62</v>
      </c>
      <c r="AA844" s="2" t="s">
        <v>53</v>
      </c>
      <c r="AB844" s="2">
        <v>9</v>
      </c>
      <c r="AC844" s="2">
        <f>SUMIF(N:N,Ecommerce_Consumer_Behavior_Analysis_Data3[[#This Row],[Brand_Loyalty]],M:M)</f>
        <v>641</v>
      </c>
      <c r="AD844" s="2" t="e" cm="1" vm="1">
        <f t="array" aca="1" ref="AD844" ca="1">SUMIFS(Y:Y,Ecommerce_Consumer_Behavior_Analysis_Data3[[#This Row],[Payment_Method]],V:V)</f>
        <v>#VALUE!</v>
      </c>
      <c r="AE844" s="2">
        <f t="shared" si="17"/>
        <v>101.31</v>
      </c>
    </row>
    <row r="845" spans="1:31" x14ac:dyDescent="0.25">
      <c r="A845" s="2" t="s">
        <v>1756</v>
      </c>
      <c r="B845" s="2">
        <v>40</v>
      </c>
      <c r="C845" s="2" t="s">
        <v>29</v>
      </c>
      <c r="D845" s="2" t="s">
        <v>44</v>
      </c>
      <c r="E845" s="2" t="s">
        <v>31</v>
      </c>
      <c r="F845" s="2" t="s">
        <v>56</v>
      </c>
      <c r="G845" s="2" t="s">
        <v>30</v>
      </c>
      <c r="H845" s="2" t="s">
        <v>1757</v>
      </c>
      <c r="I845" s="2" t="s">
        <v>82</v>
      </c>
      <c r="J845" s="2">
        <v>474.03</v>
      </c>
      <c r="K845" s="2">
        <v>7</v>
      </c>
      <c r="L845" s="2" t="s">
        <v>48</v>
      </c>
      <c r="M845" s="2">
        <v>3</v>
      </c>
      <c r="N845" s="2">
        <v>1</v>
      </c>
      <c r="O845" s="2">
        <v>1</v>
      </c>
      <c r="P845" s="2" t="s">
        <v>49</v>
      </c>
      <c r="Q845" s="2" t="s">
        <v>37</v>
      </c>
      <c r="R845" s="2">
        <v>0</v>
      </c>
      <c r="S845" s="2">
        <v>6</v>
      </c>
      <c r="T845" s="2" t="s">
        <v>44</v>
      </c>
      <c r="U845" s="2" t="s">
        <v>79</v>
      </c>
      <c r="V845" s="2" t="s">
        <v>66</v>
      </c>
      <c r="W845" s="3">
        <v>45507</v>
      </c>
      <c r="X845" s="2" t="b">
        <v>1</v>
      </c>
      <c r="Y845" s="2" t="b">
        <v>1</v>
      </c>
      <c r="Z845" s="2" t="s">
        <v>40</v>
      </c>
      <c r="AA845" s="2" t="s">
        <v>53</v>
      </c>
      <c r="AB845" s="2">
        <v>13</v>
      </c>
      <c r="AC845" s="2">
        <f>SUMIF(N:N,Ecommerce_Consumer_Behavior_Analysis_Data3[[#This Row],[Brand_Loyalty]],M:M)</f>
        <v>597</v>
      </c>
      <c r="AD845" s="2" t="e" cm="1" vm="1">
        <f t="array" aca="1" ref="AD845" ca="1">SUMIFS(Y:Y,Ecommerce_Consumer_Behavior_Analysis_Data3[[#This Row],[Payment_Method]],V:V)</f>
        <v>#VALUE!</v>
      </c>
      <c r="AE845" s="2">
        <f t="shared" si="17"/>
        <v>333.8</v>
      </c>
    </row>
    <row r="846" spans="1:31" x14ac:dyDescent="0.25">
      <c r="A846" s="2" t="s">
        <v>1758</v>
      </c>
      <c r="B846" s="2">
        <v>27</v>
      </c>
      <c r="C846" s="2" t="s">
        <v>43</v>
      </c>
      <c r="D846" s="2" t="s">
        <v>30</v>
      </c>
      <c r="E846" s="2" t="s">
        <v>31</v>
      </c>
      <c r="F846" s="2" t="s">
        <v>32</v>
      </c>
      <c r="G846" s="2" t="s">
        <v>44</v>
      </c>
      <c r="H846" s="2" t="s">
        <v>1759</v>
      </c>
      <c r="I846" s="2" t="s">
        <v>101</v>
      </c>
      <c r="J846" s="2">
        <v>106.96</v>
      </c>
      <c r="K846" s="2">
        <v>6</v>
      </c>
      <c r="L846" s="2" t="s">
        <v>48</v>
      </c>
      <c r="M846" s="2">
        <v>3</v>
      </c>
      <c r="N846" s="2">
        <v>1</v>
      </c>
      <c r="O846" s="2">
        <v>2</v>
      </c>
      <c r="P846" s="2" t="s">
        <v>59</v>
      </c>
      <c r="Q846" s="2" t="s">
        <v>50</v>
      </c>
      <c r="R846" s="2">
        <v>0</v>
      </c>
      <c r="S846" s="2">
        <v>7</v>
      </c>
      <c r="T846" s="2" t="s">
        <v>49</v>
      </c>
      <c r="U846" s="2" t="s">
        <v>38</v>
      </c>
      <c r="V846" s="2" t="s">
        <v>61</v>
      </c>
      <c r="W846" s="3">
        <v>45360</v>
      </c>
      <c r="X846" s="2" t="b">
        <v>1</v>
      </c>
      <c r="Y846" s="2" t="b">
        <v>1</v>
      </c>
      <c r="Z846" s="2" t="s">
        <v>62</v>
      </c>
      <c r="AA846" s="2" t="s">
        <v>53</v>
      </c>
      <c r="AB846" s="2">
        <v>3</v>
      </c>
      <c r="AC846" s="2">
        <f>SUMIF(N:N,Ecommerce_Consumer_Behavior_Analysis_Data3[[#This Row],[Brand_Loyalty]],M:M)</f>
        <v>597</v>
      </c>
      <c r="AD846" s="2" t="e" cm="1" vm="1">
        <f t="array" aca="1" ref="AD846" ca="1">SUMIFS(Y:Y,Ecommerce_Consumer_Behavior_Analysis_Data3[[#This Row],[Payment_Method]],V:V)</f>
        <v>#VALUE!</v>
      </c>
      <c r="AE846" s="2">
        <f t="shared" si="17"/>
        <v>211.7</v>
      </c>
    </row>
    <row r="847" spans="1:31" x14ac:dyDescent="0.25">
      <c r="A847" s="2" t="s">
        <v>1760</v>
      </c>
      <c r="B847" s="2">
        <v>29</v>
      </c>
      <c r="C847" s="2" t="s">
        <v>29</v>
      </c>
      <c r="D847" s="2" t="s">
        <v>30</v>
      </c>
      <c r="E847" s="2" t="s">
        <v>31</v>
      </c>
      <c r="F847" s="2" t="s">
        <v>56</v>
      </c>
      <c r="G847" s="2" t="s">
        <v>44</v>
      </c>
      <c r="H847" s="2" t="s">
        <v>1761</v>
      </c>
      <c r="I847" s="2" t="s">
        <v>117</v>
      </c>
      <c r="J847" s="2">
        <v>371.84</v>
      </c>
      <c r="K847" s="2">
        <v>9</v>
      </c>
      <c r="L847" s="2" t="s">
        <v>48</v>
      </c>
      <c r="M847" s="2">
        <v>5</v>
      </c>
      <c r="N847" s="2">
        <v>4</v>
      </c>
      <c r="O847" s="2">
        <v>0</v>
      </c>
      <c r="P847" s="2" t="s">
        <v>36</v>
      </c>
      <c r="Q847" s="2" t="s">
        <v>50</v>
      </c>
      <c r="R847" s="2">
        <v>2</v>
      </c>
      <c r="S847" s="2">
        <v>6</v>
      </c>
      <c r="T847" s="2" t="s">
        <v>36</v>
      </c>
      <c r="U847" s="2" t="s">
        <v>38</v>
      </c>
      <c r="V847" s="2" t="s">
        <v>66</v>
      </c>
      <c r="W847" s="3">
        <v>45501</v>
      </c>
      <c r="X847" s="2" t="b">
        <v>0</v>
      </c>
      <c r="Y847" s="2" t="b">
        <v>1</v>
      </c>
      <c r="Z847" s="2" t="s">
        <v>62</v>
      </c>
      <c r="AA847" s="2" t="s">
        <v>53</v>
      </c>
      <c r="AB847" s="2">
        <v>2</v>
      </c>
      <c r="AC847" s="2">
        <f>SUMIF(N:N,Ecommerce_Consumer_Behavior_Analysis_Data3[[#This Row],[Brand_Loyalty]],M:M)</f>
        <v>641</v>
      </c>
      <c r="AD847" s="2" t="e" cm="1" vm="1">
        <f t="array" aca="1" ref="AD847" ca="1">SUMIFS(Y:Y,Ecommerce_Consumer_Behavior_Analysis_Data3[[#This Row],[Payment_Method]],V:V)</f>
        <v>#VALUE!</v>
      </c>
      <c r="AE847" s="2">
        <f t="shared" si="17"/>
        <v>101.31</v>
      </c>
    </row>
    <row r="848" spans="1:31" x14ac:dyDescent="0.25">
      <c r="A848" s="2" t="s">
        <v>1762</v>
      </c>
      <c r="B848" s="2">
        <v>45</v>
      </c>
      <c r="C848" s="2" t="s">
        <v>212</v>
      </c>
      <c r="D848" s="2" t="s">
        <v>44</v>
      </c>
      <c r="E848" s="2" t="s">
        <v>55</v>
      </c>
      <c r="F848" s="2" t="s">
        <v>32</v>
      </c>
      <c r="G848" s="2" t="s">
        <v>44</v>
      </c>
      <c r="H848" s="2" t="s">
        <v>1763</v>
      </c>
      <c r="I848" s="2" t="s">
        <v>142</v>
      </c>
      <c r="J848" s="2">
        <v>461.16</v>
      </c>
      <c r="K848" s="2">
        <v>8</v>
      </c>
      <c r="L848" s="2" t="s">
        <v>35</v>
      </c>
      <c r="M848" s="2">
        <v>1</v>
      </c>
      <c r="N848" s="2">
        <v>4</v>
      </c>
      <c r="O848" s="2">
        <v>1</v>
      </c>
      <c r="P848" s="2" t="s">
        <v>44</v>
      </c>
      <c r="Q848" s="2" t="s">
        <v>50</v>
      </c>
      <c r="R848" s="2">
        <v>0</v>
      </c>
      <c r="S848" s="2">
        <v>3</v>
      </c>
      <c r="T848" s="2" t="s">
        <v>49</v>
      </c>
      <c r="U848" s="2" t="s">
        <v>60</v>
      </c>
      <c r="V848" s="2" t="s">
        <v>66</v>
      </c>
      <c r="W848" s="3">
        <v>45351</v>
      </c>
      <c r="X848" s="2" t="b">
        <v>1</v>
      </c>
      <c r="Y848" s="2" t="b">
        <v>1</v>
      </c>
      <c r="Z848" s="2" t="s">
        <v>74</v>
      </c>
      <c r="AA848" s="2" t="s">
        <v>67</v>
      </c>
      <c r="AB848" s="2">
        <v>14</v>
      </c>
      <c r="AC848" s="2">
        <f>SUMIF(N:N,Ecommerce_Consumer_Behavior_Analysis_Data3[[#This Row],[Brand_Loyalty]],M:M)</f>
        <v>603</v>
      </c>
      <c r="AD848" s="2" t="e" cm="1" vm="1">
        <f t="array" aca="1" ref="AD848" ca="1">SUMIFS(Y:Y,Ecommerce_Consumer_Behavior_Analysis_Data3[[#This Row],[Payment_Method]],V:V)</f>
        <v>#VALUE!</v>
      </c>
      <c r="AE848" s="2">
        <f t="shared" si="17"/>
        <v>333.8</v>
      </c>
    </row>
    <row r="849" spans="1:31" x14ac:dyDescent="0.25">
      <c r="A849" s="2" t="s">
        <v>1764</v>
      </c>
      <c r="B849" s="2">
        <v>24</v>
      </c>
      <c r="C849" s="2" t="s">
        <v>29</v>
      </c>
      <c r="D849" s="2" t="s">
        <v>44</v>
      </c>
      <c r="E849" s="2" t="s">
        <v>55</v>
      </c>
      <c r="F849" s="2" t="s">
        <v>45</v>
      </c>
      <c r="G849" s="2" t="s">
        <v>30</v>
      </c>
      <c r="H849" s="2" t="s">
        <v>1765</v>
      </c>
      <c r="I849" s="2" t="s">
        <v>82</v>
      </c>
      <c r="J849" s="2">
        <v>497.75</v>
      </c>
      <c r="K849" s="2">
        <v>11</v>
      </c>
      <c r="L849" s="2" t="s">
        <v>48</v>
      </c>
      <c r="M849" s="2">
        <v>4</v>
      </c>
      <c r="N849" s="2">
        <v>1</v>
      </c>
      <c r="O849" s="2">
        <v>2</v>
      </c>
      <c r="P849" s="2" t="s">
        <v>36</v>
      </c>
      <c r="Q849" s="2" t="s">
        <v>85</v>
      </c>
      <c r="R849" s="2">
        <v>2</v>
      </c>
      <c r="S849" s="2">
        <v>1</v>
      </c>
      <c r="T849" s="2" t="s">
        <v>49</v>
      </c>
      <c r="U849" s="2" t="s">
        <v>60</v>
      </c>
      <c r="V849" s="2" t="s">
        <v>86</v>
      </c>
      <c r="W849" s="3">
        <v>45476</v>
      </c>
      <c r="X849" s="2" t="b">
        <v>1</v>
      </c>
      <c r="Y849" s="2" t="b">
        <v>0</v>
      </c>
      <c r="Z849" s="2" t="s">
        <v>52</v>
      </c>
      <c r="AA849" s="2" t="s">
        <v>67</v>
      </c>
      <c r="AB849" s="2">
        <v>13</v>
      </c>
      <c r="AC849" s="2">
        <f>SUMIF(N:N,Ecommerce_Consumer_Behavior_Analysis_Data3[[#This Row],[Brand_Loyalty]],M:M)</f>
        <v>603</v>
      </c>
      <c r="AD849" s="2" t="e" cm="1" vm="1">
        <f t="array" aca="1" ref="AD849" ca="1">SUMIFS(Y:Y,Ecommerce_Consumer_Behavior_Analysis_Data3[[#This Row],[Payment_Method]],V:V)</f>
        <v>#VALUE!</v>
      </c>
      <c r="AE849" s="2">
        <f t="shared" si="17"/>
        <v>211.7</v>
      </c>
    </row>
    <row r="850" spans="1:31" x14ac:dyDescent="0.25">
      <c r="A850" s="2" t="s">
        <v>1766</v>
      </c>
      <c r="B850" s="2">
        <v>45</v>
      </c>
      <c r="C850" s="2" t="s">
        <v>29</v>
      </c>
      <c r="D850" s="2" t="s">
        <v>30</v>
      </c>
      <c r="E850" s="2" t="s">
        <v>31</v>
      </c>
      <c r="F850" s="2" t="s">
        <v>56</v>
      </c>
      <c r="G850" s="2" t="s">
        <v>30</v>
      </c>
      <c r="H850" s="2" t="s">
        <v>1684</v>
      </c>
      <c r="I850" s="2" t="s">
        <v>104</v>
      </c>
      <c r="J850" s="2">
        <v>492.83</v>
      </c>
      <c r="K850" s="2">
        <v>5</v>
      </c>
      <c r="L850" s="2" t="s">
        <v>78</v>
      </c>
      <c r="M850" s="2">
        <v>2</v>
      </c>
      <c r="N850" s="2">
        <v>1</v>
      </c>
      <c r="O850" s="2">
        <v>0</v>
      </c>
      <c r="P850" s="2" t="s">
        <v>44</v>
      </c>
      <c r="Q850" s="2" t="s">
        <v>85</v>
      </c>
      <c r="R850" s="2">
        <v>0</v>
      </c>
      <c r="S850" s="2">
        <v>4</v>
      </c>
      <c r="T850" s="2" t="s">
        <v>44</v>
      </c>
      <c r="U850" s="2" t="s">
        <v>38</v>
      </c>
      <c r="V850" s="2" t="s">
        <v>61</v>
      </c>
      <c r="W850" s="3">
        <v>45353</v>
      </c>
      <c r="X850" s="2" t="b">
        <v>1</v>
      </c>
      <c r="Y850" s="2" t="b">
        <v>0</v>
      </c>
      <c r="Z850" s="2" t="s">
        <v>40</v>
      </c>
      <c r="AA850" s="2" t="s">
        <v>41</v>
      </c>
      <c r="AB850" s="2">
        <v>2</v>
      </c>
      <c r="AC850" s="2">
        <f>SUMIF(N:N,Ecommerce_Consumer_Behavior_Analysis_Data3[[#This Row],[Brand_Loyalty]],M:M)</f>
        <v>582</v>
      </c>
      <c r="AD850" s="2" t="e" cm="1" vm="1">
        <f t="array" aca="1" ref="AD850" ca="1">SUMIFS(Y:Y,Ecommerce_Consumer_Behavior_Analysis_Data3[[#This Row],[Payment_Method]],V:V)</f>
        <v>#VALUE!</v>
      </c>
      <c r="AE850" s="2">
        <f t="shared" si="17"/>
        <v>101.31</v>
      </c>
    </row>
    <row r="851" spans="1:31" x14ac:dyDescent="0.25">
      <c r="A851" s="2" t="s">
        <v>1767</v>
      </c>
      <c r="B851" s="2">
        <v>39</v>
      </c>
      <c r="C851" s="2" t="s">
        <v>29</v>
      </c>
      <c r="D851" s="2" t="s">
        <v>30</v>
      </c>
      <c r="E851" s="2" t="s">
        <v>76</v>
      </c>
      <c r="F851" s="2" t="s">
        <v>45</v>
      </c>
      <c r="G851" s="2" t="s">
        <v>30</v>
      </c>
      <c r="H851" s="2" t="s">
        <v>1768</v>
      </c>
      <c r="I851" s="2" t="s">
        <v>158</v>
      </c>
      <c r="J851" s="2">
        <v>295.54000000000002</v>
      </c>
      <c r="K851" s="2">
        <v>8</v>
      </c>
      <c r="L851" s="2" t="s">
        <v>78</v>
      </c>
      <c r="M851" s="2">
        <v>3</v>
      </c>
      <c r="N851" s="2">
        <v>3</v>
      </c>
      <c r="O851" s="2">
        <v>1</v>
      </c>
      <c r="P851" s="2" t="s">
        <v>36</v>
      </c>
      <c r="Q851" s="2" t="s">
        <v>85</v>
      </c>
      <c r="R851" s="2">
        <v>2</v>
      </c>
      <c r="S851" s="2">
        <v>4</v>
      </c>
      <c r="T851" s="2" t="s">
        <v>59</v>
      </c>
      <c r="U851" s="2" t="s">
        <v>38</v>
      </c>
      <c r="V851" s="2" t="s">
        <v>86</v>
      </c>
      <c r="W851" s="3">
        <v>45500</v>
      </c>
      <c r="X851" s="2" t="b">
        <v>0</v>
      </c>
      <c r="Y851" s="2" t="b">
        <v>0</v>
      </c>
      <c r="Z851" s="2" t="s">
        <v>74</v>
      </c>
      <c r="AA851" s="2" t="s">
        <v>67</v>
      </c>
      <c r="AB851" s="2">
        <v>14</v>
      </c>
      <c r="AC851" s="2">
        <f>SUMIF(N:N,Ecommerce_Consumer_Behavior_Analysis_Data3[[#This Row],[Brand_Loyalty]],M:M)</f>
        <v>597</v>
      </c>
      <c r="AD851" s="2" t="e" cm="1" vm="1">
        <f t="array" aca="1" ref="AD851" ca="1">SUMIFS(Y:Y,Ecommerce_Consumer_Behavior_Analysis_Data3[[#This Row],[Payment_Method]],V:V)</f>
        <v>#VALUE!</v>
      </c>
      <c r="AE851" s="2">
        <f t="shared" si="17"/>
        <v>101.31</v>
      </c>
    </row>
    <row r="852" spans="1:31" x14ac:dyDescent="0.25">
      <c r="A852" s="2" t="s">
        <v>1769</v>
      </c>
      <c r="B852" s="2">
        <v>40</v>
      </c>
      <c r="C852" s="2" t="s">
        <v>43</v>
      </c>
      <c r="D852" s="2" t="s">
        <v>44</v>
      </c>
      <c r="E852" s="2" t="s">
        <v>69</v>
      </c>
      <c r="F852" s="2" t="s">
        <v>45</v>
      </c>
      <c r="G852" s="2" t="s">
        <v>44</v>
      </c>
      <c r="H852" s="2" t="s">
        <v>1770</v>
      </c>
      <c r="I852" s="2" t="s">
        <v>71</v>
      </c>
      <c r="J852" s="2">
        <v>494.81</v>
      </c>
      <c r="K852" s="2">
        <v>9</v>
      </c>
      <c r="L852" s="2" t="s">
        <v>35</v>
      </c>
      <c r="M852" s="2">
        <v>2</v>
      </c>
      <c r="N852" s="2">
        <v>4</v>
      </c>
      <c r="O852" s="2">
        <v>1</v>
      </c>
      <c r="P852" s="2" t="s">
        <v>49</v>
      </c>
      <c r="Q852" s="2" t="s">
        <v>85</v>
      </c>
      <c r="R852" s="2">
        <v>1</v>
      </c>
      <c r="S852" s="2">
        <v>7</v>
      </c>
      <c r="T852" s="2" t="s">
        <v>49</v>
      </c>
      <c r="U852" s="2" t="s">
        <v>38</v>
      </c>
      <c r="V852" s="2" t="s">
        <v>51</v>
      </c>
      <c r="W852" s="3">
        <v>45438</v>
      </c>
      <c r="X852" s="2" t="b">
        <v>1</v>
      </c>
      <c r="Y852" s="2" t="b">
        <v>1</v>
      </c>
      <c r="Z852" s="2" t="s">
        <v>40</v>
      </c>
      <c r="AA852" s="2" t="s">
        <v>53</v>
      </c>
      <c r="AB852" s="2">
        <v>6</v>
      </c>
      <c r="AC852" s="2">
        <f>SUMIF(N:N,Ecommerce_Consumer_Behavior_Analysis_Data3[[#This Row],[Brand_Loyalty]],M:M)</f>
        <v>582</v>
      </c>
      <c r="AD852" s="2" t="e" cm="1" vm="1">
        <f t="array" aca="1" ref="AD852" ca="1">SUMIFS(Y:Y,Ecommerce_Consumer_Behavior_Analysis_Data3[[#This Row],[Payment_Method]],V:V)</f>
        <v>#VALUE!</v>
      </c>
      <c r="AE852" s="2">
        <f t="shared" si="17"/>
        <v>333.8</v>
      </c>
    </row>
    <row r="853" spans="1:31" x14ac:dyDescent="0.25">
      <c r="A853" s="2" t="s">
        <v>1771</v>
      </c>
      <c r="B853" s="2">
        <v>21</v>
      </c>
      <c r="C853" s="2" t="s">
        <v>29</v>
      </c>
      <c r="D853" s="2" t="s">
        <v>44</v>
      </c>
      <c r="E853" s="2" t="s">
        <v>55</v>
      </c>
      <c r="F853" s="2" t="s">
        <v>56</v>
      </c>
      <c r="G853" s="2" t="s">
        <v>30</v>
      </c>
      <c r="H853" s="2" t="s">
        <v>1772</v>
      </c>
      <c r="I853" s="2" t="s">
        <v>93</v>
      </c>
      <c r="J853" s="2">
        <v>160.25</v>
      </c>
      <c r="K853" s="2">
        <v>7</v>
      </c>
      <c r="L853" s="2" t="s">
        <v>78</v>
      </c>
      <c r="M853" s="2">
        <v>2</v>
      </c>
      <c r="N853" s="2">
        <v>3</v>
      </c>
      <c r="O853" s="2">
        <v>2</v>
      </c>
      <c r="P853" s="2" t="s">
        <v>36</v>
      </c>
      <c r="Q853" s="2" t="s">
        <v>85</v>
      </c>
      <c r="R853" s="2">
        <v>2</v>
      </c>
      <c r="S853" s="2">
        <v>5</v>
      </c>
      <c r="T853" s="2" t="s">
        <v>44</v>
      </c>
      <c r="U853" s="2" t="s">
        <v>79</v>
      </c>
      <c r="V853" s="2" t="s">
        <v>51</v>
      </c>
      <c r="W853" s="3">
        <v>45355</v>
      </c>
      <c r="X853" s="2" t="b">
        <v>1</v>
      </c>
      <c r="Y853" s="2" t="b">
        <v>1</v>
      </c>
      <c r="Z853" s="2" t="s">
        <v>40</v>
      </c>
      <c r="AA853" s="2" t="s">
        <v>41</v>
      </c>
      <c r="AB853" s="2">
        <v>12</v>
      </c>
      <c r="AC853" s="2">
        <f>SUMIF(N:N,Ecommerce_Consumer_Behavior_Analysis_Data3[[#This Row],[Brand_Loyalty]],M:M)</f>
        <v>582</v>
      </c>
      <c r="AD853" s="2" t="e" cm="1" vm="1">
        <f t="array" aca="1" ref="AD853" ca="1">SUMIFS(Y:Y,Ecommerce_Consumer_Behavior_Analysis_Data3[[#This Row],[Payment_Method]],V:V)</f>
        <v>#VALUE!</v>
      </c>
      <c r="AE853" s="2">
        <f t="shared" si="17"/>
        <v>333.8</v>
      </c>
    </row>
    <row r="854" spans="1:31" x14ac:dyDescent="0.25">
      <c r="A854" s="2" t="s">
        <v>1773</v>
      </c>
      <c r="B854" s="2">
        <v>42</v>
      </c>
      <c r="C854" s="2" t="s">
        <v>29</v>
      </c>
      <c r="D854" s="2" t="s">
        <v>30</v>
      </c>
      <c r="E854" s="2" t="s">
        <v>31</v>
      </c>
      <c r="F854" s="2" t="s">
        <v>56</v>
      </c>
      <c r="G854" s="2" t="s">
        <v>44</v>
      </c>
      <c r="H854" s="2" t="s">
        <v>1774</v>
      </c>
      <c r="I854" s="2" t="s">
        <v>34</v>
      </c>
      <c r="J854" s="2">
        <v>198.36</v>
      </c>
      <c r="K854" s="2">
        <v>4</v>
      </c>
      <c r="L854" s="2" t="s">
        <v>78</v>
      </c>
      <c r="M854" s="2">
        <v>1</v>
      </c>
      <c r="N854" s="2">
        <v>1</v>
      </c>
      <c r="O854" s="2">
        <v>2</v>
      </c>
      <c r="P854" s="2" t="s">
        <v>36</v>
      </c>
      <c r="Q854" s="2" t="s">
        <v>37</v>
      </c>
      <c r="R854" s="2">
        <v>1</v>
      </c>
      <c r="S854" s="2">
        <v>9</v>
      </c>
      <c r="T854" s="2" t="s">
        <v>36</v>
      </c>
      <c r="U854" s="2" t="s">
        <v>79</v>
      </c>
      <c r="V854" s="2" t="s">
        <v>86</v>
      </c>
      <c r="W854" s="3">
        <v>45639</v>
      </c>
      <c r="X854" s="2" t="b">
        <v>0</v>
      </c>
      <c r="Y854" s="2" t="b">
        <v>1</v>
      </c>
      <c r="Z854" s="2" t="s">
        <v>52</v>
      </c>
      <c r="AA854" s="2" t="s">
        <v>53</v>
      </c>
      <c r="AB854" s="2">
        <v>4</v>
      </c>
      <c r="AC854" s="2">
        <f>SUMIF(N:N,Ecommerce_Consumer_Behavior_Analysis_Data3[[#This Row],[Brand_Loyalty]],M:M)</f>
        <v>603</v>
      </c>
      <c r="AD854" s="2" t="e" cm="1" vm="1">
        <f t="array" aca="1" ref="AD854" ca="1">SUMIFS(Y:Y,Ecommerce_Consumer_Behavior_Analysis_Data3[[#This Row],[Payment_Method]],V:V)</f>
        <v>#VALUE!</v>
      </c>
      <c r="AE854" s="2">
        <f t="shared" si="17"/>
        <v>101.31</v>
      </c>
    </row>
    <row r="855" spans="1:31" x14ac:dyDescent="0.25">
      <c r="A855" s="2" t="s">
        <v>1775</v>
      </c>
      <c r="B855" s="2">
        <v>44</v>
      </c>
      <c r="C855" s="2" t="s">
        <v>29</v>
      </c>
      <c r="D855" s="2" t="s">
        <v>30</v>
      </c>
      <c r="E855" s="2" t="s">
        <v>76</v>
      </c>
      <c r="F855" s="2" t="s">
        <v>32</v>
      </c>
      <c r="G855" s="2" t="s">
        <v>44</v>
      </c>
      <c r="H855" s="2" t="s">
        <v>1776</v>
      </c>
      <c r="I855" s="2" t="s">
        <v>71</v>
      </c>
      <c r="J855" s="2">
        <v>82.39</v>
      </c>
      <c r="K855" s="2">
        <v>12</v>
      </c>
      <c r="L855" s="2" t="s">
        <v>48</v>
      </c>
      <c r="M855" s="2">
        <v>5</v>
      </c>
      <c r="N855" s="2">
        <v>1</v>
      </c>
      <c r="O855" s="2">
        <v>1</v>
      </c>
      <c r="P855" s="2" t="s">
        <v>36</v>
      </c>
      <c r="Q855" s="2" t="s">
        <v>37</v>
      </c>
      <c r="R855" s="2">
        <v>0</v>
      </c>
      <c r="S855" s="2">
        <v>8</v>
      </c>
      <c r="T855" s="2" t="s">
        <v>36</v>
      </c>
      <c r="U855" s="2" t="s">
        <v>60</v>
      </c>
      <c r="V855" s="2" t="s">
        <v>66</v>
      </c>
      <c r="W855" s="3">
        <v>45346</v>
      </c>
      <c r="X855" s="2" t="b">
        <v>0</v>
      </c>
      <c r="Y855" s="2" t="b">
        <v>0</v>
      </c>
      <c r="Z855" s="2" t="s">
        <v>74</v>
      </c>
      <c r="AA855" s="2" t="s">
        <v>67</v>
      </c>
      <c r="AB855" s="2">
        <v>1</v>
      </c>
      <c r="AC855" s="2">
        <f>SUMIF(N:N,Ecommerce_Consumer_Behavior_Analysis_Data3[[#This Row],[Brand_Loyalty]],M:M)</f>
        <v>641</v>
      </c>
      <c r="AD855" s="2" t="e" cm="1" vm="1">
        <f t="array" aca="1" ref="AD855" ca="1">SUMIFS(Y:Y,Ecommerce_Consumer_Behavior_Analysis_Data3[[#This Row],[Payment_Method]],V:V)</f>
        <v>#VALUE!</v>
      </c>
      <c r="AE855" s="2">
        <f t="shared" si="17"/>
        <v>333.8</v>
      </c>
    </row>
    <row r="856" spans="1:31" x14ac:dyDescent="0.25">
      <c r="A856" s="2" t="s">
        <v>1777</v>
      </c>
      <c r="B856" s="2">
        <v>46</v>
      </c>
      <c r="C856" s="2" t="s">
        <v>29</v>
      </c>
      <c r="D856" s="2" t="s">
        <v>30</v>
      </c>
      <c r="E856" s="2" t="s">
        <v>31</v>
      </c>
      <c r="F856" s="2" t="s">
        <v>56</v>
      </c>
      <c r="G856" s="2" t="s">
        <v>44</v>
      </c>
      <c r="H856" s="2" t="s">
        <v>1778</v>
      </c>
      <c r="I856" s="2" t="s">
        <v>107</v>
      </c>
      <c r="J856" s="2">
        <v>290.56</v>
      </c>
      <c r="K856" s="2">
        <v>3</v>
      </c>
      <c r="L856" s="2" t="s">
        <v>48</v>
      </c>
      <c r="M856" s="2">
        <v>5</v>
      </c>
      <c r="N856" s="2">
        <v>1</v>
      </c>
      <c r="O856" s="2">
        <v>2</v>
      </c>
      <c r="P856" s="2" t="s">
        <v>36</v>
      </c>
      <c r="Q856" s="2" t="s">
        <v>37</v>
      </c>
      <c r="R856" s="2">
        <v>1</v>
      </c>
      <c r="S856" s="2">
        <v>1</v>
      </c>
      <c r="T856" s="2" t="s">
        <v>36</v>
      </c>
      <c r="U856" s="2" t="s">
        <v>79</v>
      </c>
      <c r="V856" s="2" t="s">
        <v>51</v>
      </c>
      <c r="W856" s="3">
        <v>45363</v>
      </c>
      <c r="X856" s="2" t="b">
        <v>1</v>
      </c>
      <c r="Y856" s="2" t="b">
        <v>0</v>
      </c>
      <c r="Z856" s="2" t="s">
        <v>52</v>
      </c>
      <c r="AA856" s="2" t="s">
        <v>41</v>
      </c>
      <c r="AB856" s="2">
        <v>4</v>
      </c>
      <c r="AC856" s="2">
        <f>SUMIF(N:N,Ecommerce_Consumer_Behavior_Analysis_Data3[[#This Row],[Brand_Loyalty]],M:M)</f>
        <v>641</v>
      </c>
      <c r="AD856" s="2" t="e" cm="1" vm="1">
        <f t="array" aca="1" ref="AD856" ca="1">SUMIFS(Y:Y,Ecommerce_Consumer_Behavior_Analysis_Data3[[#This Row],[Payment_Method]],V:V)</f>
        <v>#VALUE!</v>
      </c>
      <c r="AE856" s="2">
        <f t="shared" si="17"/>
        <v>333.8</v>
      </c>
    </row>
    <row r="857" spans="1:31" x14ac:dyDescent="0.25">
      <c r="A857" s="2" t="s">
        <v>1779</v>
      </c>
      <c r="B857" s="2">
        <v>29</v>
      </c>
      <c r="C857" s="2" t="s">
        <v>43</v>
      </c>
      <c r="D857" s="2" t="s">
        <v>44</v>
      </c>
      <c r="E857" s="2" t="s">
        <v>76</v>
      </c>
      <c r="F857" s="2" t="s">
        <v>56</v>
      </c>
      <c r="G857" s="2" t="s">
        <v>44</v>
      </c>
      <c r="H857" s="2" t="s">
        <v>1780</v>
      </c>
      <c r="I857" s="2" t="s">
        <v>101</v>
      </c>
      <c r="J857" s="2">
        <v>206.79</v>
      </c>
      <c r="K857" s="2">
        <v>5</v>
      </c>
      <c r="L857" s="2" t="s">
        <v>48</v>
      </c>
      <c r="M857" s="2">
        <v>1</v>
      </c>
      <c r="N857" s="2">
        <v>3</v>
      </c>
      <c r="O857" s="2">
        <v>2</v>
      </c>
      <c r="P857" s="2" t="s">
        <v>44</v>
      </c>
      <c r="Q857" s="2" t="s">
        <v>85</v>
      </c>
      <c r="R857" s="2">
        <v>1</v>
      </c>
      <c r="S857" s="2">
        <v>2</v>
      </c>
      <c r="T857" s="2" t="s">
        <v>59</v>
      </c>
      <c r="U857" s="2" t="s">
        <v>38</v>
      </c>
      <c r="V857" s="2" t="s">
        <v>39</v>
      </c>
      <c r="W857" s="3">
        <v>45525</v>
      </c>
      <c r="X857" s="2" t="b">
        <v>0</v>
      </c>
      <c r="Y857" s="2" t="b">
        <v>0</v>
      </c>
      <c r="Z857" s="2" t="s">
        <v>74</v>
      </c>
      <c r="AA857" s="2" t="s">
        <v>53</v>
      </c>
      <c r="AB857" s="2">
        <v>4</v>
      </c>
      <c r="AC857" s="2">
        <f>SUMIF(N:N,Ecommerce_Consumer_Behavior_Analysis_Data3[[#This Row],[Brand_Loyalty]],M:M)</f>
        <v>603</v>
      </c>
      <c r="AD857" s="2" t="e" cm="1" vm="1">
        <f t="array" aca="1" ref="AD857" ca="1">SUMIFS(Y:Y,Ecommerce_Consumer_Behavior_Analysis_Data3[[#This Row],[Payment_Method]],V:V)</f>
        <v>#VALUE!</v>
      </c>
      <c r="AE857" s="2">
        <f t="shared" si="17"/>
        <v>211.7</v>
      </c>
    </row>
    <row r="858" spans="1:31" x14ac:dyDescent="0.25">
      <c r="A858" s="2" t="s">
        <v>1781</v>
      </c>
      <c r="B858" s="2">
        <v>19</v>
      </c>
      <c r="C858" s="2" t="s">
        <v>29</v>
      </c>
      <c r="D858" s="2" t="s">
        <v>30</v>
      </c>
      <c r="E858" s="2" t="s">
        <v>31</v>
      </c>
      <c r="F858" s="2" t="s">
        <v>45</v>
      </c>
      <c r="G858" s="2" t="s">
        <v>44</v>
      </c>
      <c r="H858" s="2" t="s">
        <v>1782</v>
      </c>
      <c r="I858" s="2" t="s">
        <v>123</v>
      </c>
      <c r="J858" s="2">
        <v>401.43</v>
      </c>
      <c r="K858" s="2">
        <v>8</v>
      </c>
      <c r="L858" s="2" t="s">
        <v>35</v>
      </c>
      <c r="M858" s="2">
        <v>4</v>
      </c>
      <c r="N858" s="2">
        <v>2</v>
      </c>
      <c r="O858" s="2">
        <v>0</v>
      </c>
      <c r="P858" s="2" t="s">
        <v>36</v>
      </c>
      <c r="Q858" s="2" t="s">
        <v>50</v>
      </c>
      <c r="R858" s="2">
        <v>0</v>
      </c>
      <c r="S858" s="2">
        <v>6</v>
      </c>
      <c r="T858" s="2" t="s">
        <v>44</v>
      </c>
      <c r="U858" s="2" t="s">
        <v>38</v>
      </c>
      <c r="V858" s="2" t="s">
        <v>66</v>
      </c>
      <c r="W858" s="3">
        <v>45435</v>
      </c>
      <c r="X858" s="2" t="b">
        <v>1</v>
      </c>
      <c r="Y858" s="2" t="b">
        <v>1</v>
      </c>
      <c r="Z858" s="2" t="s">
        <v>40</v>
      </c>
      <c r="AA858" s="2" t="s">
        <v>41</v>
      </c>
      <c r="AB858" s="2">
        <v>5</v>
      </c>
      <c r="AC858" s="2">
        <f>SUMIF(N:N,Ecommerce_Consumer_Behavior_Analysis_Data3[[#This Row],[Brand_Loyalty]],M:M)</f>
        <v>603</v>
      </c>
      <c r="AD858" s="2" t="e" cm="1" vm="1">
        <f t="array" aca="1" ref="AD858" ca="1">SUMIFS(Y:Y,Ecommerce_Consumer_Behavior_Analysis_Data3[[#This Row],[Payment_Method]],V:V)</f>
        <v>#VALUE!</v>
      </c>
      <c r="AE858" s="2">
        <f t="shared" si="17"/>
        <v>211.7</v>
      </c>
    </row>
    <row r="859" spans="1:31" x14ac:dyDescent="0.25">
      <c r="A859" s="2" t="s">
        <v>1783</v>
      </c>
      <c r="B859" s="2">
        <v>21</v>
      </c>
      <c r="C859" s="2" t="s">
        <v>43</v>
      </c>
      <c r="D859" s="2" t="s">
        <v>44</v>
      </c>
      <c r="E859" s="2" t="s">
        <v>69</v>
      </c>
      <c r="F859" s="2" t="s">
        <v>56</v>
      </c>
      <c r="G859" s="2" t="s">
        <v>44</v>
      </c>
      <c r="H859" s="2" t="s">
        <v>1784</v>
      </c>
      <c r="I859" s="2" t="s">
        <v>90</v>
      </c>
      <c r="J859" s="2">
        <v>188.17</v>
      </c>
      <c r="K859" s="2">
        <v>9</v>
      </c>
      <c r="L859" s="2" t="s">
        <v>78</v>
      </c>
      <c r="M859" s="2">
        <v>5</v>
      </c>
      <c r="N859" s="2">
        <v>5</v>
      </c>
      <c r="O859" s="2">
        <v>0</v>
      </c>
      <c r="P859" s="2" t="s">
        <v>49</v>
      </c>
      <c r="Q859" s="2" t="s">
        <v>50</v>
      </c>
      <c r="R859" s="2">
        <v>1</v>
      </c>
      <c r="S859" s="2">
        <v>5</v>
      </c>
      <c r="T859" s="2" t="s">
        <v>59</v>
      </c>
      <c r="U859" s="2" t="s">
        <v>79</v>
      </c>
      <c r="V859" s="2" t="s">
        <v>61</v>
      </c>
      <c r="W859" s="3">
        <v>45438</v>
      </c>
      <c r="X859" s="2" t="b">
        <v>1</v>
      </c>
      <c r="Y859" s="2" t="b">
        <v>0</v>
      </c>
      <c r="Z859" s="2" t="s">
        <v>40</v>
      </c>
      <c r="AA859" s="2" t="s">
        <v>53</v>
      </c>
      <c r="AB859" s="2">
        <v>9</v>
      </c>
      <c r="AC859" s="2">
        <f>SUMIF(N:N,Ecommerce_Consumer_Behavior_Analysis_Data3[[#This Row],[Brand_Loyalty]],M:M)</f>
        <v>641</v>
      </c>
      <c r="AD859" s="2" t="e" cm="1" vm="1">
        <f t="array" aca="1" ref="AD859" ca="1">SUMIFS(Y:Y,Ecommerce_Consumer_Behavior_Analysis_Data3[[#This Row],[Payment_Method]],V:V)</f>
        <v>#VALUE!</v>
      </c>
      <c r="AE859" s="2">
        <f t="shared" si="17"/>
        <v>333.8</v>
      </c>
    </row>
    <row r="860" spans="1:31" x14ac:dyDescent="0.25">
      <c r="A860" s="2" t="s">
        <v>1785</v>
      </c>
      <c r="B860" s="2">
        <v>38</v>
      </c>
      <c r="C860" s="2" t="s">
        <v>29</v>
      </c>
      <c r="D860" s="2" t="s">
        <v>44</v>
      </c>
      <c r="E860" s="2" t="s">
        <v>55</v>
      </c>
      <c r="F860" s="2" t="s">
        <v>45</v>
      </c>
      <c r="G860" s="2" t="s">
        <v>44</v>
      </c>
      <c r="H860" s="2" t="s">
        <v>1786</v>
      </c>
      <c r="I860" s="2" t="s">
        <v>34</v>
      </c>
      <c r="J860" s="2">
        <v>83.21</v>
      </c>
      <c r="K860" s="2">
        <v>10</v>
      </c>
      <c r="L860" s="2" t="s">
        <v>78</v>
      </c>
      <c r="M860" s="2">
        <v>4</v>
      </c>
      <c r="N860" s="2">
        <v>3</v>
      </c>
      <c r="O860" s="2">
        <v>2</v>
      </c>
      <c r="P860" s="2" t="s">
        <v>59</v>
      </c>
      <c r="Q860" s="2" t="s">
        <v>37</v>
      </c>
      <c r="R860" s="2">
        <v>0</v>
      </c>
      <c r="S860" s="2">
        <v>4</v>
      </c>
      <c r="T860" s="2" t="s">
        <v>44</v>
      </c>
      <c r="U860" s="2" t="s">
        <v>79</v>
      </c>
      <c r="V860" s="2" t="s">
        <v>66</v>
      </c>
      <c r="W860" s="3">
        <v>45371</v>
      </c>
      <c r="X860" s="2" t="b">
        <v>0</v>
      </c>
      <c r="Y860" s="2" t="b">
        <v>0</v>
      </c>
      <c r="Z860" s="2" t="s">
        <v>62</v>
      </c>
      <c r="AA860" s="2" t="s">
        <v>53</v>
      </c>
      <c r="AB860" s="2">
        <v>7</v>
      </c>
      <c r="AC860" s="2">
        <f>SUMIF(N:N,Ecommerce_Consumer_Behavior_Analysis_Data3[[#This Row],[Brand_Loyalty]],M:M)</f>
        <v>603</v>
      </c>
      <c r="AD860" s="2" t="e" cm="1" vm="1">
        <f t="array" aca="1" ref="AD860" ca="1">SUMIFS(Y:Y,Ecommerce_Consumer_Behavior_Analysis_Data3[[#This Row],[Payment_Method]],V:V)</f>
        <v>#VALUE!</v>
      </c>
      <c r="AE860" s="2">
        <f t="shared" si="17"/>
        <v>211.7</v>
      </c>
    </row>
    <row r="861" spans="1:31" x14ac:dyDescent="0.25">
      <c r="A861" s="2" t="s">
        <v>1787</v>
      </c>
      <c r="B861" s="2">
        <v>41</v>
      </c>
      <c r="C861" s="2" t="s">
        <v>88</v>
      </c>
      <c r="D861" s="2" t="s">
        <v>30</v>
      </c>
      <c r="E861" s="2" t="s">
        <v>76</v>
      </c>
      <c r="F861" s="2" t="s">
        <v>56</v>
      </c>
      <c r="G861" s="2" t="s">
        <v>30</v>
      </c>
      <c r="H861" s="2" t="s">
        <v>1788</v>
      </c>
      <c r="I861" s="2" t="s">
        <v>34</v>
      </c>
      <c r="J861" s="2">
        <v>54.74</v>
      </c>
      <c r="K861" s="2">
        <v>4</v>
      </c>
      <c r="L861" s="2" t="s">
        <v>48</v>
      </c>
      <c r="M861" s="2">
        <v>1</v>
      </c>
      <c r="N861" s="2">
        <v>2</v>
      </c>
      <c r="O861" s="2">
        <v>0</v>
      </c>
      <c r="P861" s="2" t="s">
        <v>36</v>
      </c>
      <c r="Q861" s="2" t="s">
        <v>37</v>
      </c>
      <c r="R861" s="2">
        <v>0</v>
      </c>
      <c r="S861" s="2">
        <v>4</v>
      </c>
      <c r="T861" s="2" t="s">
        <v>59</v>
      </c>
      <c r="U861" s="2" t="s">
        <v>60</v>
      </c>
      <c r="V861" s="2" t="s">
        <v>51</v>
      </c>
      <c r="W861" s="3">
        <v>45568</v>
      </c>
      <c r="X861" s="2" t="b">
        <v>1</v>
      </c>
      <c r="Y861" s="2" t="b">
        <v>1</v>
      </c>
      <c r="Z861" s="2" t="s">
        <v>62</v>
      </c>
      <c r="AA861" s="2" t="s">
        <v>41</v>
      </c>
      <c r="AB861" s="2">
        <v>14</v>
      </c>
      <c r="AC861" s="2">
        <f>SUMIF(N:N,Ecommerce_Consumer_Behavior_Analysis_Data3[[#This Row],[Brand_Loyalty]],M:M)</f>
        <v>603</v>
      </c>
      <c r="AD861" s="2" t="e" cm="1" vm="1">
        <f t="array" aca="1" ref="AD861" ca="1">SUMIFS(Y:Y,Ecommerce_Consumer_Behavior_Analysis_Data3[[#This Row],[Payment_Method]],V:V)</f>
        <v>#VALUE!</v>
      </c>
      <c r="AE861" s="2">
        <f t="shared" si="17"/>
        <v>333.8</v>
      </c>
    </row>
    <row r="862" spans="1:31" x14ac:dyDescent="0.25">
      <c r="A862" s="2" t="s">
        <v>1789</v>
      </c>
      <c r="B862" s="2">
        <v>49</v>
      </c>
      <c r="C862" s="2" t="s">
        <v>29</v>
      </c>
      <c r="D862" s="2" t="s">
        <v>44</v>
      </c>
      <c r="E862" s="2" t="s">
        <v>76</v>
      </c>
      <c r="F862" s="2" t="s">
        <v>56</v>
      </c>
      <c r="G862" s="2" t="s">
        <v>44</v>
      </c>
      <c r="H862" s="2" t="s">
        <v>1790</v>
      </c>
      <c r="I862" s="2" t="s">
        <v>58</v>
      </c>
      <c r="J862" s="2">
        <v>371.12</v>
      </c>
      <c r="K862" s="2">
        <v>8</v>
      </c>
      <c r="L862" s="2" t="s">
        <v>78</v>
      </c>
      <c r="M862" s="2">
        <v>5</v>
      </c>
      <c r="N862" s="2">
        <v>1</v>
      </c>
      <c r="O862" s="2">
        <v>2</v>
      </c>
      <c r="P862" s="2" t="s">
        <v>44</v>
      </c>
      <c r="Q862" s="2" t="s">
        <v>37</v>
      </c>
      <c r="R862" s="2">
        <v>1</v>
      </c>
      <c r="S862" s="2">
        <v>7</v>
      </c>
      <c r="T862" s="2" t="s">
        <v>59</v>
      </c>
      <c r="U862" s="2" t="s">
        <v>60</v>
      </c>
      <c r="V862" s="2" t="s">
        <v>51</v>
      </c>
      <c r="W862" s="3">
        <v>45527</v>
      </c>
      <c r="X862" s="2" t="b">
        <v>0</v>
      </c>
      <c r="Y862" s="2" t="b">
        <v>1</v>
      </c>
      <c r="Z862" s="2" t="s">
        <v>52</v>
      </c>
      <c r="AA862" s="2" t="s">
        <v>41</v>
      </c>
      <c r="AB862" s="2">
        <v>8</v>
      </c>
      <c r="AC862" s="2">
        <f>SUMIF(N:N,Ecommerce_Consumer_Behavior_Analysis_Data3[[#This Row],[Brand_Loyalty]],M:M)</f>
        <v>641</v>
      </c>
      <c r="AD862" s="2" t="e" cm="1" vm="1">
        <f t="array" aca="1" ref="AD862" ca="1">SUMIFS(Y:Y,Ecommerce_Consumer_Behavior_Analysis_Data3[[#This Row],[Payment_Method]],V:V)</f>
        <v>#VALUE!</v>
      </c>
      <c r="AE862" s="2">
        <f t="shared" si="17"/>
        <v>333.8</v>
      </c>
    </row>
    <row r="863" spans="1:31" x14ac:dyDescent="0.25">
      <c r="A863" s="2" t="s">
        <v>1791</v>
      </c>
      <c r="B863" s="2">
        <v>32</v>
      </c>
      <c r="C863" s="2" t="s">
        <v>148</v>
      </c>
      <c r="D863" s="2" t="s">
        <v>30</v>
      </c>
      <c r="E863" s="2" t="s">
        <v>55</v>
      </c>
      <c r="F863" s="2" t="s">
        <v>45</v>
      </c>
      <c r="G863" s="2" t="s">
        <v>30</v>
      </c>
      <c r="H863" s="2" t="s">
        <v>1792</v>
      </c>
      <c r="I863" s="2" t="s">
        <v>114</v>
      </c>
      <c r="J863" s="2">
        <v>293.64</v>
      </c>
      <c r="K863" s="2">
        <v>3</v>
      </c>
      <c r="L863" s="2" t="s">
        <v>48</v>
      </c>
      <c r="M863" s="2">
        <v>2</v>
      </c>
      <c r="N863" s="2">
        <v>1</v>
      </c>
      <c r="O863" s="2">
        <v>2</v>
      </c>
      <c r="P863" s="2" t="s">
        <v>59</v>
      </c>
      <c r="Q863" s="2" t="s">
        <v>50</v>
      </c>
      <c r="R863" s="2">
        <v>2</v>
      </c>
      <c r="S863" s="2">
        <v>8</v>
      </c>
      <c r="T863" s="2" t="s">
        <v>36</v>
      </c>
      <c r="U863" s="2" t="s">
        <v>38</v>
      </c>
      <c r="V863" s="2" t="s">
        <v>39</v>
      </c>
      <c r="W863" s="3">
        <v>45552</v>
      </c>
      <c r="X863" s="2" t="b">
        <v>1</v>
      </c>
      <c r="Y863" s="2" t="b">
        <v>0</v>
      </c>
      <c r="Z863" s="2" t="s">
        <v>62</v>
      </c>
      <c r="AA863" s="2" t="s">
        <v>67</v>
      </c>
      <c r="AB863" s="2">
        <v>5</v>
      </c>
      <c r="AC863" s="2">
        <f>SUMIF(N:N,Ecommerce_Consumer_Behavior_Analysis_Data3[[#This Row],[Brand_Loyalty]],M:M)</f>
        <v>582</v>
      </c>
      <c r="AD863" s="2" t="e" cm="1" vm="1">
        <f t="array" aca="1" ref="AD863" ca="1">SUMIFS(Y:Y,Ecommerce_Consumer_Behavior_Analysis_Data3[[#This Row],[Payment_Method]],V:V)</f>
        <v>#VALUE!</v>
      </c>
      <c r="AE863" s="2">
        <f t="shared" si="17"/>
        <v>333.8</v>
      </c>
    </row>
    <row r="864" spans="1:31" x14ac:dyDescent="0.25">
      <c r="A864" s="2" t="s">
        <v>1793</v>
      </c>
      <c r="B864" s="2">
        <v>24</v>
      </c>
      <c r="C864" s="2" t="s">
        <v>43</v>
      </c>
      <c r="D864" s="2" t="s">
        <v>44</v>
      </c>
      <c r="E864" s="2" t="s">
        <v>31</v>
      </c>
      <c r="F864" s="2" t="s">
        <v>45</v>
      </c>
      <c r="G864" s="2" t="s">
        <v>44</v>
      </c>
      <c r="H864" s="2" t="s">
        <v>1794</v>
      </c>
      <c r="I864" s="2" t="s">
        <v>82</v>
      </c>
      <c r="J864" s="2">
        <v>185.83</v>
      </c>
      <c r="K864" s="2">
        <v>11</v>
      </c>
      <c r="L864" s="2" t="s">
        <v>48</v>
      </c>
      <c r="M864" s="2">
        <v>4</v>
      </c>
      <c r="N864" s="2">
        <v>2</v>
      </c>
      <c r="O864" s="2">
        <v>2</v>
      </c>
      <c r="P864" s="2" t="s">
        <v>59</v>
      </c>
      <c r="Q864" s="2" t="s">
        <v>50</v>
      </c>
      <c r="R864" s="2">
        <v>2</v>
      </c>
      <c r="S864" s="2">
        <v>9</v>
      </c>
      <c r="T864" s="2" t="s">
        <v>49</v>
      </c>
      <c r="U864" s="2" t="s">
        <v>79</v>
      </c>
      <c r="V864" s="2" t="s">
        <v>66</v>
      </c>
      <c r="W864" s="3">
        <v>45582</v>
      </c>
      <c r="X864" s="2" t="b">
        <v>0</v>
      </c>
      <c r="Y864" s="2" t="b">
        <v>1</v>
      </c>
      <c r="Z864" s="2" t="s">
        <v>62</v>
      </c>
      <c r="AA864" s="2" t="s">
        <v>53</v>
      </c>
      <c r="AB864" s="2">
        <v>1</v>
      </c>
      <c r="AC864" s="2">
        <f>SUMIF(N:N,Ecommerce_Consumer_Behavior_Analysis_Data3[[#This Row],[Brand_Loyalty]],M:M)</f>
        <v>603</v>
      </c>
      <c r="AD864" s="2" t="e" cm="1" vm="1">
        <f t="array" aca="1" ref="AD864" ca="1">SUMIFS(Y:Y,Ecommerce_Consumer_Behavior_Analysis_Data3[[#This Row],[Payment_Method]],V:V)</f>
        <v>#VALUE!</v>
      </c>
      <c r="AE864" s="2">
        <f t="shared" si="17"/>
        <v>333.8</v>
      </c>
    </row>
    <row r="865" spans="1:31" x14ac:dyDescent="0.25">
      <c r="A865" s="2" t="s">
        <v>1795</v>
      </c>
      <c r="B865" s="2">
        <v>27</v>
      </c>
      <c r="C865" s="2" t="s">
        <v>43</v>
      </c>
      <c r="D865" s="2" t="s">
        <v>44</v>
      </c>
      <c r="E865" s="2" t="s">
        <v>76</v>
      </c>
      <c r="F865" s="2" t="s">
        <v>56</v>
      </c>
      <c r="G865" s="2" t="s">
        <v>30</v>
      </c>
      <c r="H865" s="2" t="s">
        <v>1796</v>
      </c>
      <c r="I865" s="2" t="s">
        <v>58</v>
      </c>
      <c r="J865" s="2">
        <v>117.13</v>
      </c>
      <c r="K865" s="2">
        <v>7</v>
      </c>
      <c r="L865" s="2" t="s">
        <v>35</v>
      </c>
      <c r="M865" s="2">
        <v>1</v>
      </c>
      <c r="N865" s="2">
        <v>1</v>
      </c>
      <c r="O865" s="2">
        <v>2</v>
      </c>
      <c r="P865" s="2" t="s">
        <v>44</v>
      </c>
      <c r="Q865" s="2" t="s">
        <v>37</v>
      </c>
      <c r="R865" s="2">
        <v>1</v>
      </c>
      <c r="S865" s="2">
        <v>10</v>
      </c>
      <c r="T865" s="2" t="s">
        <v>44</v>
      </c>
      <c r="U865" s="2" t="s">
        <v>60</v>
      </c>
      <c r="V865" s="2" t="s">
        <v>39</v>
      </c>
      <c r="W865" s="3">
        <v>45512</v>
      </c>
      <c r="X865" s="2" t="b">
        <v>1</v>
      </c>
      <c r="Y865" s="2" t="b">
        <v>1</v>
      </c>
      <c r="Z865" s="2" t="s">
        <v>74</v>
      </c>
      <c r="AA865" s="2" t="s">
        <v>67</v>
      </c>
      <c r="AB865" s="2">
        <v>6</v>
      </c>
      <c r="AC865" s="2">
        <f>SUMIF(N:N,Ecommerce_Consumer_Behavior_Analysis_Data3[[#This Row],[Brand_Loyalty]],M:M)</f>
        <v>603</v>
      </c>
      <c r="AD865" s="2" t="e" cm="1" vm="1">
        <f t="array" aca="1" ref="AD865" ca="1">SUMIFS(Y:Y,Ecommerce_Consumer_Behavior_Analysis_Data3[[#This Row],[Payment_Method]],V:V)</f>
        <v>#VALUE!</v>
      </c>
      <c r="AE865" s="2">
        <f t="shared" si="17"/>
        <v>211.7</v>
      </c>
    </row>
    <row r="866" spans="1:31" x14ac:dyDescent="0.25">
      <c r="A866" s="2" t="s">
        <v>1797</v>
      </c>
      <c r="B866" s="2">
        <v>44</v>
      </c>
      <c r="C866" s="2" t="s">
        <v>29</v>
      </c>
      <c r="D866" s="2" t="s">
        <v>30</v>
      </c>
      <c r="E866" s="2" t="s">
        <v>31</v>
      </c>
      <c r="F866" s="2" t="s">
        <v>56</v>
      </c>
      <c r="G866" s="2" t="s">
        <v>44</v>
      </c>
      <c r="H866" s="2" t="s">
        <v>1798</v>
      </c>
      <c r="I866" s="2" t="s">
        <v>58</v>
      </c>
      <c r="J866" s="2">
        <v>52.24</v>
      </c>
      <c r="K866" s="2">
        <v>11</v>
      </c>
      <c r="L866" s="2" t="s">
        <v>48</v>
      </c>
      <c r="M866" s="2">
        <v>3</v>
      </c>
      <c r="N866" s="2">
        <v>1</v>
      </c>
      <c r="O866" s="2">
        <v>0</v>
      </c>
      <c r="P866" s="2" t="s">
        <v>59</v>
      </c>
      <c r="Q866" s="2" t="s">
        <v>50</v>
      </c>
      <c r="R866" s="2">
        <v>2</v>
      </c>
      <c r="S866" s="2">
        <v>4</v>
      </c>
      <c r="T866" s="2" t="s">
        <v>44</v>
      </c>
      <c r="U866" s="2" t="s">
        <v>60</v>
      </c>
      <c r="V866" s="2" t="s">
        <v>39</v>
      </c>
      <c r="W866" s="3">
        <v>45638</v>
      </c>
      <c r="X866" s="2" t="b">
        <v>1</v>
      </c>
      <c r="Y866" s="2" t="b">
        <v>1</v>
      </c>
      <c r="Z866" s="2" t="s">
        <v>62</v>
      </c>
      <c r="AA866" s="2" t="s">
        <v>53</v>
      </c>
      <c r="AB866" s="2">
        <v>8</v>
      </c>
      <c r="AC866" s="2">
        <f>SUMIF(N:N,Ecommerce_Consumer_Behavior_Analysis_Data3[[#This Row],[Brand_Loyalty]],M:M)</f>
        <v>597</v>
      </c>
      <c r="AD866" s="2" t="e" cm="1" vm="1">
        <f t="array" aca="1" ref="AD866" ca="1">SUMIFS(Y:Y,Ecommerce_Consumer_Behavior_Analysis_Data3[[#This Row],[Payment_Method]],V:V)</f>
        <v>#VALUE!</v>
      </c>
      <c r="AE866" s="2">
        <f t="shared" si="17"/>
        <v>333.8</v>
      </c>
    </row>
    <row r="867" spans="1:31" x14ac:dyDescent="0.25">
      <c r="A867" s="2" t="s">
        <v>1799</v>
      </c>
      <c r="B867" s="2">
        <v>28</v>
      </c>
      <c r="C867" s="2" t="s">
        <v>29</v>
      </c>
      <c r="D867" s="2" t="s">
        <v>44</v>
      </c>
      <c r="E867" s="2" t="s">
        <v>31</v>
      </c>
      <c r="F867" s="2" t="s">
        <v>32</v>
      </c>
      <c r="G867" s="2" t="s">
        <v>44</v>
      </c>
      <c r="H867" s="2" t="s">
        <v>1800</v>
      </c>
      <c r="I867" s="2" t="s">
        <v>123</v>
      </c>
      <c r="J867" s="2">
        <v>446.69</v>
      </c>
      <c r="K867" s="2">
        <v>7</v>
      </c>
      <c r="L867" s="2" t="s">
        <v>48</v>
      </c>
      <c r="M867" s="2">
        <v>4</v>
      </c>
      <c r="N867" s="2">
        <v>5</v>
      </c>
      <c r="O867" s="2">
        <v>2</v>
      </c>
      <c r="P867" s="2" t="s">
        <v>49</v>
      </c>
      <c r="Q867" s="2" t="s">
        <v>37</v>
      </c>
      <c r="R867" s="2">
        <v>1</v>
      </c>
      <c r="S867" s="2">
        <v>5</v>
      </c>
      <c r="T867" s="2" t="s">
        <v>44</v>
      </c>
      <c r="U867" s="2" t="s">
        <v>60</v>
      </c>
      <c r="V867" s="2" t="s">
        <v>86</v>
      </c>
      <c r="W867" s="3">
        <v>45455</v>
      </c>
      <c r="X867" s="2" t="b">
        <v>0</v>
      </c>
      <c r="Y867" s="2" t="b">
        <v>1</v>
      </c>
      <c r="Z867" s="2" t="s">
        <v>74</v>
      </c>
      <c r="AA867" s="2" t="s">
        <v>41</v>
      </c>
      <c r="AB867" s="2">
        <v>13</v>
      </c>
      <c r="AC867" s="2">
        <f>SUMIF(N:N,Ecommerce_Consumer_Behavior_Analysis_Data3[[#This Row],[Brand_Loyalty]],M:M)</f>
        <v>603</v>
      </c>
      <c r="AD867" s="2" t="e" cm="1" vm="1">
        <f t="array" aca="1" ref="AD867" ca="1">SUMIFS(Y:Y,Ecommerce_Consumer_Behavior_Analysis_Data3[[#This Row],[Payment_Method]],V:V)</f>
        <v>#VALUE!</v>
      </c>
      <c r="AE867" s="2">
        <f t="shared" si="17"/>
        <v>101.31</v>
      </c>
    </row>
    <row r="868" spans="1:31" x14ac:dyDescent="0.25">
      <c r="A868" s="2" t="s">
        <v>1801</v>
      </c>
      <c r="B868" s="2">
        <v>23</v>
      </c>
      <c r="C868" s="2" t="s">
        <v>43</v>
      </c>
      <c r="D868" s="2" t="s">
        <v>30</v>
      </c>
      <c r="E868" s="2" t="s">
        <v>31</v>
      </c>
      <c r="F868" s="2" t="s">
        <v>45</v>
      </c>
      <c r="G868" s="2" t="s">
        <v>30</v>
      </c>
      <c r="H868" s="2" t="s">
        <v>1802</v>
      </c>
      <c r="I868" s="2" t="s">
        <v>114</v>
      </c>
      <c r="J868" s="2">
        <v>216.84</v>
      </c>
      <c r="K868" s="2">
        <v>5</v>
      </c>
      <c r="L868" s="2" t="s">
        <v>48</v>
      </c>
      <c r="M868" s="2">
        <v>4</v>
      </c>
      <c r="N868" s="2">
        <v>3</v>
      </c>
      <c r="O868" s="2">
        <v>1</v>
      </c>
      <c r="P868" s="2" t="s">
        <v>59</v>
      </c>
      <c r="Q868" s="2" t="s">
        <v>37</v>
      </c>
      <c r="R868" s="2">
        <v>1</v>
      </c>
      <c r="S868" s="2">
        <v>1</v>
      </c>
      <c r="T868" s="2" t="s">
        <v>59</v>
      </c>
      <c r="U868" s="2" t="s">
        <v>38</v>
      </c>
      <c r="V868" s="2" t="s">
        <v>51</v>
      </c>
      <c r="W868" s="3">
        <v>45379</v>
      </c>
      <c r="X868" s="2" t="b">
        <v>0</v>
      </c>
      <c r="Y868" s="2" t="b">
        <v>0</v>
      </c>
      <c r="Z868" s="2" t="s">
        <v>74</v>
      </c>
      <c r="AA868" s="2" t="s">
        <v>67</v>
      </c>
      <c r="AB868" s="2">
        <v>5</v>
      </c>
      <c r="AC868" s="2">
        <f>SUMIF(N:N,Ecommerce_Consumer_Behavior_Analysis_Data3[[#This Row],[Brand_Loyalty]],M:M)</f>
        <v>603</v>
      </c>
      <c r="AD868" s="2" t="e" cm="1" vm="1">
        <f t="array" aca="1" ref="AD868" ca="1">SUMIFS(Y:Y,Ecommerce_Consumer_Behavior_Analysis_Data3[[#This Row],[Payment_Method]],V:V)</f>
        <v>#VALUE!</v>
      </c>
      <c r="AE868" s="2">
        <f t="shared" si="17"/>
        <v>101.31</v>
      </c>
    </row>
    <row r="869" spans="1:31" x14ac:dyDescent="0.25">
      <c r="A869" s="2" t="s">
        <v>1803</v>
      </c>
      <c r="B869" s="2">
        <v>42</v>
      </c>
      <c r="C869" s="2" t="s">
        <v>29</v>
      </c>
      <c r="D869" s="2" t="s">
        <v>44</v>
      </c>
      <c r="E869" s="2" t="s">
        <v>76</v>
      </c>
      <c r="F869" s="2" t="s">
        <v>45</v>
      </c>
      <c r="G869" s="2" t="s">
        <v>44</v>
      </c>
      <c r="H869" s="2" t="s">
        <v>1804</v>
      </c>
      <c r="I869" s="2" t="s">
        <v>117</v>
      </c>
      <c r="J869" s="2">
        <v>75.27</v>
      </c>
      <c r="K869" s="2">
        <v>7</v>
      </c>
      <c r="L869" s="2" t="s">
        <v>35</v>
      </c>
      <c r="M869" s="2">
        <v>3</v>
      </c>
      <c r="N869" s="2">
        <v>4</v>
      </c>
      <c r="O869" s="2">
        <v>1</v>
      </c>
      <c r="P869" s="2" t="s">
        <v>36</v>
      </c>
      <c r="Q869" s="2" t="s">
        <v>50</v>
      </c>
      <c r="R869" s="2">
        <v>2</v>
      </c>
      <c r="S869" s="2">
        <v>3</v>
      </c>
      <c r="T869" s="2" t="s">
        <v>36</v>
      </c>
      <c r="U869" s="2" t="s">
        <v>79</v>
      </c>
      <c r="V869" s="2" t="s">
        <v>51</v>
      </c>
      <c r="W869" s="3">
        <v>45653</v>
      </c>
      <c r="X869" s="2" t="b">
        <v>1</v>
      </c>
      <c r="Y869" s="2" t="b">
        <v>1</v>
      </c>
      <c r="Z869" s="2" t="s">
        <v>62</v>
      </c>
      <c r="AA869" s="2" t="s">
        <v>67</v>
      </c>
      <c r="AB869" s="2">
        <v>1</v>
      </c>
      <c r="AC869" s="2">
        <f>SUMIF(N:N,Ecommerce_Consumer_Behavior_Analysis_Data3[[#This Row],[Brand_Loyalty]],M:M)</f>
        <v>597</v>
      </c>
      <c r="AD869" s="2" t="e" cm="1" vm="1">
        <f t="array" aca="1" ref="AD869" ca="1">SUMIFS(Y:Y,Ecommerce_Consumer_Behavior_Analysis_Data3[[#This Row],[Payment_Method]],V:V)</f>
        <v>#VALUE!</v>
      </c>
      <c r="AE869" s="2">
        <f t="shared" si="17"/>
        <v>101.31</v>
      </c>
    </row>
    <row r="870" spans="1:31" x14ac:dyDescent="0.25">
      <c r="A870" s="2" t="s">
        <v>1805</v>
      </c>
      <c r="B870" s="2">
        <v>20</v>
      </c>
      <c r="C870" s="2" t="s">
        <v>43</v>
      </c>
      <c r="D870" s="2" t="s">
        <v>30</v>
      </c>
      <c r="E870" s="2" t="s">
        <v>69</v>
      </c>
      <c r="F870" s="2" t="s">
        <v>56</v>
      </c>
      <c r="G870" s="2" t="s">
        <v>44</v>
      </c>
      <c r="H870" s="2" t="s">
        <v>1806</v>
      </c>
      <c r="I870" s="2" t="s">
        <v>58</v>
      </c>
      <c r="J870" s="2">
        <v>308.87</v>
      </c>
      <c r="K870" s="2">
        <v>2</v>
      </c>
      <c r="L870" s="2" t="s">
        <v>48</v>
      </c>
      <c r="M870" s="2">
        <v>3</v>
      </c>
      <c r="N870" s="2">
        <v>4</v>
      </c>
      <c r="O870" s="2">
        <v>1</v>
      </c>
      <c r="P870" s="2" t="s">
        <v>36</v>
      </c>
      <c r="Q870" s="2" t="s">
        <v>50</v>
      </c>
      <c r="R870" s="2">
        <v>2</v>
      </c>
      <c r="S870" s="2">
        <v>2</v>
      </c>
      <c r="T870" s="2" t="s">
        <v>36</v>
      </c>
      <c r="U870" s="2" t="s">
        <v>38</v>
      </c>
      <c r="V870" s="2" t="s">
        <v>86</v>
      </c>
      <c r="W870" s="3">
        <v>45346</v>
      </c>
      <c r="X870" s="2" t="b">
        <v>1</v>
      </c>
      <c r="Y870" s="2" t="b">
        <v>1</v>
      </c>
      <c r="Z870" s="2" t="s">
        <v>62</v>
      </c>
      <c r="AA870" s="2" t="s">
        <v>67</v>
      </c>
      <c r="AB870" s="2">
        <v>11</v>
      </c>
      <c r="AC870" s="2">
        <f>SUMIF(N:N,Ecommerce_Consumer_Behavior_Analysis_Data3[[#This Row],[Brand_Loyalty]],M:M)</f>
        <v>597</v>
      </c>
      <c r="AD870" s="2" t="e" cm="1" vm="1">
        <f t="array" aca="1" ref="AD870" ca="1">SUMIFS(Y:Y,Ecommerce_Consumer_Behavior_Analysis_Data3[[#This Row],[Payment_Method]],V:V)</f>
        <v>#VALUE!</v>
      </c>
      <c r="AE870" s="2">
        <f t="shared" si="17"/>
        <v>211.7</v>
      </c>
    </row>
    <row r="871" spans="1:31" x14ac:dyDescent="0.25">
      <c r="A871" s="2" t="s">
        <v>1807</v>
      </c>
      <c r="B871" s="2">
        <v>49</v>
      </c>
      <c r="C871" s="2" t="s">
        <v>43</v>
      </c>
      <c r="D871" s="2" t="s">
        <v>44</v>
      </c>
      <c r="E871" s="2" t="s">
        <v>76</v>
      </c>
      <c r="F871" s="2" t="s">
        <v>56</v>
      </c>
      <c r="G871" s="2" t="s">
        <v>30</v>
      </c>
      <c r="H871" s="2" t="s">
        <v>1808</v>
      </c>
      <c r="I871" s="2" t="s">
        <v>194</v>
      </c>
      <c r="J871" s="2">
        <v>169.77</v>
      </c>
      <c r="K871" s="2">
        <v>5</v>
      </c>
      <c r="L871" s="2" t="s">
        <v>48</v>
      </c>
      <c r="M871" s="2">
        <v>1</v>
      </c>
      <c r="N871" s="2">
        <v>4</v>
      </c>
      <c r="O871" s="2">
        <v>0</v>
      </c>
      <c r="P871" s="2" t="s">
        <v>49</v>
      </c>
      <c r="Q871" s="2" t="s">
        <v>85</v>
      </c>
      <c r="R871" s="2">
        <v>2</v>
      </c>
      <c r="S871" s="2">
        <v>9</v>
      </c>
      <c r="T871" s="2" t="s">
        <v>36</v>
      </c>
      <c r="U871" s="2" t="s">
        <v>79</v>
      </c>
      <c r="V871" s="2" t="s">
        <v>66</v>
      </c>
      <c r="W871" s="3">
        <v>45458</v>
      </c>
      <c r="X871" s="2" t="b">
        <v>1</v>
      </c>
      <c r="Y871" s="2" t="b">
        <v>1</v>
      </c>
      <c r="Z871" s="2" t="s">
        <v>52</v>
      </c>
      <c r="AA871" s="2" t="s">
        <v>53</v>
      </c>
      <c r="AB871" s="2">
        <v>7</v>
      </c>
      <c r="AC871" s="2">
        <f>SUMIF(N:N,Ecommerce_Consumer_Behavior_Analysis_Data3[[#This Row],[Brand_Loyalty]],M:M)</f>
        <v>603</v>
      </c>
      <c r="AD871" s="2" t="e" cm="1" vm="1">
        <f t="array" aca="1" ref="AD871" ca="1">SUMIFS(Y:Y,Ecommerce_Consumer_Behavior_Analysis_Data3[[#This Row],[Payment_Method]],V:V)</f>
        <v>#VALUE!</v>
      </c>
      <c r="AE871" s="2">
        <f t="shared" si="17"/>
        <v>211.7</v>
      </c>
    </row>
    <row r="872" spans="1:31" x14ac:dyDescent="0.25">
      <c r="A872" s="2" t="s">
        <v>1809</v>
      </c>
      <c r="B872" s="2">
        <v>19</v>
      </c>
      <c r="C872" s="2" t="s">
        <v>43</v>
      </c>
      <c r="D872" s="2" t="s">
        <v>44</v>
      </c>
      <c r="E872" s="2" t="s">
        <v>76</v>
      </c>
      <c r="F872" s="2" t="s">
        <v>45</v>
      </c>
      <c r="G872" s="2" t="s">
        <v>44</v>
      </c>
      <c r="H872" s="2" t="s">
        <v>1810</v>
      </c>
      <c r="I872" s="2" t="s">
        <v>126</v>
      </c>
      <c r="J872" s="2">
        <v>289.08</v>
      </c>
      <c r="K872" s="2">
        <v>12</v>
      </c>
      <c r="L872" s="2" t="s">
        <v>78</v>
      </c>
      <c r="M872" s="2">
        <v>2</v>
      </c>
      <c r="N872" s="2">
        <v>1</v>
      </c>
      <c r="O872" s="2">
        <v>0</v>
      </c>
      <c r="P872" s="2" t="s">
        <v>36</v>
      </c>
      <c r="Q872" s="2" t="s">
        <v>85</v>
      </c>
      <c r="R872" s="2">
        <v>1</v>
      </c>
      <c r="S872" s="2">
        <v>10</v>
      </c>
      <c r="T872" s="2" t="s">
        <v>49</v>
      </c>
      <c r="U872" s="2" t="s">
        <v>79</v>
      </c>
      <c r="V872" s="2" t="s">
        <v>66</v>
      </c>
      <c r="W872" s="3">
        <v>45518</v>
      </c>
      <c r="X872" s="2" t="b">
        <v>1</v>
      </c>
      <c r="Y872" s="2" t="b">
        <v>1</v>
      </c>
      <c r="Z872" s="2" t="s">
        <v>52</v>
      </c>
      <c r="AA872" s="2" t="s">
        <v>53</v>
      </c>
      <c r="AB872" s="2">
        <v>7</v>
      </c>
      <c r="AC872" s="2">
        <f>SUMIF(N:N,Ecommerce_Consumer_Behavior_Analysis_Data3[[#This Row],[Brand_Loyalty]],M:M)</f>
        <v>582</v>
      </c>
      <c r="AD872" s="2" t="e" cm="1" vm="1">
        <f t="array" aca="1" ref="AD872" ca="1">SUMIFS(Y:Y,Ecommerce_Consumer_Behavior_Analysis_Data3[[#This Row],[Payment_Method]],V:V)</f>
        <v>#VALUE!</v>
      </c>
      <c r="AE872" s="2">
        <f t="shared" si="17"/>
        <v>333.8</v>
      </c>
    </row>
    <row r="873" spans="1:31" x14ac:dyDescent="0.25">
      <c r="A873" s="2" t="s">
        <v>1811</v>
      </c>
      <c r="B873" s="2">
        <v>38</v>
      </c>
      <c r="C873" s="2" t="s">
        <v>29</v>
      </c>
      <c r="D873" s="2" t="s">
        <v>30</v>
      </c>
      <c r="E873" s="2" t="s">
        <v>55</v>
      </c>
      <c r="F873" s="2" t="s">
        <v>45</v>
      </c>
      <c r="G873" s="2" t="s">
        <v>44</v>
      </c>
      <c r="H873" s="2" t="s">
        <v>1812</v>
      </c>
      <c r="I873" s="2" t="s">
        <v>194</v>
      </c>
      <c r="J873" s="2">
        <v>74.09</v>
      </c>
      <c r="K873" s="2">
        <v>10</v>
      </c>
      <c r="L873" s="2" t="s">
        <v>35</v>
      </c>
      <c r="M873" s="2">
        <v>1</v>
      </c>
      <c r="N873" s="2">
        <v>4</v>
      </c>
      <c r="O873" s="2">
        <v>2</v>
      </c>
      <c r="P873" s="2" t="s">
        <v>36</v>
      </c>
      <c r="Q873" s="2" t="s">
        <v>37</v>
      </c>
      <c r="R873" s="2">
        <v>2</v>
      </c>
      <c r="S873" s="2">
        <v>9</v>
      </c>
      <c r="T873" s="2" t="s">
        <v>59</v>
      </c>
      <c r="U873" s="2" t="s">
        <v>38</v>
      </c>
      <c r="V873" s="2" t="s">
        <v>66</v>
      </c>
      <c r="W873" s="3">
        <v>45427</v>
      </c>
      <c r="X873" s="2" t="b">
        <v>1</v>
      </c>
      <c r="Y873" s="2" t="b">
        <v>1</v>
      </c>
      <c r="Z873" s="2" t="s">
        <v>62</v>
      </c>
      <c r="AA873" s="2" t="s">
        <v>53</v>
      </c>
      <c r="AB873" s="2">
        <v>8</v>
      </c>
      <c r="AC873" s="2">
        <f>SUMIF(N:N,Ecommerce_Consumer_Behavior_Analysis_Data3[[#This Row],[Brand_Loyalty]],M:M)</f>
        <v>603</v>
      </c>
      <c r="AD873" s="2" t="e" cm="1" vm="1">
        <f t="array" aca="1" ref="AD873" ca="1">SUMIFS(Y:Y,Ecommerce_Consumer_Behavior_Analysis_Data3[[#This Row],[Payment_Method]],V:V)</f>
        <v>#VALUE!</v>
      </c>
      <c r="AE873" s="2">
        <f t="shared" si="17"/>
        <v>101.31</v>
      </c>
    </row>
    <row r="874" spans="1:31" x14ac:dyDescent="0.25">
      <c r="A874" s="2" t="s">
        <v>1813</v>
      </c>
      <c r="B874" s="2">
        <v>43</v>
      </c>
      <c r="C874" s="2" t="s">
        <v>43</v>
      </c>
      <c r="D874" s="2" t="s">
        <v>44</v>
      </c>
      <c r="E874" s="2" t="s">
        <v>31</v>
      </c>
      <c r="F874" s="2" t="s">
        <v>45</v>
      </c>
      <c r="G874" s="2" t="s">
        <v>30</v>
      </c>
      <c r="H874" s="2" t="s">
        <v>1814</v>
      </c>
      <c r="I874" s="2" t="s">
        <v>194</v>
      </c>
      <c r="J874" s="2">
        <v>201.53</v>
      </c>
      <c r="K874" s="2">
        <v>5</v>
      </c>
      <c r="L874" s="2" t="s">
        <v>78</v>
      </c>
      <c r="M874" s="2">
        <v>2</v>
      </c>
      <c r="N874" s="2">
        <v>3</v>
      </c>
      <c r="O874" s="2">
        <v>1</v>
      </c>
      <c r="P874" s="2" t="s">
        <v>36</v>
      </c>
      <c r="Q874" s="2" t="s">
        <v>50</v>
      </c>
      <c r="R874" s="2">
        <v>1</v>
      </c>
      <c r="S874" s="2">
        <v>6</v>
      </c>
      <c r="T874" s="2" t="s">
        <v>44</v>
      </c>
      <c r="U874" s="2" t="s">
        <v>38</v>
      </c>
      <c r="V874" s="2" t="s">
        <v>66</v>
      </c>
      <c r="W874" s="3">
        <v>45444</v>
      </c>
      <c r="X874" s="2" t="b">
        <v>0</v>
      </c>
      <c r="Y874" s="2" t="b">
        <v>1</v>
      </c>
      <c r="Z874" s="2" t="s">
        <v>52</v>
      </c>
      <c r="AA874" s="2" t="s">
        <v>41</v>
      </c>
      <c r="AB874" s="2">
        <v>11</v>
      </c>
      <c r="AC874" s="2">
        <f>SUMIF(N:N,Ecommerce_Consumer_Behavior_Analysis_Data3[[#This Row],[Brand_Loyalty]],M:M)</f>
        <v>582</v>
      </c>
      <c r="AD874" s="2" t="e" cm="1" vm="1">
        <f t="array" aca="1" ref="AD874" ca="1">SUMIFS(Y:Y,Ecommerce_Consumer_Behavior_Analysis_Data3[[#This Row],[Payment_Method]],V:V)</f>
        <v>#VALUE!</v>
      </c>
      <c r="AE874" s="2">
        <f t="shared" si="17"/>
        <v>333.8</v>
      </c>
    </row>
    <row r="875" spans="1:31" x14ac:dyDescent="0.25">
      <c r="A875" s="2" t="s">
        <v>1815</v>
      </c>
      <c r="B875" s="2">
        <v>38</v>
      </c>
      <c r="C875" s="2" t="s">
        <v>43</v>
      </c>
      <c r="D875" s="2" t="s">
        <v>30</v>
      </c>
      <c r="E875" s="2" t="s">
        <v>76</v>
      </c>
      <c r="F875" s="2" t="s">
        <v>32</v>
      </c>
      <c r="G875" s="2" t="s">
        <v>44</v>
      </c>
      <c r="H875" s="2" t="s">
        <v>1816</v>
      </c>
      <c r="I875" s="2" t="s">
        <v>135</v>
      </c>
      <c r="J875" s="2">
        <v>244.6</v>
      </c>
      <c r="K875" s="2">
        <v>12</v>
      </c>
      <c r="L875" s="2" t="s">
        <v>78</v>
      </c>
      <c r="M875" s="2">
        <v>4</v>
      </c>
      <c r="N875" s="2">
        <v>4</v>
      </c>
      <c r="O875" s="2">
        <v>2</v>
      </c>
      <c r="P875" s="2" t="s">
        <v>49</v>
      </c>
      <c r="Q875" s="2" t="s">
        <v>37</v>
      </c>
      <c r="R875" s="2">
        <v>0</v>
      </c>
      <c r="S875" s="2">
        <v>6</v>
      </c>
      <c r="T875" s="2" t="s">
        <v>36</v>
      </c>
      <c r="U875" s="2" t="s">
        <v>38</v>
      </c>
      <c r="V875" s="2" t="s">
        <v>66</v>
      </c>
      <c r="W875" s="3">
        <v>45529</v>
      </c>
      <c r="X875" s="2" t="b">
        <v>0</v>
      </c>
      <c r="Y875" s="2" t="b">
        <v>0</v>
      </c>
      <c r="Z875" s="2" t="s">
        <v>52</v>
      </c>
      <c r="AA875" s="2" t="s">
        <v>53</v>
      </c>
      <c r="AB875" s="2">
        <v>3</v>
      </c>
      <c r="AC875" s="2">
        <f>SUMIF(N:N,Ecommerce_Consumer_Behavior_Analysis_Data3[[#This Row],[Brand_Loyalty]],M:M)</f>
        <v>603</v>
      </c>
      <c r="AD875" s="2" t="e" cm="1" vm="1">
        <f t="array" aca="1" ref="AD875" ca="1">SUMIFS(Y:Y,Ecommerce_Consumer_Behavior_Analysis_Data3[[#This Row],[Payment_Method]],V:V)</f>
        <v>#VALUE!</v>
      </c>
      <c r="AE875" s="2">
        <f t="shared" si="17"/>
        <v>333.8</v>
      </c>
    </row>
    <row r="876" spans="1:31" x14ac:dyDescent="0.25">
      <c r="A876" s="2" t="s">
        <v>1817</v>
      </c>
      <c r="B876" s="2">
        <v>21</v>
      </c>
      <c r="C876" s="2" t="s">
        <v>43</v>
      </c>
      <c r="D876" s="2" t="s">
        <v>30</v>
      </c>
      <c r="E876" s="2" t="s">
        <v>69</v>
      </c>
      <c r="F876" s="2" t="s">
        <v>32</v>
      </c>
      <c r="G876" s="2" t="s">
        <v>44</v>
      </c>
      <c r="H876" s="2" t="s">
        <v>1818</v>
      </c>
      <c r="I876" s="2" t="s">
        <v>120</v>
      </c>
      <c r="J876" s="2">
        <v>320.5</v>
      </c>
      <c r="K876" s="2">
        <v>10</v>
      </c>
      <c r="L876" s="2" t="s">
        <v>48</v>
      </c>
      <c r="M876" s="2">
        <v>3</v>
      </c>
      <c r="N876" s="2">
        <v>4</v>
      </c>
      <c r="O876" s="2">
        <v>2</v>
      </c>
      <c r="P876" s="2" t="s">
        <v>59</v>
      </c>
      <c r="Q876" s="2" t="s">
        <v>37</v>
      </c>
      <c r="R876" s="2">
        <v>0</v>
      </c>
      <c r="S876" s="2">
        <v>9</v>
      </c>
      <c r="T876" s="2" t="s">
        <v>59</v>
      </c>
      <c r="U876" s="2" t="s">
        <v>38</v>
      </c>
      <c r="V876" s="2" t="s">
        <v>86</v>
      </c>
      <c r="W876" s="3">
        <v>45352</v>
      </c>
      <c r="X876" s="2" t="b">
        <v>1</v>
      </c>
      <c r="Y876" s="2" t="b">
        <v>0</v>
      </c>
      <c r="Z876" s="2" t="s">
        <v>40</v>
      </c>
      <c r="AA876" s="2" t="s">
        <v>67</v>
      </c>
      <c r="AB876" s="2">
        <v>9</v>
      </c>
      <c r="AC876" s="2">
        <f>SUMIF(N:N,Ecommerce_Consumer_Behavior_Analysis_Data3[[#This Row],[Brand_Loyalty]],M:M)</f>
        <v>597</v>
      </c>
      <c r="AD876" s="2" t="e" cm="1" vm="1">
        <f t="array" aca="1" ref="AD876" ca="1">SUMIFS(Y:Y,Ecommerce_Consumer_Behavior_Analysis_Data3[[#This Row],[Payment_Method]],V:V)</f>
        <v>#VALUE!</v>
      </c>
      <c r="AE876" s="2">
        <f t="shared" si="17"/>
        <v>333.8</v>
      </c>
    </row>
    <row r="877" spans="1:31" x14ac:dyDescent="0.25">
      <c r="A877" s="2" t="s">
        <v>1819</v>
      </c>
      <c r="B877" s="2">
        <v>27</v>
      </c>
      <c r="C877" s="2" t="s">
        <v>43</v>
      </c>
      <c r="D877" s="2" t="s">
        <v>30</v>
      </c>
      <c r="E877" s="2" t="s">
        <v>69</v>
      </c>
      <c r="F877" s="2" t="s">
        <v>56</v>
      </c>
      <c r="G877" s="2" t="s">
        <v>30</v>
      </c>
      <c r="H877" s="2" t="s">
        <v>1820</v>
      </c>
      <c r="I877" s="2" t="s">
        <v>246</v>
      </c>
      <c r="J877" s="2">
        <v>91.63</v>
      </c>
      <c r="K877" s="2">
        <v>3</v>
      </c>
      <c r="L877" s="2" t="s">
        <v>48</v>
      </c>
      <c r="M877" s="2">
        <v>5</v>
      </c>
      <c r="N877" s="2">
        <v>2</v>
      </c>
      <c r="O877" s="2">
        <v>2</v>
      </c>
      <c r="P877" s="2" t="s">
        <v>36</v>
      </c>
      <c r="Q877" s="2" t="s">
        <v>50</v>
      </c>
      <c r="R877" s="2">
        <v>0</v>
      </c>
      <c r="S877" s="2">
        <v>10</v>
      </c>
      <c r="T877" s="2" t="s">
        <v>36</v>
      </c>
      <c r="U877" s="2" t="s">
        <v>38</v>
      </c>
      <c r="V877" s="2" t="s">
        <v>61</v>
      </c>
      <c r="W877" s="3">
        <v>45473</v>
      </c>
      <c r="X877" s="2" t="b">
        <v>1</v>
      </c>
      <c r="Y877" s="2" t="b">
        <v>1</v>
      </c>
      <c r="Z877" s="2" t="s">
        <v>52</v>
      </c>
      <c r="AA877" s="2" t="s">
        <v>53</v>
      </c>
      <c r="AB877" s="2">
        <v>2</v>
      </c>
      <c r="AC877" s="2">
        <f>SUMIF(N:N,Ecommerce_Consumer_Behavior_Analysis_Data3[[#This Row],[Brand_Loyalty]],M:M)</f>
        <v>641</v>
      </c>
      <c r="AD877" s="2" t="e" cm="1" vm="1">
        <f t="array" aca="1" ref="AD877" ca="1">SUMIFS(Y:Y,Ecommerce_Consumer_Behavior_Analysis_Data3[[#This Row],[Payment_Method]],V:V)</f>
        <v>#VALUE!</v>
      </c>
      <c r="AE877" s="2">
        <f t="shared" si="17"/>
        <v>101.31</v>
      </c>
    </row>
    <row r="878" spans="1:31" x14ac:dyDescent="0.25">
      <c r="A878" s="2" t="s">
        <v>1821</v>
      </c>
      <c r="B878" s="2">
        <v>35</v>
      </c>
      <c r="C878" s="2" t="s">
        <v>43</v>
      </c>
      <c r="D878" s="2" t="s">
        <v>30</v>
      </c>
      <c r="E878" s="2" t="s">
        <v>31</v>
      </c>
      <c r="F878" s="2" t="s">
        <v>56</v>
      </c>
      <c r="G878" s="2" t="s">
        <v>44</v>
      </c>
      <c r="H878" s="2" t="s">
        <v>1822</v>
      </c>
      <c r="I878" s="2" t="s">
        <v>90</v>
      </c>
      <c r="J878" s="2">
        <v>251.93</v>
      </c>
      <c r="K878" s="2">
        <v>8</v>
      </c>
      <c r="L878" s="2" t="s">
        <v>48</v>
      </c>
      <c r="M878" s="2">
        <v>3</v>
      </c>
      <c r="N878" s="2">
        <v>2</v>
      </c>
      <c r="O878" s="2">
        <v>1</v>
      </c>
      <c r="P878" s="2" t="s">
        <v>44</v>
      </c>
      <c r="Q878" s="2" t="s">
        <v>85</v>
      </c>
      <c r="R878" s="2">
        <v>2</v>
      </c>
      <c r="S878" s="2">
        <v>3</v>
      </c>
      <c r="T878" s="2" t="s">
        <v>36</v>
      </c>
      <c r="U878" s="2" t="s">
        <v>38</v>
      </c>
      <c r="V878" s="2" t="s">
        <v>61</v>
      </c>
      <c r="W878" s="3">
        <v>45293</v>
      </c>
      <c r="X878" s="2" t="b">
        <v>0</v>
      </c>
      <c r="Y878" s="2" t="b">
        <v>0</v>
      </c>
      <c r="Z878" s="2" t="s">
        <v>40</v>
      </c>
      <c r="AA878" s="2" t="s">
        <v>53</v>
      </c>
      <c r="AB878" s="2">
        <v>7</v>
      </c>
      <c r="AC878" s="2">
        <f>SUMIF(N:N,Ecommerce_Consumer_Behavior_Analysis_Data3[[#This Row],[Brand_Loyalty]],M:M)</f>
        <v>597</v>
      </c>
      <c r="AD878" s="2" t="e" cm="1" vm="1">
        <f t="array" aca="1" ref="AD878" ca="1">SUMIFS(Y:Y,Ecommerce_Consumer_Behavior_Analysis_Data3[[#This Row],[Payment_Method]],V:V)</f>
        <v>#VALUE!</v>
      </c>
      <c r="AE878" s="2">
        <f t="shared" si="17"/>
        <v>211.7</v>
      </c>
    </row>
    <row r="879" spans="1:31" x14ac:dyDescent="0.25">
      <c r="A879" s="2" t="s">
        <v>1823</v>
      </c>
      <c r="B879" s="2">
        <v>30</v>
      </c>
      <c r="C879" s="2" t="s">
        <v>43</v>
      </c>
      <c r="D879" s="2" t="s">
        <v>30</v>
      </c>
      <c r="E879" s="2" t="s">
        <v>31</v>
      </c>
      <c r="F879" s="2" t="s">
        <v>32</v>
      </c>
      <c r="G879" s="2" t="s">
        <v>30</v>
      </c>
      <c r="H879" s="2" t="s">
        <v>1824</v>
      </c>
      <c r="I879" s="2" t="s">
        <v>98</v>
      </c>
      <c r="J879" s="2">
        <v>477.35</v>
      </c>
      <c r="K879" s="2">
        <v>4</v>
      </c>
      <c r="L879" s="2" t="s">
        <v>78</v>
      </c>
      <c r="M879" s="2">
        <v>2</v>
      </c>
      <c r="N879" s="2">
        <v>5</v>
      </c>
      <c r="O879" s="2">
        <v>0</v>
      </c>
      <c r="P879" s="2" t="s">
        <v>44</v>
      </c>
      <c r="Q879" s="2" t="s">
        <v>85</v>
      </c>
      <c r="R879" s="2">
        <v>1</v>
      </c>
      <c r="S879" s="2">
        <v>2</v>
      </c>
      <c r="T879" s="2" t="s">
        <v>59</v>
      </c>
      <c r="U879" s="2" t="s">
        <v>79</v>
      </c>
      <c r="V879" s="2" t="s">
        <v>51</v>
      </c>
      <c r="W879" s="3">
        <v>45654</v>
      </c>
      <c r="X879" s="2" t="b">
        <v>0</v>
      </c>
      <c r="Y879" s="2" t="b">
        <v>0</v>
      </c>
      <c r="Z879" s="2" t="s">
        <v>40</v>
      </c>
      <c r="AA879" s="2" t="s">
        <v>41</v>
      </c>
      <c r="AB879" s="2">
        <v>14</v>
      </c>
      <c r="AC879" s="2">
        <f>SUMIF(N:N,Ecommerce_Consumer_Behavior_Analysis_Data3[[#This Row],[Brand_Loyalty]],M:M)</f>
        <v>582</v>
      </c>
      <c r="AD879" s="2" t="e" cm="1" vm="1">
        <f t="array" aca="1" ref="AD879" ca="1">SUMIFS(Y:Y,Ecommerce_Consumer_Behavior_Analysis_Data3[[#This Row],[Payment_Method]],V:V)</f>
        <v>#VALUE!</v>
      </c>
      <c r="AE879" s="2">
        <f t="shared" si="17"/>
        <v>333.8</v>
      </c>
    </row>
    <row r="880" spans="1:31" x14ac:dyDescent="0.25">
      <c r="A880" s="2" t="s">
        <v>1825</v>
      </c>
      <c r="B880" s="2">
        <v>31</v>
      </c>
      <c r="C880" s="2" t="s">
        <v>43</v>
      </c>
      <c r="D880" s="2" t="s">
        <v>44</v>
      </c>
      <c r="E880" s="2" t="s">
        <v>69</v>
      </c>
      <c r="F880" s="2" t="s">
        <v>56</v>
      </c>
      <c r="G880" s="2" t="s">
        <v>30</v>
      </c>
      <c r="H880" s="2" t="s">
        <v>1826</v>
      </c>
      <c r="I880" s="2" t="s">
        <v>123</v>
      </c>
      <c r="J880" s="2">
        <v>86.63</v>
      </c>
      <c r="K880" s="2">
        <v>10</v>
      </c>
      <c r="L880" s="2" t="s">
        <v>35</v>
      </c>
      <c r="M880" s="2">
        <v>3</v>
      </c>
      <c r="N880" s="2">
        <v>1</v>
      </c>
      <c r="O880" s="2">
        <v>2</v>
      </c>
      <c r="P880" s="2" t="s">
        <v>49</v>
      </c>
      <c r="Q880" s="2" t="s">
        <v>37</v>
      </c>
      <c r="R880" s="2">
        <v>2</v>
      </c>
      <c r="S880" s="2">
        <v>2</v>
      </c>
      <c r="T880" s="2" t="s">
        <v>59</v>
      </c>
      <c r="U880" s="2" t="s">
        <v>38</v>
      </c>
      <c r="V880" s="2" t="s">
        <v>86</v>
      </c>
      <c r="W880" s="3">
        <v>45537</v>
      </c>
      <c r="X880" s="2" t="b">
        <v>1</v>
      </c>
      <c r="Y880" s="2" t="b">
        <v>0</v>
      </c>
      <c r="Z880" s="2" t="s">
        <v>52</v>
      </c>
      <c r="AA880" s="2" t="s">
        <v>67</v>
      </c>
      <c r="AB880" s="2">
        <v>3</v>
      </c>
      <c r="AC880" s="2">
        <f>SUMIF(N:N,Ecommerce_Consumer_Behavior_Analysis_Data3[[#This Row],[Brand_Loyalty]],M:M)</f>
        <v>597</v>
      </c>
      <c r="AD880" s="2" t="e" cm="1" vm="1">
        <f t="array" aca="1" ref="AD880" ca="1">SUMIFS(Y:Y,Ecommerce_Consumer_Behavior_Analysis_Data3[[#This Row],[Payment_Method]],V:V)</f>
        <v>#VALUE!</v>
      </c>
      <c r="AE880" s="2">
        <f t="shared" si="17"/>
        <v>211.7</v>
      </c>
    </row>
    <row r="881" spans="1:31" x14ac:dyDescent="0.25">
      <c r="A881" s="2" t="s">
        <v>1827</v>
      </c>
      <c r="B881" s="2">
        <v>50</v>
      </c>
      <c r="C881" s="2" t="s">
        <v>88</v>
      </c>
      <c r="D881" s="2" t="s">
        <v>44</v>
      </c>
      <c r="E881" s="2" t="s">
        <v>76</v>
      </c>
      <c r="F881" s="2" t="s">
        <v>45</v>
      </c>
      <c r="G881" s="2" t="s">
        <v>44</v>
      </c>
      <c r="H881" s="2" t="s">
        <v>1828</v>
      </c>
      <c r="I881" s="2" t="s">
        <v>104</v>
      </c>
      <c r="J881" s="2">
        <v>474.42</v>
      </c>
      <c r="K881" s="2">
        <v>4</v>
      </c>
      <c r="L881" s="2" t="s">
        <v>48</v>
      </c>
      <c r="M881" s="2">
        <v>2</v>
      </c>
      <c r="N881" s="2">
        <v>3</v>
      </c>
      <c r="O881" s="2">
        <v>0</v>
      </c>
      <c r="P881" s="2" t="s">
        <v>49</v>
      </c>
      <c r="Q881" s="2" t="s">
        <v>50</v>
      </c>
      <c r="R881" s="2">
        <v>1</v>
      </c>
      <c r="S881" s="2">
        <v>9</v>
      </c>
      <c r="T881" s="2" t="s">
        <v>36</v>
      </c>
      <c r="U881" s="2" t="s">
        <v>79</v>
      </c>
      <c r="V881" s="2" t="s">
        <v>61</v>
      </c>
      <c r="W881" s="3">
        <v>45556</v>
      </c>
      <c r="X881" s="2" t="b">
        <v>1</v>
      </c>
      <c r="Y881" s="2" t="b">
        <v>0</v>
      </c>
      <c r="Z881" s="2" t="s">
        <v>40</v>
      </c>
      <c r="AA881" s="2" t="s">
        <v>41</v>
      </c>
      <c r="AB881" s="2">
        <v>5</v>
      </c>
      <c r="AC881" s="2">
        <f>SUMIF(N:N,Ecommerce_Consumer_Behavior_Analysis_Data3[[#This Row],[Brand_Loyalty]],M:M)</f>
        <v>582</v>
      </c>
      <c r="AD881" s="2" t="e" cm="1" vm="1">
        <f t="array" aca="1" ref="AD881" ca="1">SUMIFS(Y:Y,Ecommerce_Consumer_Behavior_Analysis_Data3[[#This Row],[Payment_Method]],V:V)</f>
        <v>#VALUE!</v>
      </c>
      <c r="AE881" s="2">
        <f t="shared" si="17"/>
        <v>101.31</v>
      </c>
    </row>
    <row r="882" spans="1:31" x14ac:dyDescent="0.25">
      <c r="A882" s="2" t="s">
        <v>1829</v>
      </c>
      <c r="B882" s="2">
        <v>34</v>
      </c>
      <c r="C882" s="2" t="s">
        <v>29</v>
      </c>
      <c r="D882" s="2" t="s">
        <v>44</v>
      </c>
      <c r="E882" s="2" t="s">
        <v>69</v>
      </c>
      <c r="F882" s="2" t="s">
        <v>45</v>
      </c>
      <c r="G882" s="2" t="s">
        <v>44</v>
      </c>
      <c r="H882" s="2" t="s">
        <v>710</v>
      </c>
      <c r="I882" s="2" t="s">
        <v>34</v>
      </c>
      <c r="J882" s="2">
        <v>429.24</v>
      </c>
      <c r="K882" s="2">
        <v>7</v>
      </c>
      <c r="L882" s="2" t="s">
        <v>35</v>
      </c>
      <c r="M882" s="2">
        <v>3</v>
      </c>
      <c r="N882" s="2">
        <v>5</v>
      </c>
      <c r="O882" s="2">
        <v>1</v>
      </c>
      <c r="P882" s="2" t="s">
        <v>44</v>
      </c>
      <c r="Q882" s="2" t="s">
        <v>50</v>
      </c>
      <c r="R882" s="2">
        <v>0</v>
      </c>
      <c r="S882" s="2">
        <v>1</v>
      </c>
      <c r="T882" s="2" t="s">
        <v>59</v>
      </c>
      <c r="U882" s="2" t="s">
        <v>38</v>
      </c>
      <c r="V882" s="2" t="s">
        <v>61</v>
      </c>
      <c r="W882" s="3">
        <v>45378</v>
      </c>
      <c r="X882" s="2" t="b">
        <v>0</v>
      </c>
      <c r="Y882" s="2" t="b">
        <v>0</v>
      </c>
      <c r="Z882" s="2" t="s">
        <v>40</v>
      </c>
      <c r="AA882" s="2" t="s">
        <v>41</v>
      </c>
      <c r="AB882" s="2">
        <v>10</v>
      </c>
      <c r="AC882" s="2">
        <f>SUMIF(N:N,Ecommerce_Consumer_Behavior_Analysis_Data3[[#This Row],[Brand_Loyalty]],M:M)</f>
        <v>597</v>
      </c>
      <c r="AD882" s="2" t="e" cm="1" vm="1">
        <f t="array" aca="1" ref="AD882" ca="1">SUMIFS(Y:Y,Ecommerce_Consumer_Behavior_Analysis_Data3[[#This Row],[Payment_Method]],V:V)</f>
        <v>#VALUE!</v>
      </c>
      <c r="AE882" s="2">
        <f t="shared" si="17"/>
        <v>211.7</v>
      </c>
    </row>
    <row r="883" spans="1:31" x14ac:dyDescent="0.25">
      <c r="A883" s="2" t="s">
        <v>1830</v>
      </c>
      <c r="B883" s="2">
        <v>24</v>
      </c>
      <c r="C883" s="2" t="s">
        <v>29</v>
      </c>
      <c r="D883" s="2" t="s">
        <v>44</v>
      </c>
      <c r="E883" s="2" t="s">
        <v>31</v>
      </c>
      <c r="F883" s="2" t="s">
        <v>45</v>
      </c>
      <c r="G883" s="2" t="s">
        <v>44</v>
      </c>
      <c r="H883" s="2" t="s">
        <v>1831</v>
      </c>
      <c r="I883" s="2" t="s">
        <v>65</v>
      </c>
      <c r="J883" s="2">
        <v>470.38</v>
      </c>
      <c r="K883" s="2">
        <v>8</v>
      </c>
      <c r="L883" s="2" t="s">
        <v>35</v>
      </c>
      <c r="M883" s="2">
        <v>2</v>
      </c>
      <c r="N883" s="2">
        <v>4</v>
      </c>
      <c r="O883" s="2">
        <v>0</v>
      </c>
      <c r="P883" s="2" t="s">
        <v>49</v>
      </c>
      <c r="Q883" s="2" t="s">
        <v>50</v>
      </c>
      <c r="R883" s="2">
        <v>2</v>
      </c>
      <c r="S883" s="2">
        <v>3</v>
      </c>
      <c r="T883" s="2" t="s">
        <v>44</v>
      </c>
      <c r="U883" s="2" t="s">
        <v>60</v>
      </c>
      <c r="V883" s="2" t="s">
        <v>66</v>
      </c>
      <c r="W883" s="3">
        <v>45607</v>
      </c>
      <c r="X883" s="2" t="b">
        <v>1</v>
      </c>
      <c r="Y883" s="2" t="b">
        <v>1</v>
      </c>
      <c r="Z883" s="2" t="s">
        <v>62</v>
      </c>
      <c r="AA883" s="2" t="s">
        <v>53</v>
      </c>
      <c r="AB883" s="2">
        <v>9</v>
      </c>
      <c r="AC883" s="2">
        <f>SUMIF(N:N,Ecommerce_Consumer_Behavior_Analysis_Data3[[#This Row],[Brand_Loyalty]],M:M)</f>
        <v>582</v>
      </c>
      <c r="AD883" s="2" t="e" cm="1" vm="1">
        <f t="array" aca="1" ref="AD883" ca="1">SUMIFS(Y:Y,Ecommerce_Consumer_Behavior_Analysis_Data3[[#This Row],[Payment_Method]],V:V)</f>
        <v>#VALUE!</v>
      </c>
      <c r="AE883" s="2">
        <f t="shared" si="17"/>
        <v>101.31</v>
      </c>
    </row>
    <row r="884" spans="1:31" x14ac:dyDescent="0.25">
      <c r="A884" s="2" t="s">
        <v>1832</v>
      </c>
      <c r="B884" s="2">
        <v>32</v>
      </c>
      <c r="C884" s="2" t="s">
        <v>29</v>
      </c>
      <c r="D884" s="2" t="s">
        <v>30</v>
      </c>
      <c r="E884" s="2" t="s">
        <v>55</v>
      </c>
      <c r="F884" s="2" t="s">
        <v>56</v>
      </c>
      <c r="G884" s="2" t="s">
        <v>44</v>
      </c>
      <c r="H884" s="2" t="s">
        <v>1833</v>
      </c>
      <c r="I884" s="2" t="s">
        <v>34</v>
      </c>
      <c r="J884" s="2">
        <v>495.8</v>
      </c>
      <c r="K884" s="2">
        <v>4</v>
      </c>
      <c r="L884" s="2" t="s">
        <v>35</v>
      </c>
      <c r="M884" s="2">
        <v>1</v>
      </c>
      <c r="N884" s="2">
        <v>2</v>
      </c>
      <c r="O884" s="2">
        <v>1</v>
      </c>
      <c r="P884" s="2" t="s">
        <v>59</v>
      </c>
      <c r="Q884" s="2" t="s">
        <v>50</v>
      </c>
      <c r="R884" s="2">
        <v>0</v>
      </c>
      <c r="S884" s="2">
        <v>7</v>
      </c>
      <c r="T884" s="2" t="s">
        <v>36</v>
      </c>
      <c r="U884" s="2" t="s">
        <v>38</v>
      </c>
      <c r="V884" s="2" t="s">
        <v>51</v>
      </c>
      <c r="W884" s="3">
        <v>45551</v>
      </c>
      <c r="X884" s="2" t="b">
        <v>1</v>
      </c>
      <c r="Y884" s="2" t="b">
        <v>1</v>
      </c>
      <c r="Z884" s="2" t="s">
        <v>52</v>
      </c>
      <c r="AA884" s="2" t="s">
        <v>53</v>
      </c>
      <c r="AB884" s="2">
        <v>10</v>
      </c>
      <c r="AC884" s="2">
        <f>SUMIF(N:N,Ecommerce_Consumer_Behavior_Analysis_Data3[[#This Row],[Brand_Loyalty]],M:M)</f>
        <v>603</v>
      </c>
      <c r="AD884" s="2" t="e" cm="1" vm="1">
        <f t="array" aca="1" ref="AD884" ca="1">SUMIFS(Y:Y,Ecommerce_Consumer_Behavior_Analysis_Data3[[#This Row],[Payment_Method]],V:V)</f>
        <v>#VALUE!</v>
      </c>
      <c r="AE884" s="2">
        <f t="shared" si="17"/>
        <v>333.8</v>
      </c>
    </row>
    <row r="885" spans="1:31" x14ac:dyDescent="0.25">
      <c r="A885" s="2" t="s">
        <v>1834</v>
      </c>
      <c r="B885" s="2">
        <v>21</v>
      </c>
      <c r="C885" s="2" t="s">
        <v>29</v>
      </c>
      <c r="D885" s="2" t="s">
        <v>44</v>
      </c>
      <c r="E885" s="2" t="s">
        <v>69</v>
      </c>
      <c r="F885" s="2" t="s">
        <v>32</v>
      </c>
      <c r="G885" s="2" t="s">
        <v>30</v>
      </c>
      <c r="H885" s="2" t="s">
        <v>1835</v>
      </c>
      <c r="I885" s="2" t="s">
        <v>117</v>
      </c>
      <c r="J885" s="2">
        <v>129.63999999999999</v>
      </c>
      <c r="K885" s="2">
        <v>4</v>
      </c>
      <c r="L885" s="2" t="s">
        <v>48</v>
      </c>
      <c r="M885" s="2">
        <v>3</v>
      </c>
      <c r="N885" s="2">
        <v>1</v>
      </c>
      <c r="O885" s="2">
        <v>2</v>
      </c>
      <c r="P885" s="2" t="s">
        <v>36</v>
      </c>
      <c r="Q885" s="2" t="s">
        <v>50</v>
      </c>
      <c r="R885" s="2">
        <v>1</v>
      </c>
      <c r="S885" s="2">
        <v>3</v>
      </c>
      <c r="T885" s="2" t="s">
        <v>59</v>
      </c>
      <c r="U885" s="2" t="s">
        <v>79</v>
      </c>
      <c r="V885" s="2" t="s">
        <v>61</v>
      </c>
      <c r="W885" s="3">
        <v>45439</v>
      </c>
      <c r="X885" s="2" t="b">
        <v>0</v>
      </c>
      <c r="Y885" s="2" t="b">
        <v>1</v>
      </c>
      <c r="Z885" s="2" t="s">
        <v>40</v>
      </c>
      <c r="AA885" s="2" t="s">
        <v>67</v>
      </c>
      <c r="AB885" s="2">
        <v>3</v>
      </c>
      <c r="AC885" s="2">
        <f>SUMIF(N:N,Ecommerce_Consumer_Behavior_Analysis_Data3[[#This Row],[Brand_Loyalty]],M:M)</f>
        <v>597</v>
      </c>
      <c r="AD885" s="2" t="e" cm="1" vm="1">
        <f t="array" aca="1" ref="AD885" ca="1">SUMIFS(Y:Y,Ecommerce_Consumer_Behavior_Analysis_Data3[[#This Row],[Payment_Method]],V:V)</f>
        <v>#VALUE!</v>
      </c>
      <c r="AE885" s="2">
        <f t="shared" si="17"/>
        <v>333.8</v>
      </c>
    </row>
    <row r="886" spans="1:31" x14ac:dyDescent="0.25">
      <c r="A886" s="2" t="s">
        <v>1836</v>
      </c>
      <c r="B886" s="2">
        <v>41</v>
      </c>
      <c r="C886" s="2" t="s">
        <v>43</v>
      </c>
      <c r="D886" s="2" t="s">
        <v>30</v>
      </c>
      <c r="E886" s="2" t="s">
        <v>55</v>
      </c>
      <c r="F886" s="2" t="s">
        <v>56</v>
      </c>
      <c r="G886" s="2" t="s">
        <v>44</v>
      </c>
      <c r="H886" s="2" t="s">
        <v>1837</v>
      </c>
      <c r="I886" s="2" t="s">
        <v>93</v>
      </c>
      <c r="J886" s="2">
        <v>473.77</v>
      </c>
      <c r="K886" s="2">
        <v>9</v>
      </c>
      <c r="L886" s="2" t="s">
        <v>78</v>
      </c>
      <c r="M886" s="2">
        <v>3</v>
      </c>
      <c r="N886" s="2">
        <v>1</v>
      </c>
      <c r="O886" s="2">
        <v>2</v>
      </c>
      <c r="P886" s="2" t="s">
        <v>49</v>
      </c>
      <c r="Q886" s="2" t="s">
        <v>85</v>
      </c>
      <c r="R886" s="2">
        <v>2</v>
      </c>
      <c r="S886" s="2">
        <v>9</v>
      </c>
      <c r="T886" s="2" t="s">
        <v>36</v>
      </c>
      <c r="U886" s="2" t="s">
        <v>79</v>
      </c>
      <c r="V886" s="2" t="s">
        <v>51</v>
      </c>
      <c r="W886" s="3">
        <v>45414</v>
      </c>
      <c r="X886" s="2" t="b">
        <v>0</v>
      </c>
      <c r="Y886" s="2" t="b">
        <v>0</v>
      </c>
      <c r="Z886" s="2" t="s">
        <v>52</v>
      </c>
      <c r="AA886" s="2" t="s">
        <v>41</v>
      </c>
      <c r="AB886" s="2">
        <v>13</v>
      </c>
      <c r="AC886" s="2">
        <f>SUMIF(N:N,Ecommerce_Consumer_Behavior_Analysis_Data3[[#This Row],[Brand_Loyalty]],M:M)</f>
        <v>597</v>
      </c>
      <c r="AD886" s="2" t="e" cm="1" vm="1">
        <f t="array" aca="1" ref="AD886" ca="1">SUMIFS(Y:Y,Ecommerce_Consumer_Behavior_Analysis_Data3[[#This Row],[Payment_Method]],V:V)</f>
        <v>#VALUE!</v>
      </c>
      <c r="AE886" s="2">
        <f t="shared" si="17"/>
        <v>333.8</v>
      </c>
    </row>
    <row r="887" spans="1:31" x14ac:dyDescent="0.25">
      <c r="A887" s="2" t="s">
        <v>1838</v>
      </c>
      <c r="B887" s="2">
        <v>40</v>
      </c>
      <c r="C887" s="2" t="s">
        <v>29</v>
      </c>
      <c r="D887" s="2" t="s">
        <v>44</v>
      </c>
      <c r="E887" s="2" t="s">
        <v>31</v>
      </c>
      <c r="F887" s="2" t="s">
        <v>45</v>
      </c>
      <c r="G887" s="2" t="s">
        <v>30</v>
      </c>
      <c r="H887" s="2" t="s">
        <v>1839</v>
      </c>
      <c r="I887" s="2" t="s">
        <v>117</v>
      </c>
      <c r="J887" s="2">
        <v>130.84</v>
      </c>
      <c r="K887" s="2">
        <v>4</v>
      </c>
      <c r="L887" s="2" t="s">
        <v>78</v>
      </c>
      <c r="M887" s="2">
        <v>5</v>
      </c>
      <c r="N887" s="2">
        <v>5</v>
      </c>
      <c r="O887" s="2">
        <v>2</v>
      </c>
      <c r="P887" s="2" t="s">
        <v>49</v>
      </c>
      <c r="Q887" s="2" t="s">
        <v>85</v>
      </c>
      <c r="R887" s="2">
        <v>2</v>
      </c>
      <c r="S887" s="2">
        <v>10</v>
      </c>
      <c r="T887" s="2" t="s">
        <v>59</v>
      </c>
      <c r="U887" s="2" t="s">
        <v>38</v>
      </c>
      <c r="V887" s="2" t="s">
        <v>51</v>
      </c>
      <c r="W887" s="3">
        <v>45548</v>
      </c>
      <c r="X887" s="2" t="b">
        <v>1</v>
      </c>
      <c r="Y887" s="2" t="b">
        <v>1</v>
      </c>
      <c r="Z887" s="2" t="s">
        <v>40</v>
      </c>
      <c r="AA887" s="2" t="s">
        <v>53</v>
      </c>
      <c r="AB887" s="2">
        <v>13</v>
      </c>
      <c r="AC887" s="2">
        <f>SUMIF(N:N,Ecommerce_Consumer_Behavior_Analysis_Data3[[#This Row],[Brand_Loyalty]],M:M)</f>
        <v>641</v>
      </c>
      <c r="AD887" s="2" t="e" cm="1" vm="1">
        <f t="array" aca="1" ref="AD887" ca="1">SUMIFS(Y:Y,Ecommerce_Consumer_Behavior_Analysis_Data3[[#This Row],[Payment_Method]],V:V)</f>
        <v>#VALUE!</v>
      </c>
      <c r="AE887" s="2">
        <f t="shared" si="17"/>
        <v>211.7</v>
      </c>
    </row>
    <row r="888" spans="1:31" x14ac:dyDescent="0.25">
      <c r="A888" s="2" t="s">
        <v>1840</v>
      </c>
      <c r="B888" s="2">
        <v>48</v>
      </c>
      <c r="C888" s="2" t="s">
        <v>43</v>
      </c>
      <c r="D888" s="2" t="s">
        <v>30</v>
      </c>
      <c r="E888" s="2" t="s">
        <v>55</v>
      </c>
      <c r="F888" s="2" t="s">
        <v>56</v>
      </c>
      <c r="G888" s="2" t="s">
        <v>44</v>
      </c>
      <c r="H888" s="2" t="s">
        <v>1841</v>
      </c>
      <c r="I888" s="2" t="s">
        <v>158</v>
      </c>
      <c r="J888" s="2">
        <v>436.54</v>
      </c>
      <c r="K888" s="2">
        <v>12</v>
      </c>
      <c r="L888" s="2" t="s">
        <v>78</v>
      </c>
      <c r="M888" s="2">
        <v>3</v>
      </c>
      <c r="N888" s="2">
        <v>3</v>
      </c>
      <c r="O888" s="2">
        <v>0</v>
      </c>
      <c r="P888" s="2" t="s">
        <v>49</v>
      </c>
      <c r="Q888" s="2" t="s">
        <v>85</v>
      </c>
      <c r="R888" s="2">
        <v>1</v>
      </c>
      <c r="S888" s="2">
        <v>8</v>
      </c>
      <c r="T888" s="2" t="s">
        <v>59</v>
      </c>
      <c r="U888" s="2" t="s">
        <v>60</v>
      </c>
      <c r="V888" s="2" t="s">
        <v>61</v>
      </c>
      <c r="W888" s="3">
        <v>45442</v>
      </c>
      <c r="X888" s="2" t="b">
        <v>1</v>
      </c>
      <c r="Y888" s="2" t="b">
        <v>0</v>
      </c>
      <c r="Z888" s="2" t="s">
        <v>52</v>
      </c>
      <c r="AA888" s="2" t="s">
        <v>41</v>
      </c>
      <c r="AB888" s="2">
        <v>9</v>
      </c>
      <c r="AC888" s="2">
        <f>SUMIF(N:N,Ecommerce_Consumer_Behavior_Analysis_Data3[[#This Row],[Brand_Loyalty]],M:M)</f>
        <v>597</v>
      </c>
      <c r="AD888" s="2" t="e" cm="1" vm="1">
        <f t="array" aca="1" ref="AD888" ca="1">SUMIFS(Y:Y,Ecommerce_Consumer_Behavior_Analysis_Data3[[#This Row],[Payment_Method]],V:V)</f>
        <v>#VALUE!</v>
      </c>
      <c r="AE888" s="2">
        <f t="shared" si="17"/>
        <v>211.7</v>
      </c>
    </row>
    <row r="889" spans="1:31" x14ac:dyDescent="0.25">
      <c r="A889" s="2" t="s">
        <v>1842</v>
      </c>
      <c r="B889" s="2">
        <v>25</v>
      </c>
      <c r="C889" s="2" t="s">
        <v>29</v>
      </c>
      <c r="D889" s="2" t="s">
        <v>30</v>
      </c>
      <c r="E889" s="2" t="s">
        <v>69</v>
      </c>
      <c r="F889" s="2" t="s">
        <v>32</v>
      </c>
      <c r="G889" s="2" t="s">
        <v>30</v>
      </c>
      <c r="H889" s="2" t="s">
        <v>1843</v>
      </c>
      <c r="I889" s="2" t="s">
        <v>101</v>
      </c>
      <c r="J889" s="2">
        <v>264.01</v>
      </c>
      <c r="K889" s="2">
        <v>4</v>
      </c>
      <c r="L889" s="2" t="s">
        <v>48</v>
      </c>
      <c r="M889" s="2">
        <v>3</v>
      </c>
      <c r="N889" s="2">
        <v>4</v>
      </c>
      <c r="O889" s="2">
        <v>0</v>
      </c>
      <c r="P889" s="2" t="s">
        <v>44</v>
      </c>
      <c r="Q889" s="2" t="s">
        <v>37</v>
      </c>
      <c r="R889" s="2">
        <v>1</v>
      </c>
      <c r="S889" s="2">
        <v>5</v>
      </c>
      <c r="T889" s="2" t="s">
        <v>36</v>
      </c>
      <c r="U889" s="2" t="s">
        <v>79</v>
      </c>
      <c r="V889" s="2" t="s">
        <v>66</v>
      </c>
      <c r="W889" s="3">
        <v>45586</v>
      </c>
      <c r="X889" s="2" t="b">
        <v>1</v>
      </c>
      <c r="Y889" s="2" t="b">
        <v>0</v>
      </c>
      <c r="Z889" s="2" t="s">
        <v>40</v>
      </c>
      <c r="AA889" s="2" t="s">
        <v>41</v>
      </c>
      <c r="AB889" s="2">
        <v>2</v>
      </c>
      <c r="AC889" s="2">
        <f>SUMIF(N:N,Ecommerce_Consumer_Behavior_Analysis_Data3[[#This Row],[Brand_Loyalty]],M:M)</f>
        <v>597</v>
      </c>
      <c r="AD889" s="2" t="e" cm="1" vm="1">
        <f t="array" aca="1" ref="AD889" ca="1">SUMIFS(Y:Y,Ecommerce_Consumer_Behavior_Analysis_Data3[[#This Row],[Payment_Method]],V:V)</f>
        <v>#VALUE!</v>
      </c>
      <c r="AE889" s="2">
        <f t="shared" si="17"/>
        <v>101.31</v>
      </c>
    </row>
    <row r="890" spans="1:31" x14ac:dyDescent="0.25">
      <c r="A890" s="2" t="s">
        <v>1844</v>
      </c>
      <c r="B890" s="2">
        <v>30</v>
      </c>
      <c r="C890" s="2" t="s">
        <v>29</v>
      </c>
      <c r="D890" s="2" t="s">
        <v>44</v>
      </c>
      <c r="E890" s="2" t="s">
        <v>76</v>
      </c>
      <c r="F890" s="2" t="s">
        <v>32</v>
      </c>
      <c r="G890" s="2" t="s">
        <v>44</v>
      </c>
      <c r="H890" s="2" t="s">
        <v>1845</v>
      </c>
      <c r="I890" s="2" t="s">
        <v>194</v>
      </c>
      <c r="J890" s="2">
        <v>58.27</v>
      </c>
      <c r="K890" s="2">
        <v>2</v>
      </c>
      <c r="L890" s="2" t="s">
        <v>48</v>
      </c>
      <c r="M890" s="2">
        <v>5</v>
      </c>
      <c r="N890" s="2">
        <v>4</v>
      </c>
      <c r="O890" s="2">
        <v>1</v>
      </c>
      <c r="P890" s="2" t="s">
        <v>49</v>
      </c>
      <c r="Q890" s="2" t="s">
        <v>37</v>
      </c>
      <c r="R890" s="2">
        <v>1</v>
      </c>
      <c r="S890" s="2">
        <v>4</v>
      </c>
      <c r="T890" s="2" t="s">
        <v>49</v>
      </c>
      <c r="U890" s="2" t="s">
        <v>60</v>
      </c>
      <c r="V890" s="2" t="s">
        <v>86</v>
      </c>
      <c r="W890" s="3">
        <v>45580</v>
      </c>
      <c r="X890" s="2" t="b">
        <v>0</v>
      </c>
      <c r="Y890" s="2" t="b">
        <v>1</v>
      </c>
      <c r="Z890" s="2" t="s">
        <v>40</v>
      </c>
      <c r="AA890" s="2" t="s">
        <v>41</v>
      </c>
      <c r="AB890" s="2">
        <v>13</v>
      </c>
      <c r="AC890" s="2">
        <f>SUMIF(N:N,Ecommerce_Consumer_Behavior_Analysis_Data3[[#This Row],[Brand_Loyalty]],M:M)</f>
        <v>641</v>
      </c>
      <c r="AD890" s="2" t="e" cm="1" vm="1">
        <f t="array" aca="1" ref="AD890" ca="1">SUMIFS(Y:Y,Ecommerce_Consumer_Behavior_Analysis_Data3[[#This Row],[Payment_Method]],V:V)</f>
        <v>#VALUE!</v>
      </c>
      <c r="AE890" s="2">
        <f t="shared" si="17"/>
        <v>333.8</v>
      </c>
    </row>
    <row r="891" spans="1:31" x14ac:dyDescent="0.25">
      <c r="A891" s="2" t="s">
        <v>1846</v>
      </c>
      <c r="B891" s="2">
        <v>25</v>
      </c>
      <c r="C891" s="2" t="s">
        <v>43</v>
      </c>
      <c r="D891" s="2" t="s">
        <v>30</v>
      </c>
      <c r="E891" s="2" t="s">
        <v>55</v>
      </c>
      <c r="F891" s="2" t="s">
        <v>56</v>
      </c>
      <c r="G891" s="2" t="s">
        <v>44</v>
      </c>
      <c r="H891" s="2" t="s">
        <v>1847</v>
      </c>
      <c r="I891" s="2" t="s">
        <v>90</v>
      </c>
      <c r="J891" s="2">
        <v>190.76</v>
      </c>
      <c r="K891" s="2">
        <v>10</v>
      </c>
      <c r="L891" s="2" t="s">
        <v>48</v>
      </c>
      <c r="M891" s="2">
        <v>5</v>
      </c>
      <c r="N891" s="2">
        <v>5</v>
      </c>
      <c r="O891" s="2">
        <v>2</v>
      </c>
      <c r="P891" s="2" t="s">
        <v>36</v>
      </c>
      <c r="Q891" s="2" t="s">
        <v>50</v>
      </c>
      <c r="R891" s="2">
        <v>1</v>
      </c>
      <c r="S891" s="2">
        <v>3</v>
      </c>
      <c r="T891" s="2" t="s">
        <v>44</v>
      </c>
      <c r="U891" s="2" t="s">
        <v>79</v>
      </c>
      <c r="V891" s="2" t="s">
        <v>66</v>
      </c>
      <c r="W891" s="3">
        <v>45603</v>
      </c>
      <c r="X891" s="2" t="b">
        <v>0</v>
      </c>
      <c r="Y891" s="2" t="b">
        <v>0</v>
      </c>
      <c r="Z891" s="2" t="s">
        <v>74</v>
      </c>
      <c r="AA891" s="2" t="s">
        <v>67</v>
      </c>
      <c r="AB891" s="2">
        <v>11</v>
      </c>
      <c r="AC891" s="2">
        <f>SUMIF(N:N,Ecommerce_Consumer_Behavior_Analysis_Data3[[#This Row],[Brand_Loyalty]],M:M)</f>
        <v>641</v>
      </c>
      <c r="AD891" s="2" t="e" cm="1" vm="1">
        <f t="array" aca="1" ref="AD891" ca="1">SUMIFS(Y:Y,Ecommerce_Consumer_Behavior_Analysis_Data3[[#This Row],[Payment_Method]],V:V)</f>
        <v>#VALUE!</v>
      </c>
      <c r="AE891" s="2">
        <f t="shared" si="17"/>
        <v>333.8</v>
      </c>
    </row>
    <row r="892" spans="1:31" x14ac:dyDescent="0.25">
      <c r="A892" s="2" t="s">
        <v>1848</v>
      </c>
      <c r="B892" s="2">
        <v>40</v>
      </c>
      <c r="C892" s="2" t="s">
        <v>29</v>
      </c>
      <c r="D892" s="2" t="s">
        <v>44</v>
      </c>
      <c r="E892" s="2" t="s">
        <v>69</v>
      </c>
      <c r="F892" s="2" t="s">
        <v>56</v>
      </c>
      <c r="G892" s="2" t="s">
        <v>44</v>
      </c>
      <c r="H892" s="2" t="s">
        <v>1849</v>
      </c>
      <c r="I892" s="2" t="s">
        <v>101</v>
      </c>
      <c r="J892" s="2">
        <v>105.76</v>
      </c>
      <c r="K892" s="2">
        <v>8</v>
      </c>
      <c r="L892" s="2" t="s">
        <v>78</v>
      </c>
      <c r="M892" s="2">
        <v>4</v>
      </c>
      <c r="N892" s="2">
        <v>4</v>
      </c>
      <c r="O892" s="2">
        <v>2</v>
      </c>
      <c r="P892" s="2" t="s">
        <v>36</v>
      </c>
      <c r="Q892" s="2" t="s">
        <v>85</v>
      </c>
      <c r="R892" s="2">
        <v>1</v>
      </c>
      <c r="S892" s="2">
        <v>8</v>
      </c>
      <c r="T892" s="2" t="s">
        <v>49</v>
      </c>
      <c r="U892" s="2" t="s">
        <v>38</v>
      </c>
      <c r="V892" s="2" t="s">
        <v>39</v>
      </c>
      <c r="W892" s="3">
        <v>45309</v>
      </c>
      <c r="X892" s="2" t="b">
        <v>0</v>
      </c>
      <c r="Y892" s="2" t="b">
        <v>0</v>
      </c>
      <c r="Z892" s="2" t="s">
        <v>74</v>
      </c>
      <c r="AA892" s="2" t="s">
        <v>67</v>
      </c>
      <c r="AB892" s="2">
        <v>4</v>
      </c>
      <c r="AC892" s="2">
        <f>SUMIF(N:N,Ecommerce_Consumer_Behavior_Analysis_Data3[[#This Row],[Brand_Loyalty]],M:M)</f>
        <v>603</v>
      </c>
      <c r="AD892" s="2" t="e" cm="1" vm="1">
        <f t="array" aca="1" ref="AD892" ca="1">SUMIFS(Y:Y,Ecommerce_Consumer_Behavior_Analysis_Data3[[#This Row],[Payment_Method]],V:V)</f>
        <v>#VALUE!</v>
      </c>
      <c r="AE892" s="2">
        <f t="shared" si="17"/>
        <v>211.7</v>
      </c>
    </row>
    <row r="893" spans="1:31" x14ac:dyDescent="0.25">
      <c r="A893" s="2" t="s">
        <v>1850</v>
      </c>
      <c r="B893" s="2">
        <v>24</v>
      </c>
      <c r="C893" s="2" t="s">
        <v>29</v>
      </c>
      <c r="D893" s="2" t="s">
        <v>30</v>
      </c>
      <c r="E893" s="2" t="s">
        <v>55</v>
      </c>
      <c r="F893" s="2" t="s">
        <v>56</v>
      </c>
      <c r="G893" s="2" t="s">
        <v>44</v>
      </c>
      <c r="H893" s="2" t="s">
        <v>1851</v>
      </c>
      <c r="I893" s="2" t="s">
        <v>107</v>
      </c>
      <c r="J893" s="2">
        <v>254.29</v>
      </c>
      <c r="K893" s="2">
        <v>9</v>
      </c>
      <c r="L893" s="2" t="s">
        <v>35</v>
      </c>
      <c r="M893" s="2">
        <v>5</v>
      </c>
      <c r="N893" s="2">
        <v>4</v>
      </c>
      <c r="O893" s="2">
        <v>0</v>
      </c>
      <c r="P893" s="2" t="s">
        <v>49</v>
      </c>
      <c r="Q893" s="2" t="s">
        <v>37</v>
      </c>
      <c r="R893" s="2">
        <v>1</v>
      </c>
      <c r="S893" s="2">
        <v>7</v>
      </c>
      <c r="T893" s="2" t="s">
        <v>59</v>
      </c>
      <c r="U893" s="2" t="s">
        <v>60</v>
      </c>
      <c r="V893" s="2" t="s">
        <v>86</v>
      </c>
      <c r="W893" s="3">
        <v>45412</v>
      </c>
      <c r="X893" s="2" t="b">
        <v>0</v>
      </c>
      <c r="Y893" s="2" t="b">
        <v>0</v>
      </c>
      <c r="Z893" s="2" t="s">
        <v>62</v>
      </c>
      <c r="AA893" s="2" t="s">
        <v>67</v>
      </c>
      <c r="AB893" s="2">
        <v>3</v>
      </c>
      <c r="AC893" s="2">
        <f>SUMIF(N:N,Ecommerce_Consumer_Behavior_Analysis_Data3[[#This Row],[Brand_Loyalty]],M:M)</f>
        <v>641</v>
      </c>
      <c r="AD893" s="2" t="e" cm="1" vm="1">
        <f t="array" aca="1" ref="AD893" ca="1">SUMIFS(Y:Y,Ecommerce_Consumer_Behavior_Analysis_Data3[[#This Row],[Payment_Method]],V:V)</f>
        <v>#VALUE!</v>
      </c>
      <c r="AE893" s="2">
        <f t="shared" si="17"/>
        <v>333.8</v>
      </c>
    </row>
    <row r="894" spans="1:31" x14ac:dyDescent="0.25">
      <c r="A894" s="2" t="s">
        <v>1852</v>
      </c>
      <c r="B894" s="2">
        <v>49</v>
      </c>
      <c r="C894" s="2" t="s">
        <v>43</v>
      </c>
      <c r="D894" s="2" t="s">
        <v>30</v>
      </c>
      <c r="E894" s="2" t="s">
        <v>76</v>
      </c>
      <c r="F894" s="2" t="s">
        <v>32</v>
      </c>
      <c r="G894" s="2" t="s">
        <v>44</v>
      </c>
      <c r="H894" s="2" t="s">
        <v>1853</v>
      </c>
      <c r="I894" s="2" t="s">
        <v>90</v>
      </c>
      <c r="J894" s="2">
        <v>435.52</v>
      </c>
      <c r="K894" s="2">
        <v>9</v>
      </c>
      <c r="L894" s="2" t="s">
        <v>78</v>
      </c>
      <c r="M894" s="2">
        <v>5</v>
      </c>
      <c r="N894" s="2">
        <v>3</v>
      </c>
      <c r="O894" s="2">
        <v>2</v>
      </c>
      <c r="P894" s="2" t="s">
        <v>44</v>
      </c>
      <c r="Q894" s="2" t="s">
        <v>50</v>
      </c>
      <c r="R894" s="2">
        <v>1</v>
      </c>
      <c r="S894" s="2">
        <v>2</v>
      </c>
      <c r="T894" s="2" t="s">
        <v>49</v>
      </c>
      <c r="U894" s="2" t="s">
        <v>79</v>
      </c>
      <c r="V894" s="2" t="s">
        <v>61</v>
      </c>
      <c r="W894" s="3">
        <v>45608</v>
      </c>
      <c r="X894" s="2" t="b">
        <v>1</v>
      </c>
      <c r="Y894" s="2" t="b">
        <v>0</v>
      </c>
      <c r="Z894" s="2" t="s">
        <v>62</v>
      </c>
      <c r="AA894" s="2" t="s">
        <v>41</v>
      </c>
      <c r="AB894" s="2">
        <v>11</v>
      </c>
      <c r="AC894" s="2">
        <f>SUMIF(N:N,Ecommerce_Consumer_Behavior_Analysis_Data3[[#This Row],[Brand_Loyalty]],M:M)</f>
        <v>641</v>
      </c>
      <c r="AD894" s="2" t="e" cm="1" vm="1">
        <f t="array" aca="1" ref="AD894" ca="1">SUMIFS(Y:Y,Ecommerce_Consumer_Behavior_Analysis_Data3[[#This Row],[Payment_Method]],V:V)</f>
        <v>#VALUE!</v>
      </c>
      <c r="AE894" s="2">
        <f t="shared" si="17"/>
        <v>101.31</v>
      </c>
    </row>
    <row r="895" spans="1:31" x14ac:dyDescent="0.25">
      <c r="A895" s="2" t="s">
        <v>1854</v>
      </c>
      <c r="B895" s="2">
        <v>50</v>
      </c>
      <c r="C895" s="2" t="s">
        <v>29</v>
      </c>
      <c r="D895" s="2" t="s">
        <v>44</v>
      </c>
      <c r="E895" s="2" t="s">
        <v>31</v>
      </c>
      <c r="F895" s="2" t="s">
        <v>56</v>
      </c>
      <c r="G895" s="2" t="s">
        <v>30</v>
      </c>
      <c r="H895" s="2" t="s">
        <v>1855</v>
      </c>
      <c r="I895" s="2" t="s">
        <v>58</v>
      </c>
      <c r="J895" s="2">
        <v>235.49</v>
      </c>
      <c r="K895" s="2">
        <v>5</v>
      </c>
      <c r="L895" s="2" t="s">
        <v>48</v>
      </c>
      <c r="M895" s="2">
        <v>4</v>
      </c>
      <c r="N895" s="2">
        <v>3</v>
      </c>
      <c r="O895" s="2">
        <v>1</v>
      </c>
      <c r="P895" s="2" t="s">
        <v>44</v>
      </c>
      <c r="Q895" s="2" t="s">
        <v>37</v>
      </c>
      <c r="R895" s="2">
        <v>1</v>
      </c>
      <c r="S895" s="2">
        <v>6</v>
      </c>
      <c r="T895" s="2" t="s">
        <v>36</v>
      </c>
      <c r="U895" s="2" t="s">
        <v>60</v>
      </c>
      <c r="V895" s="2" t="s">
        <v>86</v>
      </c>
      <c r="W895" s="3">
        <v>45425</v>
      </c>
      <c r="X895" s="2" t="b">
        <v>1</v>
      </c>
      <c r="Y895" s="2" t="b">
        <v>0</v>
      </c>
      <c r="Z895" s="2" t="s">
        <v>62</v>
      </c>
      <c r="AA895" s="2" t="s">
        <v>67</v>
      </c>
      <c r="AB895" s="2">
        <v>5</v>
      </c>
      <c r="AC895" s="2">
        <f>SUMIF(N:N,Ecommerce_Consumer_Behavior_Analysis_Data3[[#This Row],[Brand_Loyalty]],M:M)</f>
        <v>603</v>
      </c>
      <c r="AD895" s="2" t="e" cm="1" vm="1">
        <f t="array" aca="1" ref="AD895" ca="1">SUMIFS(Y:Y,Ecommerce_Consumer_Behavior_Analysis_Data3[[#This Row],[Payment_Method]],V:V)</f>
        <v>#VALUE!</v>
      </c>
      <c r="AE895" s="2">
        <f t="shared" si="17"/>
        <v>333.8</v>
      </c>
    </row>
    <row r="896" spans="1:31" x14ac:dyDescent="0.25">
      <c r="A896" s="2" t="s">
        <v>1856</v>
      </c>
      <c r="B896" s="2">
        <v>45</v>
      </c>
      <c r="C896" s="2" t="s">
        <v>43</v>
      </c>
      <c r="D896" s="2" t="s">
        <v>44</v>
      </c>
      <c r="E896" s="2" t="s">
        <v>69</v>
      </c>
      <c r="F896" s="2" t="s">
        <v>56</v>
      </c>
      <c r="G896" s="2" t="s">
        <v>30</v>
      </c>
      <c r="H896" s="2" t="s">
        <v>1857</v>
      </c>
      <c r="I896" s="2" t="s">
        <v>93</v>
      </c>
      <c r="J896" s="2">
        <v>161.34</v>
      </c>
      <c r="K896" s="2">
        <v>3</v>
      </c>
      <c r="L896" s="2" t="s">
        <v>35</v>
      </c>
      <c r="M896" s="2">
        <v>2</v>
      </c>
      <c r="N896" s="2">
        <v>3</v>
      </c>
      <c r="O896" s="2">
        <v>2</v>
      </c>
      <c r="P896" s="2" t="s">
        <v>44</v>
      </c>
      <c r="Q896" s="2" t="s">
        <v>85</v>
      </c>
      <c r="R896" s="2">
        <v>1</v>
      </c>
      <c r="S896" s="2">
        <v>8</v>
      </c>
      <c r="T896" s="2" t="s">
        <v>49</v>
      </c>
      <c r="U896" s="2" t="s">
        <v>38</v>
      </c>
      <c r="V896" s="2" t="s">
        <v>39</v>
      </c>
      <c r="W896" s="3">
        <v>45563</v>
      </c>
      <c r="X896" s="2" t="b">
        <v>1</v>
      </c>
      <c r="Y896" s="2" t="b">
        <v>0</v>
      </c>
      <c r="Z896" s="2" t="s">
        <v>62</v>
      </c>
      <c r="AA896" s="2" t="s">
        <v>41</v>
      </c>
      <c r="AB896" s="2">
        <v>4</v>
      </c>
      <c r="AC896" s="2">
        <f>SUMIF(N:N,Ecommerce_Consumer_Behavior_Analysis_Data3[[#This Row],[Brand_Loyalty]],M:M)</f>
        <v>582</v>
      </c>
      <c r="AD896" s="2" t="e" cm="1" vm="1">
        <f t="array" aca="1" ref="AD896" ca="1">SUMIFS(Y:Y,Ecommerce_Consumer_Behavior_Analysis_Data3[[#This Row],[Payment_Method]],V:V)</f>
        <v>#VALUE!</v>
      </c>
      <c r="AE896" s="2">
        <f t="shared" si="17"/>
        <v>101.31</v>
      </c>
    </row>
    <row r="897" spans="1:31" x14ac:dyDescent="0.25">
      <c r="A897" s="2" t="s">
        <v>1858</v>
      </c>
      <c r="B897" s="2">
        <v>19</v>
      </c>
      <c r="C897" s="2" t="s">
        <v>43</v>
      </c>
      <c r="D897" s="2" t="s">
        <v>44</v>
      </c>
      <c r="E897" s="2" t="s">
        <v>55</v>
      </c>
      <c r="F897" s="2" t="s">
        <v>56</v>
      </c>
      <c r="G897" s="2" t="s">
        <v>44</v>
      </c>
      <c r="H897" s="2" t="s">
        <v>1859</v>
      </c>
      <c r="I897" s="2" t="s">
        <v>93</v>
      </c>
      <c r="J897" s="2">
        <v>167.67</v>
      </c>
      <c r="K897" s="2">
        <v>11</v>
      </c>
      <c r="L897" s="2" t="s">
        <v>48</v>
      </c>
      <c r="M897" s="2">
        <v>5</v>
      </c>
      <c r="N897" s="2">
        <v>2</v>
      </c>
      <c r="O897" s="2">
        <v>1</v>
      </c>
      <c r="P897" s="2" t="s">
        <v>44</v>
      </c>
      <c r="Q897" s="2" t="s">
        <v>85</v>
      </c>
      <c r="R897" s="2">
        <v>0</v>
      </c>
      <c r="S897" s="2">
        <v>6</v>
      </c>
      <c r="T897" s="2" t="s">
        <v>49</v>
      </c>
      <c r="U897" s="2" t="s">
        <v>60</v>
      </c>
      <c r="V897" s="2" t="s">
        <v>39</v>
      </c>
      <c r="W897" s="3">
        <v>45369</v>
      </c>
      <c r="X897" s="2" t="b">
        <v>0</v>
      </c>
      <c r="Y897" s="2" t="b">
        <v>1</v>
      </c>
      <c r="Z897" s="2" t="s">
        <v>40</v>
      </c>
      <c r="AA897" s="2" t="s">
        <v>67</v>
      </c>
      <c r="AB897" s="2">
        <v>5</v>
      </c>
      <c r="AC897" s="2">
        <f>SUMIF(N:N,Ecommerce_Consumer_Behavior_Analysis_Data3[[#This Row],[Brand_Loyalty]],M:M)</f>
        <v>641</v>
      </c>
      <c r="AD897" s="2" t="e" cm="1" vm="1">
        <f t="array" aca="1" ref="AD897" ca="1">SUMIFS(Y:Y,Ecommerce_Consumer_Behavior_Analysis_Data3[[#This Row],[Payment_Method]],V:V)</f>
        <v>#VALUE!</v>
      </c>
      <c r="AE897" s="2">
        <f t="shared" si="17"/>
        <v>333.8</v>
      </c>
    </row>
    <row r="898" spans="1:31" x14ac:dyDescent="0.25">
      <c r="A898" s="2" t="s">
        <v>1860</v>
      </c>
      <c r="B898" s="2">
        <v>50</v>
      </c>
      <c r="C898" s="2" t="s">
        <v>29</v>
      </c>
      <c r="D898" s="2" t="s">
        <v>30</v>
      </c>
      <c r="E898" s="2" t="s">
        <v>69</v>
      </c>
      <c r="F898" s="2" t="s">
        <v>45</v>
      </c>
      <c r="G898" s="2" t="s">
        <v>44</v>
      </c>
      <c r="H898" s="2" t="s">
        <v>1861</v>
      </c>
      <c r="I898" s="2" t="s">
        <v>47</v>
      </c>
      <c r="J898" s="2">
        <v>96.68</v>
      </c>
      <c r="K898" s="2">
        <v>10</v>
      </c>
      <c r="L898" s="2" t="s">
        <v>35</v>
      </c>
      <c r="M898" s="2">
        <v>5</v>
      </c>
      <c r="N898" s="2">
        <v>2</v>
      </c>
      <c r="O898" s="2">
        <v>2</v>
      </c>
      <c r="P898" s="2" t="s">
        <v>44</v>
      </c>
      <c r="Q898" s="2" t="s">
        <v>37</v>
      </c>
      <c r="R898" s="2">
        <v>2</v>
      </c>
      <c r="S898" s="2">
        <v>3</v>
      </c>
      <c r="T898" s="2" t="s">
        <v>36</v>
      </c>
      <c r="U898" s="2" t="s">
        <v>60</v>
      </c>
      <c r="V898" s="2" t="s">
        <v>39</v>
      </c>
      <c r="W898" s="3">
        <v>45395</v>
      </c>
      <c r="X898" s="2" t="b">
        <v>1</v>
      </c>
      <c r="Y898" s="2" t="b">
        <v>0</v>
      </c>
      <c r="Z898" s="2" t="s">
        <v>74</v>
      </c>
      <c r="AA898" s="2" t="s">
        <v>41</v>
      </c>
      <c r="AB898" s="2">
        <v>10</v>
      </c>
      <c r="AC898" s="2">
        <f>SUMIF(N:N,Ecommerce_Consumer_Behavior_Analysis_Data3[[#This Row],[Brand_Loyalty]],M:M)</f>
        <v>641</v>
      </c>
      <c r="AD898" s="2" t="e" cm="1" vm="1">
        <f t="array" aca="1" ref="AD898" ca="1">SUMIFS(Y:Y,Ecommerce_Consumer_Behavior_Analysis_Data3[[#This Row],[Payment_Method]],V:V)</f>
        <v>#VALUE!</v>
      </c>
      <c r="AE898" s="2">
        <f t="shared" ref="AE898:AE961" si="18">INDEX(J:J,MATCH(O899,O:O,0))</f>
        <v>333.8</v>
      </c>
    </row>
    <row r="899" spans="1:31" x14ac:dyDescent="0.25">
      <c r="A899" s="2" t="s">
        <v>1862</v>
      </c>
      <c r="B899" s="2">
        <v>32</v>
      </c>
      <c r="C899" s="2" t="s">
        <v>43</v>
      </c>
      <c r="D899" s="2" t="s">
        <v>44</v>
      </c>
      <c r="E899" s="2" t="s">
        <v>31</v>
      </c>
      <c r="F899" s="2" t="s">
        <v>56</v>
      </c>
      <c r="G899" s="2" t="s">
        <v>44</v>
      </c>
      <c r="H899" s="2" t="s">
        <v>1863</v>
      </c>
      <c r="I899" s="2" t="s">
        <v>34</v>
      </c>
      <c r="J899" s="2">
        <v>234.58</v>
      </c>
      <c r="K899" s="2">
        <v>3</v>
      </c>
      <c r="L899" s="2" t="s">
        <v>35</v>
      </c>
      <c r="M899" s="2">
        <v>5</v>
      </c>
      <c r="N899" s="2">
        <v>5</v>
      </c>
      <c r="O899" s="2">
        <v>2</v>
      </c>
      <c r="P899" s="2" t="s">
        <v>59</v>
      </c>
      <c r="Q899" s="2" t="s">
        <v>85</v>
      </c>
      <c r="R899" s="2">
        <v>2</v>
      </c>
      <c r="S899" s="2">
        <v>6</v>
      </c>
      <c r="T899" s="2" t="s">
        <v>36</v>
      </c>
      <c r="U899" s="2" t="s">
        <v>79</v>
      </c>
      <c r="V899" s="2" t="s">
        <v>51</v>
      </c>
      <c r="W899" s="3">
        <v>45405</v>
      </c>
      <c r="X899" s="2" t="b">
        <v>1</v>
      </c>
      <c r="Y899" s="2" t="b">
        <v>0</v>
      </c>
      <c r="Z899" s="2" t="s">
        <v>62</v>
      </c>
      <c r="AA899" s="2" t="s">
        <v>53</v>
      </c>
      <c r="AB899" s="2">
        <v>1</v>
      </c>
      <c r="AC899" s="2">
        <f>SUMIF(N:N,Ecommerce_Consumer_Behavior_Analysis_Data3[[#This Row],[Brand_Loyalty]],M:M)</f>
        <v>641</v>
      </c>
      <c r="AD899" s="2" t="e" cm="1" vm="1">
        <f t="array" aca="1" ref="AD899" ca="1">SUMIFS(Y:Y,Ecommerce_Consumer_Behavior_Analysis_Data3[[#This Row],[Payment_Method]],V:V)</f>
        <v>#VALUE!</v>
      </c>
      <c r="AE899" s="2">
        <f t="shared" si="18"/>
        <v>211.7</v>
      </c>
    </row>
    <row r="900" spans="1:31" x14ac:dyDescent="0.25">
      <c r="A900" s="2" t="s">
        <v>1864</v>
      </c>
      <c r="B900" s="2">
        <v>21</v>
      </c>
      <c r="C900" s="2" t="s">
        <v>43</v>
      </c>
      <c r="D900" s="2" t="s">
        <v>30</v>
      </c>
      <c r="E900" s="2" t="s">
        <v>31</v>
      </c>
      <c r="F900" s="2" t="s">
        <v>56</v>
      </c>
      <c r="G900" s="2" t="s">
        <v>30</v>
      </c>
      <c r="H900" s="2" t="s">
        <v>1865</v>
      </c>
      <c r="I900" s="2" t="s">
        <v>71</v>
      </c>
      <c r="J900" s="2">
        <v>156.47999999999999</v>
      </c>
      <c r="K900" s="2">
        <v>7</v>
      </c>
      <c r="L900" s="2" t="s">
        <v>48</v>
      </c>
      <c r="M900" s="2">
        <v>5</v>
      </c>
      <c r="N900" s="2">
        <v>1</v>
      </c>
      <c r="O900" s="2">
        <v>0</v>
      </c>
      <c r="P900" s="2" t="s">
        <v>59</v>
      </c>
      <c r="Q900" s="2" t="s">
        <v>50</v>
      </c>
      <c r="R900" s="2">
        <v>2</v>
      </c>
      <c r="S900" s="2">
        <v>5</v>
      </c>
      <c r="T900" s="2" t="s">
        <v>49</v>
      </c>
      <c r="U900" s="2" t="s">
        <v>79</v>
      </c>
      <c r="V900" s="2" t="s">
        <v>66</v>
      </c>
      <c r="W900" s="3">
        <v>45364</v>
      </c>
      <c r="X900" s="2" t="b">
        <v>0</v>
      </c>
      <c r="Y900" s="2" t="b">
        <v>1</v>
      </c>
      <c r="Z900" s="2" t="s">
        <v>52</v>
      </c>
      <c r="AA900" s="2" t="s">
        <v>41</v>
      </c>
      <c r="AB900" s="2">
        <v>4</v>
      </c>
      <c r="AC900" s="2">
        <f>SUMIF(N:N,Ecommerce_Consumer_Behavior_Analysis_Data3[[#This Row],[Brand_Loyalty]],M:M)</f>
        <v>641</v>
      </c>
      <c r="AD900" s="2" t="e" cm="1" vm="1">
        <f t="array" aca="1" ref="AD900" ca="1">SUMIFS(Y:Y,Ecommerce_Consumer_Behavior_Analysis_Data3[[#This Row],[Payment_Method]],V:V)</f>
        <v>#VALUE!</v>
      </c>
      <c r="AE900" s="2">
        <f t="shared" si="18"/>
        <v>211.7</v>
      </c>
    </row>
    <row r="901" spans="1:31" x14ac:dyDescent="0.25">
      <c r="A901" s="2" t="s">
        <v>1866</v>
      </c>
      <c r="B901" s="2">
        <v>27</v>
      </c>
      <c r="C901" s="2" t="s">
        <v>212</v>
      </c>
      <c r="D901" s="2" t="s">
        <v>44</v>
      </c>
      <c r="E901" s="2" t="s">
        <v>69</v>
      </c>
      <c r="F901" s="2" t="s">
        <v>32</v>
      </c>
      <c r="G901" s="2" t="s">
        <v>30</v>
      </c>
      <c r="H901" s="2" t="s">
        <v>1867</v>
      </c>
      <c r="I901" s="2" t="s">
        <v>246</v>
      </c>
      <c r="J901" s="2">
        <v>489.66</v>
      </c>
      <c r="K901" s="2">
        <v>11</v>
      </c>
      <c r="L901" s="2" t="s">
        <v>35</v>
      </c>
      <c r="M901" s="2">
        <v>5</v>
      </c>
      <c r="N901" s="2">
        <v>1</v>
      </c>
      <c r="O901" s="2">
        <v>0</v>
      </c>
      <c r="P901" s="2" t="s">
        <v>44</v>
      </c>
      <c r="Q901" s="2" t="s">
        <v>50</v>
      </c>
      <c r="R901" s="2">
        <v>2</v>
      </c>
      <c r="S901" s="2">
        <v>6</v>
      </c>
      <c r="T901" s="2" t="s">
        <v>36</v>
      </c>
      <c r="U901" s="2" t="s">
        <v>38</v>
      </c>
      <c r="V901" s="2" t="s">
        <v>66</v>
      </c>
      <c r="W901" s="3">
        <v>45309</v>
      </c>
      <c r="X901" s="2" t="b">
        <v>1</v>
      </c>
      <c r="Y901" s="2" t="b">
        <v>0</v>
      </c>
      <c r="Z901" s="2" t="s">
        <v>52</v>
      </c>
      <c r="AA901" s="2" t="s">
        <v>53</v>
      </c>
      <c r="AB901" s="2">
        <v>3</v>
      </c>
      <c r="AC901" s="2">
        <f>SUMIF(N:N,Ecommerce_Consumer_Behavior_Analysis_Data3[[#This Row],[Brand_Loyalty]],M:M)</f>
        <v>641</v>
      </c>
      <c r="AD901" s="2" t="e" cm="1" vm="1">
        <f t="array" aca="1" ref="AD901" ca="1">SUMIFS(Y:Y,Ecommerce_Consumer_Behavior_Analysis_Data3[[#This Row],[Payment_Method]],V:V)</f>
        <v>#VALUE!</v>
      </c>
      <c r="AE901" s="2">
        <f t="shared" si="18"/>
        <v>211.7</v>
      </c>
    </row>
    <row r="902" spans="1:31" x14ac:dyDescent="0.25">
      <c r="A902" s="2" t="s">
        <v>1868</v>
      </c>
      <c r="B902" s="2">
        <v>39</v>
      </c>
      <c r="C902" s="2" t="s">
        <v>274</v>
      </c>
      <c r="D902" s="2" t="s">
        <v>44</v>
      </c>
      <c r="E902" s="2" t="s">
        <v>76</v>
      </c>
      <c r="F902" s="2" t="s">
        <v>56</v>
      </c>
      <c r="G902" s="2" t="s">
        <v>44</v>
      </c>
      <c r="H902" s="2" t="s">
        <v>1869</v>
      </c>
      <c r="I902" s="2" t="s">
        <v>114</v>
      </c>
      <c r="J902" s="2">
        <v>161.85</v>
      </c>
      <c r="K902" s="2">
        <v>9</v>
      </c>
      <c r="L902" s="2" t="s">
        <v>48</v>
      </c>
      <c r="M902" s="2">
        <v>5</v>
      </c>
      <c r="N902" s="2">
        <v>3</v>
      </c>
      <c r="O902" s="2">
        <v>0</v>
      </c>
      <c r="P902" s="2" t="s">
        <v>44</v>
      </c>
      <c r="Q902" s="2" t="s">
        <v>85</v>
      </c>
      <c r="R902" s="2">
        <v>0</v>
      </c>
      <c r="S902" s="2">
        <v>4</v>
      </c>
      <c r="T902" s="2" t="s">
        <v>49</v>
      </c>
      <c r="U902" s="2" t="s">
        <v>60</v>
      </c>
      <c r="V902" s="2" t="s">
        <v>66</v>
      </c>
      <c r="W902" s="3">
        <v>45407</v>
      </c>
      <c r="X902" s="2" t="b">
        <v>1</v>
      </c>
      <c r="Y902" s="2" t="b">
        <v>0</v>
      </c>
      <c r="Z902" s="2" t="s">
        <v>40</v>
      </c>
      <c r="AA902" s="2" t="s">
        <v>41</v>
      </c>
      <c r="AB902" s="2">
        <v>10</v>
      </c>
      <c r="AC902" s="2">
        <f>SUMIF(N:N,Ecommerce_Consumer_Behavior_Analysis_Data3[[#This Row],[Brand_Loyalty]],M:M)</f>
        <v>641</v>
      </c>
      <c r="AD902" s="2" t="e" cm="1" vm="1">
        <f t="array" aca="1" ref="AD902" ca="1">SUMIFS(Y:Y,Ecommerce_Consumer_Behavior_Analysis_Data3[[#This Row],[Payment_Method]],V:V)</f>
        <v>#VALUE!</v>
      </c>
      <c r="AE902" s="2">
        <f t="shared" si="18"/>
        <v>101.31</v>
      </c>
    </row>
    <row r="903" spans="1:31" x14ac:dyDescent="0.25">
      <c r="A903" s="2" t="s">
        <v>1870</v>
      </c>
      <c r="B903" s="2">
        <v>34</v>
      </c>
      <c r="C903" s="2" t="s">
        <v>43</v>
      </c>
      <c r="D903" s="2" t="s">
        <v>30</v>
      </c>
      <c r="E903" s="2" t="s">
        <v>69</v>
      </c>
      <c r="F903" s="2" t="s">
        <v>56</v>
      </c>
      <c r="G903" s="2" t="s">
        <v>44</v>
      </c>
      <c r="H903" s="2" t="s">
        <v>1871</v>
      </c>
      <c r="I903" s="2" t="s">
        <v>117</v>
      </c>
      <c r="J903" s="2">
        <v>204.47</v>
      </c>
      <c r="K903" s="2">
        <v>7</v>
      </c>
      <c r="L903" s="2" t="s">
        <v>78</v>
      </c>
      <c r="M903" s="2">
        <v>2</v>
      </c>
      <c r="N903" s="2">
        <v>1</v>
      </c>
      <c r="O903" s="2">
        <v>1</v>
      </c>
      <c r="P903" s="2" t="s">
        <v>36</v>
      </c>
      <c r="Q903" s="2" t="s">
        <v>85</v>
      </c>
      <c r="R903" s="2">
        <v>2</v>
      </c>
      <c r="S903" s="2">
        <v>9</v>
      </c>
      <c r="T903" s="2" t="s">
        <v>36</v>
      </c>
      <c r="U903" s="2" t="s">
        <v>60</v>
      </c>
      <c r="V903" s="2" t="s">
        <v>39</v>
      </c>
      <c r="W903" s="3">
        <v>45519</v>
      </c>
      <c r="X903" s="2" t="b">
        <v>1</v>
      </c>
      <c r="Y903" s="2" t="b">
        <v>1</v>
      </c>
      <c r="Z903" s="2" t="s">
        <v>52</v>
      </c>
      <c r="AA903" s="2" t="s">
        <v>41</v>
      </c>
      <c r="AB903" s="2">
        <v>3</v>
      </c>
      <c r="AC903" s="2">
        <f>SUMIF(N:N,Ecommerce_Consumer_Behavior_Analysis_Data3[[#This Row],[Brand_Loyalty]],M:M)</f>
        <v>582</v>
      </c>
      <c r="AD903" s="2" t="e" cm="1" vm="1">
        <f t="array" aca="1" ref="AD903" ca="1">SUMIFS(Y:Y,Ecommerce_Consumer_Behavior_Analysis_Data3[[#This Row],[Payment_Method]],V:V)</f>
        <v>#VALUE!</v>
      </c>
      <c r="AE903" s="2">
        <f t="shared" si="18"/>
        <v>211.7</v>
      </c>
    </row>
    <row r="904" spans="1:31" x14ac:dyDescent="0.25">
      <c r="A904" s="2" t="s">
        <v>1872</v>
      </c>
      <c r="B904" s="2">
        <v>34</v>
      </c>
      <c r="C904" s="2" t="s">
        <v>29</v>
      </c>
      <c r="D904" s="2" t="s">
        <v>30</v>
      </c>
      <c r="E904" s="2" t="s">
        <v>69</v>
      </c>
      <c r="F904" s="2" t="s">
        <v>32</v>
      </c>
      <c r="G904" s="2" t="s">
        <v>30</v>
      </c>
      <c r="H904" s="2" t="s">
        <v>1873</v>
      </c>
      <c r="I904" s="2" t="s">
        <v>107</v>
      </c>
      <c r="J904" s="2">
        <v>315.02999999999997</v>
      </c>
      <c r="K904" s="2">
        <v>4</v>
      </c>
      <c r="L904" s="2" t="s">
        <v>78</v>
      </c>
      <c r="M904" s="2">
        <v>1</v>
      </c>
      <c r="N904" s="2">
        <v>5</v>
      </c>
      <c r="O904" s="2">
        <v>0</v>
      </c>
      <c r="P904" s="2" t="s">
        <v>44</v>
      </c>
      <c r="Q904" s="2" t="s">
        <v>85</v>
      </c>
      <c r="R904" s="2">
        <v>1</v>
      </c>
      <c r="S904" s="2">
        <v>6</v>
      </c>
      <c r="T904" s="2" t="s">
        <v>59</v>
      </c>
      <c r="U904" s="2" t="s">
        <v>38</v>
      </c>
      <c r="V904" s="2" t="s">
        <v>51</v>
      </c>
      <c r="W904" s="3">
        <v>45606</v>
      </c>
      <c r="X904" s="2" t="b">
        <v>1</v>
      </c>
      <c r="Y904" s="2" t="b">
        <v>0</v>
      </c>
      <c r="Z904" s="2" t="s">
        <v>74</v>
      </c>
      <c r="AA904" s="2" t="s">
        <v>67</v>
      </c>
      <c r="AB904" s="2">
        <v>2</v>
      </c>
      <c r="AC904" s="2">
        <f>SUMIF(N:N,Ecommerce_Consumer_Behavior_Analysis_Data3[[#This Row],[Brand_Loyalty]],M:M)</f>
        <v>603</v>
      </c>
      <c r="AD904" s="2" t="e" cm="1" vm="1">
        <f t="array" aca="1" ref="AD904" ca="1">SUMIFS(Y:Y,Ecommerce_Consumer_Behavior_Analysis_Data3[[#This Row],[Payment_Method]],V:V)</f>
        <v>#VALUE!</v>
      </c>
      <c r="AE904" s="2">
        <f t="shared" si="18"/>
        <v>101.31</v>
      </c>
    </row>
    <row r="905" spans="1:31" x14ac:dyDescent="0.25">
      <c r="A905" s="2" t="s">
        <v>1874</v>
      </c>
      <c r="B905" s="2">
        <v>42</v>
      </c>
      <c r="C905" s="2" t="s">
        <v>43</v>
      </c>
      <c r="D905" s="2" t="s">
        <v>30</v>
      </c>
      <c r="E905" s="2" t="s">
        <v>55</v>
      </c>
      <c r="F905" s="2" t="s">
        <v>56</v>
      </c>
      <c r="G905" s="2" t="s">
        <v>44</v>
      </c>
      <c r="H905" s="2" t="s">
        <v>1875</v>
      </c>
      <c r="I905" s="2" t="s">
        <v>71</v>
      </c>
      <c r="J905" s="2">
        <v>330.36</v>
      </c>
      <c r="K905" s="2">
        <v>12</v>
      </c>
      <c r="L905" s="2" t="s">
        <v>48</v>
      </c>
      <c r="M905" s="2">
        <v>5</v>
      </c>
      <c r="N905" s="2">
        <v>5</v>
      </c>
      <c r="O905" s="2">
        <v>1</v>
      </c>
      <c r="P905" s="2" t="s">
        <v>59</v>
      </c>
      <c r="Q905" s="2" t="s">
        <v>85</v>
      </c>
      <c r="R905" s="2">
        <v>1</v>
      </c>
      <c r="S905" s="2">
        <v>4</v>
      </c>
      <c r="T905" s="2" t="s">
        <v>59</v>
      </c>
      <c r="U905" s="2" t="s">
        <v>38</v>
      </c>
      <c r="V905" s="2" t="s">
        <v>66</v>
      </c>
      <c r="W905" s="3">
        <v>45472</v>
      </c>
      <c r="X905" s="2" t="b">
        <v>1</v>
      </c>
      <c r="Y905" s="2" t="b">
        <v>1</v>
      </c>
      <c r="Z905" s="2" t="s">
        <v>40</v>
      </c>
      <c r="AA905" s="2" t="s">
        <v>41</v>
      </c>
      <c r="AB905" s="2">
        <v>3</v>
      </c>
      <c r="AC905" s="2">
        <f>SUMIF(N:N,Ecommerce_Consumer_Behavior_Analysis_Data3[[#This Row],[Brand_Loyalty]],M:M)</f>
        <v>641</v>
      </c>
      <c r="AD905" s="2" t="e" cm="1" vm="1">
        <f t="array" aca="1" ref="AD905" ca="1">SUMIFS(Y:Y,Ecommerce_Consumer_Behavior_Analysis_Data3[[#This Row],[Payment_Method]],V:V)</f>
        <v>#VALUE!</v>
      </c>
      <c r="AE905" s="2">
        <f t="shared" si="18"/>
        <v>211.7</v>
      </c>
    </row>
    <row r="906" spans="1:31" x14ac:dyDescent="0.25">
      <c r="A906" s="2" t="s">
        <v>1876</v>
      </c>
      <c r="B906" s="2">
        <v>42</v>
      </c>
      <c r="C906" s="2" t="s">
        <v>43</v>
      </c>
      <c r="D906" s="2" t="s">
        <v>30</v>
      </c>
      <c r="E906" s="2" t="s">
        <v>55</v>
      </c>
      <c r="F906" s="2" t="s">
        <v>32</v>
      </c>
      <c r="G906" s="2" t="s">
        <v>30</v>
      </c>
      <c r="H906" s="2" t="s">
        <v>1877</v>
      </c>
      <c r="I906" s="2" t="s">
        <v>126</v>
      </c>
      <c r="J906" s="2">
        <v>456.83</v>
      </c>
      <c r="K906" s="2">
        <v>5</v>
      </c>
      <c r="L906" s="2" t="s">
        <v>78</v>
      </c>
      <c r="M906" s="2">
        <v>2</v>
      </c>
      <c r="N906" s="2">
        <v>5</v>
      </c>
      <c r="O906" s="2">
        <v>0</v>
      </c>
      <c r="P906" s="2" t="s">
        <v>36</v>
      </c>
      <c r="Q906" s="2" t="s">
        <v>50</v>
      </c>
      <c r="R906" s="2">
        <v>0</v>
      </c>
      <c r="S906" s="2">
        <v>9</v>
      </c>
      <c r="T906" s="2" t="s">
        <v>44</v>
      </c>
      <c r="U906" s="2" t="s">
        <v>38</v>
      </c>
      <c r="V906" s="2" t="s">
        <v>39</v>
      </c>
      <c r="W906" s="3">
        <v>45463</v>
      </c>
      <c r="X906" s="2" t="b">
        <v>0</v>
      </c>
      <c r="Y906" s="2" t="b">
        <v>0</v>
      </c>
      <c r="Z906" s="2" t="s">
        <v>40</v>
      </c>
      <c r="AA906" s="2" t="s">
        <v>41</v>
      </c>
      <c r="AB906" s="2">
        <v>13</v>
      </c>
      <c r="AC906" s="2">
        <f>SUMIF(N:N,Ecommerce_Consumer_Behavior_Analysis_Data3[[#This Row],[Brand_Loyalty]],M:M)</f>
        <v>582</v>
      </c>
      <c r="AD906" s="2" t="e" cm="1" vm="1">
        <f t="array" aca="1" ref="AD906" ca="1">SUMIFS(Y:Y,Ecommerce_Consumer_Behavior_Analysis_Data3[[#This Row],[Payment_Method]],V:V)</f>
        <v>#VALUE!</v>
      </c>
      <c r="AE906" s="2">
        <f t="shared" si="18"/>
        <v>211.7</v>
      </c>
    </row>
    <row r="907" spans="1:31" x14ac:dyDescent="0.25">
      <c r="A907" s="2" t="s">
        <v>1878</v>
      </c>
      <c r="B907" s="2">
        <v>31</v>
      </c>
      <c r="C907" s="2" t="s">
        <v>43</v>
      </c>
      <c r="D907" s="2" t="s">
        <v>44</v>
      </c>
      <c r="E907" s="2" t="s">
        <v>69</v>
      </c>
      <c r="F907" s="2" t="s">
        <v>32</v>
      </c>
      <c r="G907" s="2" t="s">
        <v>44</v>
      </c>
      <c r="H907" s="2" t="s">
        <v>1879</v>
      </c>
      <c r="I907" s="2" t="s">
        <v>246</v>
      </c>
      <c r="J907" s="2">
        <v>236.05</v>
      </c>
      <c r="K907" s="2">
        <v>6</v>
      </c>
      <c r="L907" s="2" t="s">
        <v>48</v>
      </c>
      <c r="M907" s="2">
        <v>2</v>
      </c>
      <c r="N907" s="2">
        <v>3</v>
      </c>
      <c r="O907" s="2">
        <v>0</v>
      </c>
      <c r="P907" s="2" t="s">
        <v>36</v>
      </c>
      <c r="Q907" s="2" t="s">
        <v>85</v>
      </c>
      <c r="R907" s="2">
        <v>1</v>
      </c>
      <c r="S907" s="2">
        <v>4</v>
      </c>
      <c r="T907" s="2" t="s">
        <v>44</v>
      </c>
      <c r="U907" s="2" t="s">
        <v>79</v>
      </c>
      <c r="V907" s="2" t="s">
        <v>66</v>
      </c>
      <c r="W907" s="3">
        <v>45612</v>
      </c>
      <c r="X907" s="2" t="b">
        <v>0</v>
      </c>
      <c r="Y907" s="2" t="b">
        <v>1</v>
      </c>
      <c r="Z907" s="2" t="s">
        <v>40</v>
      </c>
      <c r="AA907" s="2" t="s">
        <v>41</v>
      </c>
      <c r="AB907" s="2">
        <v>13</v>
      </c>
      <c r="AC907" s="2">
        <f>SUMIF(N:N,Ecommerce_Consumer_Behavior_Analysis_Data3[[#This Row],[Brand_Loyalty]],M:M)</f>
        <v>582</v>
      </c>
      <c r="AD907" s="2" t="e" cm="1" vm="1">
        <f t="array" aca="1" ref="AD907" ca="1">SUMIFS(Y:Y,Ecommerce_Consumer_Behavior_Analysis_Data3[[#This Row],[Payment_Method]],V:V)</f>
        <v>#VALUE!</v>
      </c>
      <c r="AE907" s="2">
        <f t="shared" si="18"/>
        <v>101.31</v>
      </c>
    </row>
    <row r="908" spans="1:31" x14ac:dyDescent="0.25">
      <c r="A908" s="2" t="s">
        <v>1880</v>
      </c>
      <c r="B908" s="2">
        <v>35</v>
      </c>
      <c r="C908" s="2" t="s">
        <v>29</v>
      </c>
      <c r="D908" s="2" t="s">
        <v>44</v>
      </c>
      <c r="E908" s="2" t="s">
        <v>69</v>
      </c>
      <c r="F908" s="2" t="s">
        <v>45</v>
      </c>
      <c r="G908" s="2" t="s">
        <v>44</v>
      </c>
      <c r="H908" s="2" t="s">
        <v>1881</v>
      </c>
      <c r="I908" s="2" t="s">
        <v>65</v>
      </c>
      <c r="J908" s="2">
        <v>289.27999999999997</v>
      </c>
      <c r="K908" s="2">
        <v>9</v>
      </c>
      <c r="L908" s="2" t="s">
        <v>78</v>
      </c>
      <c r="M908" s="2">
        <v>3</v>
      </c>
      <c r="N908" s="2">
        <v>5</v>
      </c>
      <c r="O908" s="2">
        <v>1</v>
      </c>
      <c r="P908" s="2" t="s">
        <v>44</v>
      </c>
      <c r="Q908" s="2" t="s">
        <v>37</v>
      </c>
      <c r="R908" s="2">
        <v>2</v>
      </c>
      <c r="S908" s="2">
        <v>7</v>
      </c>
      <c r="T908" s="2" t="s">
        <v>49</v>
      </c>
      <c r="U908" s="2" t="s">
        <v>38</v>
      </c>
      <c r="V908" s="2" t="s">
        <v>51</v>
      </c>
      <c r="W908" s="3">
        <v>45472</v>
      </c>
      <c r="X908" s="2" t="b">
        <v>0</v>
      </c>
      <c r="Y908" s="2" t="b">
        <v>1</v>
      </c>
      <c r="Z908" s="2" t="s">
        <v>52</v>
      </c>
      <c r="AA908" s="2" t="s">
        <v>67</v>
      </c>
      <c r="AB908" s="2">
        <v>13</v>
      </c>
      <c r="AC908" s="2">
        <f>SUMIF(N:N,Ecommerce_Consumer_Behavior_Analysis_Data3[[#This Row],[Brand_Loyalty]],M:M)</f>
        <v>597</v>
      </c>
      <c r="AD908" s="2" t="e" cm="1" vm="1">
        <f t="array" aca="1" ref="AD908" ca="1">SUMIFS(Y:Y,Ecommerce_Consumer_Behavior_Analysis_Data3[[#This Row],[Payment_Method]],V:V)</f>
        <v>#VALUE!</v>
      </c>
      <c r="AE908" s="2">
        <f t="shared" si="18"/>
        <v>211.7</v>
      </c>
    </row>
    <row r="909" spans="1:31" x14ac:dyDescent="0.25">
      <c r="A909" s="2" t="s">
        <v>1882</v>
      </c>
      <c r="B909" s="2">
        <v>27</v>
      </c>
      <c r="C909" s="2" t="s">
        <v>29</v>
      </c>
      <c r="D909" s="2" t="s">
        <v>44</v>
      </c>
      <c r="E909" s="2" t="s">
        <v>31</v>
      </c>
      <c r="F909" s="2" t="s">
        <v>45</v>
      </c>
      <c r="G909" s="2" t="s">
        <v>30</v>
      </c>
      <c r="H909" s="2" t="s">
        <v>1883</v>
      </c>
      <c r="I909" s="2" t="s">
        <v>114</v>
      </c>
      <c r="J909" s="2">
        <v>483.77</v>
      </c>
      <c r="K909" s="2">
        <v>5</v>
      </c>
      <c r="L909" s="2" t="s">
        <v>48</v>
      </c>
      <c r="M909" s="2">
        <v>1</v>
      </c>
      <c r="N909" s="2">
        <v>2</v>
      </c>
      <c r="O909" s="2">
        <v>0</v>
      </c>
      <c r="P909" s="2" t="s">
        <v>36</v>
      </c>
      <c r="Q909" s="2" t="s">
        <v>85</v>
      </c>
      <c r="R909" s="2">
        <v>0</v>
      </c>
      <c r="S909" s="2">
        <v>5</v>
      </c>
      <c r="T909" s="2" t="s">
        <v>36</v>
      </c>
      <c r="U909" s="2" t="s">
        <v>79</v>
      </c>
      <c r="V909" s="2" t="s">
        <v>39</v>
      </c>
      <c r="W909" s="3">
        <v>45493</v>
      </c>
      <c r="X909" s="2" t="b">
        <v>0</v>
      </c>
      <c r="Y909" s="2" t="b">
        <v>0</v>
      </c>
      <c r="Z909" s="2" t="s">
        <v>52</v>
      </c>
      <c r="AA909" s="2" t="s">
        <v>41</v>
      </c>
      <c r="AB909" s="2">
        <v>10</v>
      </c>
      <c r="AC909" s="2">
        <f>SUMIF(N:N,Ecommerce_Consumer_Behavior_Analysis_Data3[[#This Row],[Brand_Loyalty]],M:M)</f>
        <v>603</v>
      </c>
      <c r="AD909" s="2" t="e" cm="1" vm="1">
        <f t="array" aca="1" ref="AD909" ca="1">SUMIFS(Y:Y,Ecommerce_Consumer_Behavior_Analysis_Data3[[#This Row],[Payment_Method]],V:V)</f>
        <v>#VALUE!</v>
      </c>
      <c r="AE909" s="2">
        <f t="shared" si="18"/>
        <v>101.31</v>
      </c>
    </row>
    <row r="910" spans="1:31" x14ac:dyDescent="0.25">
      <c r="A910" s="2" t="s">
        <v>1884</v>
      </c>
      <c r="B910" s="2">
        <v>45</v>
      </c>
      <c r="C910" s="2" t="s">
        <v>43</v>
      </c>
      <c r="D910" s="2" t="s">
        <v>30</v>
      </c>
      <c r="E910" s="2" t="s">
        <v>31</v>
      </c>
      <c r="F910" s="2" t="s">
        <v>45</v>
      </c>
      <c r="G910" s="2" t="s">
        <v>30</v>
      </c>
      <c r="H910" s="2" t="s">
        <v>1885</v>
      </c>
      <c r="I910" s="2" t="s">
        <v>71</v>
      </c>
      <c r="J910" s="2">
        <v>64.5</v>
      </c>
      <c r="K910" s="2">
        <v>7</v>
      </c>
      <c r="L910" s="2" t="s">
        <v>48</v>
      </c>
      <c r="M910" s="2">
        <v>3</v>
      </c>
      <c r="N910" s="2">
        <v>4</v>
      </c>
      <c r="O910" s="2">
        <v>1</v>
      </c>
      <c r="P910" s="2" t="s">
        <v>44</v>
      </c>
      <c r="Q910" s="2" t="s">
        <v>37</v>
      </c>
      <c r="R910" s="2">
        <v>1</v>
      </c>
      <c r="S910" s="2">
        <v>7</v>
      </c>
      <c r="T910" s="2" t="s">
        <v>44</v>
      </c>
      <c r="U910" s="2" t="s">
        <v>79</v>
      </c>
      <c r="V910" s="2" t="s">
        <v>39</v>
      </c>
      <c r="W910" s="3">
        <v>45501</v>
      </c>
      <c r="X910" s="2" t="b">
        <v>1</v>
      </c>
      <c r="Y910" s="2" t="b">
        <v>0</v>
      </c>
      <c r="Z910" s="2" t="s">
        <v>52</v>
      </c>
      <c r="AA910" s="2" t="s">
        <v>41</v>
      </c>
      <c r="AB910" s="2">
        <v>13</v>
      </c>
      <c r="AC910" s="2">
        <f>SUMIF(N:N,Ecommerce_Consumer_Behavior_Analysis_Data3[[#This Row],[Brand_Loyalty]],M:M)</f>
        <v>597</v>
      </c>
      <c r="AD910" s="2" t="e" cm="1" vm="1">
        <f t="array" aca="1" ref="AD910" ca="1">SUMIFS(Y:Y,Ecommerce_Consumer_Behavior_Analysis_Data3[[#This Row],[Payment_Method]],V:V)</f>
        <v>#VALUE!</v>
      </c>
      <c r="AE910" s="2">
        <f t="shared" si="18"/>
        <v>101.31</v>
      </c>
    </row>
    <row r="911" spans="1:31" x14ac:dyDescent="0.25">
      <c r="A911" s="2" t="s">
        <v>1886</v>
      </c>
      <c r="B911" s="2">
        <v>43</v>
      </c>
      <c r="C911" s="2" t="s">
        <v>43</v>
      </c>
      <c r="D911" s="2" t="s">
        <v>44</v>
      </c>
      <c r="E911" s="2" t="s">
        <v>31</v>
      </c>
      <c r="F911" s="2" t="s">
        <v>32</v>
      </c>
      <c r="G911" s="2" t="s">
        <v>30</v>
      </c>
      <c r="H911" s="2" t="s">
        <v>1887</v>
      </c>
      <c r="I911" s="2" t="s">
        <v>158</v>
      </c>
      <c r="J911" s="2">
        <v>436.57</v>
      </c>
      <c r="K911" s="2">
        <v>4</v>
      </c>
      <c r="L911" s="2" t="s">
        <v>35</v>
      </c>
      <c r="M911" s="2">
        <v>5</v>
      </c>
      <c r="N911" s="2">
        <v>3</v>
      </c>
      <c r="O911" s="2">
        <v>1</v>
      </c>
      <c r="P911" s="2" t="s">
        <v>44</v>
      </c>
      <c r="Q911" s="2" t="s">
        <v>50</v>
      </c>
      <c r="R911" s="2">
        <v>2</v>
      </c>
      <c r="S911" s="2">
        <v>10</v>
      </c>
      <c r="T911" s="2" t="s">
        <v>59</v>
      </c>
      <c r="U911" s="2" t="s">
        <v>79</v>
      </c>
      <c r="V911" s="2" t="s">
        <v>61</v>
      </c>
      <c r="W911" s="3">
        <v>45324</v>
      </c>
      <c r="X911" s="2" t="b">
        <v>0</v>
      </c>
      <c r="Y911" s="2" t="b">
        <v>0</v>
      </c>
      <c r="Z911" s="2" t="s">
        <v>52</v>
      </c>
      <c r="AA911" s="2" t="s">
        <v>53</v>
      </c>
      <c r="AB911" s="2">
        <v>3</v>
      </c>
      <c r="AC911" s="2">
        <f>SUMIF(N:N,Ecommerce_Consumer_Behavior_Analysis_Data3[[#This Row],[Brand_Loyalty]],M:M)</f>
        <v>641</v>
      </c>
      <c r="AD911" s="2" t="e" cm="1" vm="1">
        <f t="array" aca="1" ref="AD911" ca="1">SUMIFS(Y:Y,Ecommerce_Consumer_Behavior_Analysis_Data3[[#This Row],[Payment_Method]],V:V)</f>
        <v>#VALUE!</v>
      </c>
      <c r="AE911" s="2">
        <f t="shared" si="18"/>
        <v>497.8</v>
      </c>
    </row>
    <row r="912" spans="1:31" x14ac:dyDescent="0.25">
      <c r="A912" s="2" t="s">
        <v>1888</v>
      </c>
      <c r="B912" s="2">
        <v>35</v>
      </c>
      <c r="C912" s="2" t="s">
        <v>88</v>
      </c>
      <c r="D912" s="2" t="s">
        <v>30</v>
      </c>
      <c r="E912" s="2" t="s">
        <v>69</v>
      </c>
      <c r="F912" s="2" t="s">
        <v>45</v>
      </c>
      <c r="G912" s="2" t="s">
        <v>30</v>
      </c>
      <c r="H912" s="2" t="s">
        <v>1889</v>
      </c>
      <c r="I912" s="2" t="s">
        <v>47</v>
      </c>
      <c r="J912" s="2">
        <v>364.48</v>
      </c>
      <c r="K912" s="2">
        <v>2</v>
      </c>
      <c r="L912" s="2" t="s">
        <v>35</v>
      </c>
      <c r="M912" s="2">
        <v>3</v>
      </c>
      <c r="N912" s="2">
        <v>3</v>
      </c>
      <c r="O912" s="2">
        <v>0.2</v>
      </c>
      <c r="P912" s="2" t="s">
        <v>36</v>
      </c>
      <c r="Q912" s="2" t="s">
        <v>85</v>
      </c>
      <c r="R912" s="2">
        <v>2</v>
      </c>
      <c r="S912" s="2">
        <v>5</v>
      </c>
      <c r="T912" s="2" t="s">
        <v>36</v>
      </c>
      <c r="U912" s="2" t="s">
        <v>60</v>
      </c>
      <c r="V912" s="2" t="s">
        <v>66</v>
      </c>
      <c r="W912" s="3">
        <v>45561</v>
      </c>
      <c r="X912" s="2" t="b">
        <v>0</v>
      </c>
      <c r="Y912" s="2" t="b">
        <v>0</v>
      </c>
      <c r="Z912" s="2" t="s">
        <v>74</v>
      </c>
      <c r="AA912" s="2" t="s">
        <v>41</v>
      </c>
      <c r="AB912" s="2">
        <v>13</v>
      </c>
      <c r="AC912" s="2">
        <f>SUMIF(N:N,Ecommerce_Consumer_Behavior_Analysis_Data3[[#This Row],[Brand_Loyalty]],M:M)</f>
        <v>597</v>
      </c>
      <c r="AD912" s="2" t="e" cm="1" vm="1">
        <f t="array" aca="1" ref="AD912" ca="1">SUMIFS(Y:Y,Ecommerce_Consumer_Behavior_Analysis_Data3[[#This Row],[Payment_Method]],V:V)</f>
        <v>#VALUE!</v>
      </c>
      <c r="AE912" s="2">
        <f t="shared" si="18"/>
        <v>333.8</v>
      </c>
    </row>
    <row r="913" spans="1:31" x14ac:dyDescent="0.25">
      <c r="A913" s="2" t="s">
        <v>1890</v>
      </c>
      <c r="B913" s="2">
        <v>33</v>
      </c>
      <c r="C913" s="2" t="s">
        <v>29</v>
      </c>
      <c r="D913" s="2" t="s">
        <v>30</v>
      </c>
      <c r="E913" s="2" t="s">
        <v>69</v>
      </c>
      <c r="F913" s="2" t="s">
        <v>56</v>
      </c>
      <c r="G913" s="2" t="s">
        <v>44</v>
      </c>
      <c r="H913" s="2" t="s">
        <v>1891</v>
      </c>
      <c r="I913" s="2" t="s">
        <v>188</v>
      </c>
      <c r="J913" s="2">
        <v>221.88</v>
      </c>
      <c r="K913" s="2">
        <v>12</v>
      </c>
      <c r="L913" s="2" t="s">
        <v>48</v>
      </c>
      <c r="M913" s="2">
        <v>1</v>
      </c>
      <c r="N913" s="2">
        <v>4</v>
      </c>
      <c r="O913" s="2">
        <v>2</v>
      </c>
      <c r="P913" s="2" t="s">
        <v>59</v>
      </c>
      <c r="Q913" s="2" t="s">
        <v>37</v>
      </c>
      <c r="R913" s="2">
        <v>1</v>
      </c>
      <c r="S913" s="2">
        <v>6</v>
      </c>
      <c r="T913" s="2" t="s">
        <v>36</v>
      </c>
      <c r="U913" s="2" t="s">
        <v>79</v>
      </c>
      <c r="V913" s="2" t="s">
        <v>66</v>
      </c>
      <c r="W913" s="3">
        <v>45386</v>
      </c>
      <c r="X913" s="2" t="b">
        <v>1</v>
      </c>
      <c r="Y913" s="2" t="b">
        <v>0</v>
      </c>
      <c r="Z913" s="2" t="s">
        <v>40</v>
      </c>
      <c r="AA913" s="2" t="s">
        <v>67</v>
      </c>
      <c r="AB913" s="2">
        <v>9</v>
      </c>
      <c r="AC913" s="2">
        <f>SUMIF(N:N,Ecommerce_Consumer_Behavior_Analysis_Data3[[#This Row],[Brand_Loyalty]],M:M)</f>
        <v>603</v>
      </c>
      <c r="AD913" s="2" t="e" cm="1" vm="1">
        <f t="array" aca="1" ref="AD913" ca="1">SUMIFS(Y:Y,Ecommerce_Consumer_Behavior_Analysis_Data3[[#This Row],[Payment_Method]],V:V)</f>
        <v>#VALUE!</v>
      </c>
      <c r="AE913" s="2">
        <f t="shared" si="18"/>
        <v>333.8</v>
      </c>
    </row>
    <row r="914" spans="1:31" x14ac:dyDescent="0.25">
      <c r="A914" s="2" t="s">
        <v>1892</v>
      </c>
      <c r="B914" s="2">
        <v>31</v>
      </c>
      <c r="C914" s="2" t="s">
        <v>29</v>
      </c>
      <c r="D914" s="2" t="s">
        <v>30</v>
      </c>
      <c r="E914" s="2" t="s">
        <v>55</v>
      </c>
      <c r="F914" s="2" t="s">
        <v>45</v>
      </c>
      <c r="G914" s="2" t="s">
        <v>30</v>
      </c>
      <c r="H914" s="2" t="s">
        <v>1893</v>
      </c>
      <c r="I914" s="2" t="s">
        <v>183</v>
      </c>
      <c r="J914" s="2">
        <v>278.20999999999998</v>
      </c>
      <c r="K914" s="2">
        <v>3</v>
      </c>
      <c r="L914" s="2" t="s">
        <v>35</v>
      </c>
      <c r="M914" s="2">
        <v>5</v>
      </c>
      <c r="N914" s="2">
        <v>1</v>
      </c>
      <c r="O914" s="2">
        <v>2</v>
      </c>
      <c r="P914" s="2" t="s">
        <v>59</v>
      </c>
      <c r="Q914" s="2" t="s">
        <v>37</v>
      </c>
      <c r="R914" s="2">
        <v>0</v>
      </c>
      <c r="S914" s="2">
        <v>7</v>
      </c>
      <c r="T914" s="2" t="s">
        <v>59</v>
      </c>
      <c r="U914" s="2" t="s">
        <v>38</v>
      </c>
      <c r="V914" s="2" t="s">
        <v>66</v>
      </c>
      <c r="W914" s="3">
        <v>45587</v>
      </c>
      <c r="X914" s="2" t="b">
        <v>1</v>
      </c>
      <c r="Y914" s="2" t="b">
        <v>0</v>
      </c>
      <c r="Z914" s="2" t="s">
        <v>40</v>
      </c>
      <c r="AA914" s="2" t="s">
        <v>41</v>
      </c>
      <c r="AB914" s="2">
        <v>14</v>
      </c>
      <c r="AC914" s="2">
        <f>SUMIF(N:N,Ecommerce_Consumer_Behavior_Analysis_Data3[[#This Row],[Brand_Loyalty]],M:M)</f>
        <v>641</v>
      </c>
      <c r="AD914" s="2" t="e" cm="1" vm="1">
        <f t="array" aca="1" ref="AD914" ca="1">SUMIFS(Y:Y,Ecommerce_Consumer_Behavior_Analysis_Data3[[#This Row],[Payment_Method]],V:V)</f>
        <v>#VALUE!</v>
      </c>
      <c r="AE914" s="2">
        <f t="shared" si="18"/>
        <v>211.7</v>
      </c>
    </row>
    <row r="915" spans="1:31" x14ac:dyDescent="0.25">
      <c r="A915" s="2" t="s">
        <v>1894</v>
      </c>
      <c r="B915" s="2">
        <v>31</v>
      </c>
      <c r="C915" s="2" t="s">
        <v>29</v>
      </c>
      <c r="D915" s="2" t="s">
        <v>44</v>
      </c>
      <c r="E915" s="2" t="s">
        <v>31</v>
      </c>
      <c r="F915" s="2" t="s">
        <v>56</v>
      </c>
      <c r="G915" s="2" t="s">
        <v>44</v>
      </c>
      <c r="H915" s="2" t="s">
        <v>1895</v>
      </c>
      <c r="I915" s="2" t="s">
        <v>142</v>
      </c>
      <c r="J915" s="2">
        <v>344.43</v>
      </c>
      <c r="K915" s="2">
        <v>7</v>
      </c>
      <c r="L915" s="2" t="s">
        <v>78</v>
      </c>
      <c r="M915" s="2">
        <v>3</v>
      </c>
      <c r="N915" s="2">
        <v>5</v>
      </c>
      <c r="O915" s="2">
        <v>0</v>
      </c>
      <c r="P915" s="2" t="s">
        <v>49</v>
      </c>
      <c r="Q915" s="2" t="s">
        <v>50</v>
      </c>
      <c r="R915" s="2">
        <v>2</v>
      </c>
      <c r="S915" s="2">
        <v>4</v>
      </c>
      <c r="T915" s="2" t="s">
        <v>49</v>
      </c>
      <c r="U915" s="2" t="s">
        <v>79</v>
      </c>
      <c r="V915" s="2" t="s">
        <v>39</v>
      </c>
      <c r="W915" s="3">
        <v>45485</v>
      </c>
      <c r="X915" s="2" t="b">
        <v>1</v>
      </c>
      <c r="Y915" s="2" t="b">
        <v>0</v>
      </c>
      <c r="Z915" s="2" t="s">
        <v>62</v>
      </c>
      <c r="AA915" s="2" t="s">
        <v>53</v>
      </c>
      <c r="AB915" s="2">
        <v>5</v>
      </c>
      <c r="AC915" s="2">
        <f>SUMIF(N:N,Ecommerce_Consumer_Behavior_Analysis_Data3[[#This Row],[Brand_Loyalty]],M:M)</f>
        <v>597</v>
      </c>
      <c r="AD915" s="2" t="e" cm="1" vm="1">
        <f t="array" aca="1" ref="AD915" ca="1">SUMIFS(Y:Y,Ecommerce_Consumer_Behavior_Analysis_Data3[[#This Row],[Payment_Method]],V:V)</f>
        <v>#VALUE!</v>
      </c>
      <c r="AE915" s="2">
        <f t="shared" si="18"/>
        <v>333.8</v>
      </c>
    </row>
    <row r="916" spans="1:31" x14ac:dyDescent="0.25">
      <c r="A916" s="2" t="s">
        <v>1896</v>
      </c>
      <c r="B916" s="2">
        <v>26</v>
      </c>
      <c r="C916" s="2" t="s">
        <v>43</v>
      </c>
      <c r="D916" s="2" t="s">
        <v>44</v>
      </c>
      <c r="E916" s="2" t="s">
        <v>55</v>
      </c>
      <c r="F916" s="2" t="s">
        <v>56</v>
      </c>
      <c r="G916" s="2" t="s">
        <v>44</v>
      </c>
      <c r="H916" s="2" t="s">
        <v>1897</v>
      </c>
      <c r="I916" s="2" t="s">
        <v>123</v>
      </c>
      <c r="J916" s="2">
        <v>326.08</v>
      </c>
      <c r="K916" s="2">
        <v>11</v>
      </c>
      <c r="L916" s="2" t="s">
        <v>48</v>
      </c>
      <c r="M916" s="2">
        <v>4</v>
      </c>
      <c r="N916" s="2">
        <v>3</v>
      </c>
      <c r="O916" s="2">
        <v>2</v>
      </c>
      <c r="P916" s="2" t="s">
        <v>49</v>
      </c>
      <c r="Q916" s="2" t="s">
        <v>50</v>
      </c>
      <c r="R916" s="2">
        <v>2</v>
      </c>
      <c r="S916" s="2">
        <v>6</v>
      </c>
      <c r="T916" s="2" t="s">
        <v>49</v>
      </c>
      <c r="U916" s="2" t="s">
        <v>38</v>
      </c>
      <c r="V916" s="2" t="s">
        <v>51</v>
      </c>
      <c r="W916" s="3">
        <v>45473</v>
      </c>
      <c r="X916" s="2" t="b">
        <v>1</v>
      </c>
      <c r="Y916" s="2" t="b">
        <v>1</v>
      </c>
      <c r="Z916" s="2" t="s">
        <v>62</v>
      </c>
      <c r="AA916" s="2" t="s">
        <v>67</v>
      </c>
      <c r="AB916" s="2">
        <v>8</v>
      </c>
      <c r="AC916" s="2">
        <f>SUMIF(N:N,Ecommerce_Consumer_Behavior_Analysis_Data3[[#This Row],[Brand_Loyalty]],M:M)</f>
        <v>603</v>
      </c>
      <c r="AD916" s="2" t="e" cm="1" vm="1">
        <f t="array" aca="1" ref="AD916" ca="1">SUMIFS(Y:Y,Ecommerce_Consumer_Behavior_Analysis_Data3[[#This Row],[Payment_Method]],V:V)</f>
        <v>#VALUE!</v>
      </c>
      <c r="AE916" s="2">
        <f t="shared" si="18"/>
        <v>211.7</v>
      </c>
    </row>
    <row r="917" spans="1:31" x14ac:dyDescent="0.25">
      <c r="A917" s="2" t="s">
        <v>1898</v>
      </c>
      <c r="B917" s="2">
        <v>49</v>
      </c>
      <c r="C917" s="2" t="s">
        <v>43</v>
      </c>
      <c r="D917" s="2" t="s">
        <v>44</v>
      </c>
      <c r="E917" s="2" t="s">
        <v>31</v>
      </c>
      <c r="F917" s="2" t="s">
        <v>32</v>
      </c>
      <c r="G917" s="2" t="s">
        <v>30</v>
      </c>
      <c r="H917" s="2" t="s">
        <v>277</v>
      </c>
      <c r="I917" s="2" t="s">
        <v>34</v>
      </c>
      <c r="J917" s="2">
        <v>437.97</v>
      </c>
      <c r="K917" s="2">
        <v>8</v>
      </c>
      <c r="L917" s="2" t="s">
        <v>78</v>
      </c>
      <c r="M917" s="2">
        <v>4</v>
      </c>
      <c r="N917" s="2">
        <v>2</v>
      </c>
      <c r="O917" s="2">
        <v>0</v>
      </c>
      <c r="P917" s="2" t="s">
        <v>44</v>
      </c>
      <c r="Q917" s="2" t="s">
        <v>50</v>
      </c>
      <c r="R917" s="2">
        <v>0</v>
      </c>
      <c r="S917" s="2">
        <v>7</v>
      </c>
      <c r="T917" s="2" t="s">
        <v>49</v>
      </c>
      <c r="U917" s="2" t="s">
        <v>38</v>
      </c>
      <c r="V917" s="2" t="s">
        <v>61</v>
      </c>
      <c r="W917" s="3">
        <v>45384</v>
      </c>
      <c r="X917" s="2" t="b">
        <v>1</v>
      </c>
      <c r="Y917" s="2" t="b">
        <v>1</v>
      </c>
      <c r="Z917" s="2" t="s">
        <v>40</v>
      </c>
      <c r="AA917" s="2" t="s">
        <v>67</v>
      </c>
      <c r="AB917" s="2">
        <v>12</v>
      </c>
      <c r="AC917" s="2">
        <f>SUMIF(N:N,Ecommerce_Consumer_Behavior_Analysis_Data3[[#This Row],[Brand_Loyalty]],M:M)</f>
        <v>603</v>
      </c>
      <c r="AD917" s="2" t="e" cm="1" vm="1">
        <f t="array" aca="1" ref="AD917" ca="1">SUMIFS(Y:Y,Ecommerce_Consumer_Behavior_Analysis_Data3[[#This Row],[Payment_Method]],V:V)</f>
        <v>#VALUE!</v>
      </c>
      <c r="AE917" s="2">
        <f t="shared" si="18"/>
        <v>333.8</v>
      </c>
    </row>
    <row r="918" spans="1:31" x14ac:dyDescent="0.25">
      <c r="A918" s="2" t="s">
        <v>1899</v>
      </c>
      <c r="B918" s="2">
        <v>23</v>
      </c>
      <c r="C918" s="2" t="s">
        <v>43</v>
      </c>
      <c r="D918" s="2" t="s">
        <v>44</v>
      </c>
      <c r="E918" s="2" t="s">
        <v>55</v>
      </c>
      <c r="F918" s="2" t="s">
        <v>56</v>
      </c>
      <c r="G918" s="2" t="s">
        <v>44</v>
      </c>
      <c r="H918" s="2" t="s">
        <v>856</v>
      </c>
      <c r="I918" s="2" t="s">
        <v>114</v>
      </c>
      <c r="J918" s="2">
        <v>391.87</v>
      </c>
      <c r="K918" s="2">
        <v>3</v>
      </c>
      <c r="L918" s="2" t="s">
        <v>78</v>
      </c>
      <c r="M918" s="2">
        <v>1</v>
      </c>
      <c r="N918" s="2">
        <v>4</v>
      </c>
      <c r="O918" s="2">
        <v>2</v>
      </c>
      <c r="P918" s="2" t="s">
        <v>44</v>
      </c>
      <c r="Q918" s="2" t="s">
        <v>85</v>
      </c>
      <c r="R918" s="2">
        <v>0</v>
      </c>
      <c r="S918" s="2">
        <v>2</v>
      </c>
      <c r="T918" s="2" t="s">
        <v>49</v>
      </c>
      <c r="U918" s="2" t="s">
        <v>79</v>
      </c>
      <c r="V918" s="2" t="s">
        <v>86</v>
      </c>
      <c r="W918" s="3">
        <v>45338</v>
      </c>
      <c r="X918" s="2" t="b">
        <v>1</v>
      </c>
      <c r="Y918" s="2" t="b">
        <v>0</v>
      </c>
      <c r="Z918" s="2" t="s">
        <v>74</v>
      </c>
      <c r="AA918" s="2" t="s">
        <v>53</v>
      </c>
      <c r="AB918" s="2">
        <v>6</v>
      </c>
      <c r="AC918" s="2">
        <f>SUMIF(N:N,Ecommerce_Consumer_Behavior_Analysis_Data3[[#This Row],[Brand_Loyalty]],M:M)</f>
        <v>603</v>
      </c>
      <c r="AD918" s="2" t="e" cm="1" vm="1">
        <f t="array" aca="1" ref="AD918" ca="1">SUMIFS(Y:Y,Ecommerce_Consumer_Behavior_Analysis_Data3[[#This Row],[Payment_Method]],V:V)</f>
        <v>#VALUE!</v>
      </c>
      <c r="AE918" s="2">
        <f t="shared" si="18"/>
        <v>101.31</v>
      </c>
    </row>
    <row r="919" spans="1:31" x14ac:dyDescent="0.25">
      <c r="A919" s="2" t="s">
        <v>1900</v>
      </c>
      <c r="B919" s="2">
        <v>42</v>
      </c>
      <c r="C919" s="2" t="s">
        <v>43</v>
      </c>
      <c r="D919" s="2" t="s">
        <v>44</v>
      </c>
      <c r="E919" s="2" t="s">
        <v>55</v>
      </c>
      <c r="F919" s="2" t="s">
        <v>56</v>
      </c>
      <c r="G919" s="2" t="s">
        <v>30</v>
      </c>
      <c r="H919" s="2" t="s">
        <v>1901</v>
      </c>
      <c r="I919" s="2" t="s">
        <v>194</v>
      </c>
      <c r="J919" s="2">
        <v>333.41</v>
      </c>
      <c r="K919" s="2">
        <v>3</v>
      </c>
      <c r="L919" s="2" t="s">
        <v>78</v>
      </c>
      <c r="M919" s="2">
        <v>2</v>
      </c>
      <c r="N919" s="2">
        <v>5</v>
      </c>
      <c r="O919" s="2">
        <v>1</v>
      </c>
      <c r="P919" s="2" t="s">
        <v>44</v>
      </c>
      <c r="Q919" s="2" t="s">
        <v>85</v>
      </c>
      <c r="R919" s="2">
        <v>1</v>
      </c>
      <c r="S919" s="2">
        <v>6</v>
      </c>
      <c r="T919" s="2" t="s">
        <v>36</v>
      </c>
      <c r="U919" s="2" t="s">
        <v>38</v>
      </c>
      <c r="V919" s="2" t="s">
        <v>51</v>
      </c>
      <c r="W919" s="3">
        <v>45322</v>
      </c>
      <c r="X919" s="2" t="b">
        <v>0</v>
      </c>
      <c r="Y919" s="2" t="b">
        <v>0</v>
      </c>
      <c r="Z919" s="2" t="s">
        <v>74</v>
      </c>
      <c r="AA919" s="2" t="s">
        <v>53</v>
      </c>
      <c r="AB919" s="2">
        <v>3</v>
      </c>
      <c r="AC919" s="2">
        <f>SUMIF(N:N,Ecommerce_Consumer_Behavior_Analysis_Data3[[#This Row],[Brand_Loyalty]],M:M)</f>
        <v>582</v>
      </c>
      <c r="AD919" s="2" t="e" cm="1" vm="1">
        <f t="array" aca="1" ref="AD919" ca="1">SUMIFS(Y:Y,Ecommerce_Consumer_Behavior_Analysis_Data3[[#This Row],[Payment_Method]],V:V)</f>
        <v>#VALUE!</v>
      </c>
      <c r="AE919" s="2">
        <f t="shared" si="18"/>
        <v>211.7</v>
      </c>
    </row>
    <row r="920" spans="1:31" x14ac:dyDescent="0.25">
      <c r="A920" s="2" t="s">
        <v>1902</v>
      </c>
      <c r="B920" s="2">
        <v>32</v>
      </c>
      <c r="C920" s="2" t="s">
        <v>43</v>
      </c>
      <c r="D920" s="2" t="s">
        <v>30</v>
      </c>
      <c r="E920" s="2" t="s">
        <v>55</v>
      </c>
      <c r="F920" s="2" t="s">
        <v>32</v>
      </c>
      <c r="G920" s="2" t="s">
        <v>44</v>
      </c>
      <c r="H920" s="2" t="s">
        <v>1903</v>
      </c>
      <c r="I920" s="2" t="s">
        <v>158</v>
      </c>
      <c r="J920" s="2">
        <v>251.54</v>
      </c>
      <c r="K920" s="2">
        <v>9</v>
      </c>
      <c r="L920" s="2" t="s">
        <v>78</v>
      </c>
      <c r="M920" s="2">
        <v>5</v>
      </c>
      <c r="N920" s="2">
        <v>1</v>
      </c>
      <c r="O920" s="2">
        <v>0</v>
      </c>
      <c r="P920" s="2" t="s">
        <v>44</v>
      </c>
      <c r="Q920" s="2" t="s">
        <v>50</v>
      </c>
      <c r="R920" s="2">
        <v>2</v>
      </c>
      <c r="S920" s="2">
        <v>10</v>
      </c>
      <c r="T920" s="2" t="s">
        <v>59</v>
      </c>
      <c r="U920" s="2" t="s">
        <v>79</v>
      </c>
      <c r="V920" s="2" t="s">
        <v>51</v>
      </c>
      <c r="W920" s="3">
        <v>45574</v>
      </c>
      <c r="X920" s="2" t="b">
        <v>1</v>
      </c>
      <c r="Y920" s="2" t="b">
        <v>0</v>
      </c>
      <c r="Z920" s="2" t="s">
        <v>62</v>
      </c>
      <c r="AA920" s="2" t="s">
        <v>41</v>
      </c>
      <c r="AB920" s="2">
        <v>1</v>
      </c>
      <c r="AC920" s="2">
        <f>SUMIF(N:N,Ecommerce_Consumer_Behavior_Analysis_Data3[[#This Row],[Brand_Loyalty]],M:M)</f>
        <v>641</v>
      </c>
      <c r="AD920" s="2" t="e" cm="1" vm="1">
        <f t="array" aca="1" ref="AD920" ca="1">SUMIFS(Y:Y,Ecommerce_Consumer_Behavior_Analysis_Data3[[#This Row],[Payment_Method]],V:V)</f>
        <v>#VALUE!</v>
      </c>
      <c r="AE920" s="2">
        <f t="shared" si="18"/>
        <v>101.31</v>
      </c>
    </row>
    <row r="921" spans="1:31" x14ac:dyDescent="0.25">
      <c r="A921" s="2" t="s">
        <v>1904</v>
      </c>
      <c r="B921" s="2">
        <v>37</v>
      </c>
      <c r="C921" s="2" t="s">
        <v>29</v>
      </c>
      <c r="D921" s="2" t="s">
        <v>30</v>
      </c>
      <c r="E921" s="2" t="s">
        <v>55</v>
      </c>
      <c r="F921" s="2" t="s">
        <v>45</v>
      </c>
      <c r="G921" s="2" t="s">
        <v>30</v>
      </c>
      <c r="H921" s="2" t="s">
        <v>1905</v>
      </c>
      <c r="I921" s="2" t="s">
        <v>117</v>
      </c>
      <c r="J921" s="2">
        <v>292.08</v>
      </c>
      <c r="K921" s="2">
        <v>7</v>
      </c>
      <c r="L921" s="2" t="s">
        <v>48</v>
      </c>
      <c r="M921" s="2">
        <v>3</v>
      </c>
      <c r="N921" s="2">
        <v>2</v>
      </c>
      <c r="O921" s="2">
        <v>1</v>
      </c>
      <c r="P921" s="2" t="s">
        <v>44</v>
      </c>
      <c r="Q921" s="2" t="s">
        <v>37</v>
      </c>
      <c r="R921" s="2">
        <v>2</v>
      </c>
      <c r="S921" s="2">
        <v>9</v>
      </c>
      <c r="T921" s="2" t="s">
        <v>59</v>
      </c>
      <c r="U921" s="2" t="s">
        <v>60</v>
      </c>
      <c r="V921" s="2" t="s">
        <v>39</v>
      </c>
      <c r="W921" s="3">
        <v>45391</v>
      </c>
      <c r="X921" s="2" t="b">
        <v>0</v>
      </c>
      <c r="Y921" s="2" t="b">
        <v>0</v>
      </c>
      <c r="Z921" s="2" t="s">
        <v>40</v>
      </c>
      <c r="AA921" s="2" t="s">
        <v>53</v>
      </c>
      <c r="AB921" s="2">
        <v>11</v>
      </c>
      <c r="AC921" s="2">
        <f>SUMIF(N:N,Ecommerce_Consumer_Behavior_Analysis_Data3[[#This Row],[Brand_Loyalty]],M:M)</f>
        <v>597</v>
      </c>
      <c r="AD921" s="2" t="e" cm="1" vm="1">
        <f t="array" aca="1" ref="AD921" ca="1">SUMIFS(Y:Y,Ecommerce_Consumer_Behavior_Analysis_Data3[[#This Row],[Payment_Method]],V:V)</f>
        <v>#VALUE!</v>
      </c>
      <c r="AE921" s="2">
        <f t="shared" si="18"/>
        <v>211.7</v>
      </c>
    </row>
    <row r="922" spans="1:31" x14ac:dyDescent="0.25">
      <c r="A922" s="2" t="s">
        <v>1906</v>
      </c>
      <c r="B922" s="2">
        <v>25</v>
      </c>
      <c r="C922" s="2" t="s">
        <v>212</v>
      </c>
      <c r="D922" s="2" t="s">
        <v>44</v>
      </c>
      <c r="E922" s="2" t="s">
        <v>69</v>
      </c>
      <c r="F922" s="2" t="s">
        <v>32</v>
      </c>
      <c r="G922" s="2" t="s">
        <v>30</v>
      </c>
      <c r="H922" s="2" t="s">
        <v>1907</v>
      </c>
      <c r="I922" s="2" t="s">
        <v>194</v>
      </c>
      <c r="J922" s="2">
        <v>204.29</v>
      </c>
      <c r="K922" s="2">
        <v>11</v>
      </c>
      <c r="L922" s="2" t="s">
        <v>48</v>
      </c>
      <c r="M922" s="2">
        <v>5</v>
      </c>
      <c r="N922" s="2">
        <v>4</v>
      </c>
      <c r="O922" s="2">
        <v>0</v>
      </c>
      <c r="P922" s="2" t="s">
        <v>36</v>
      </c>
      <c r="Q922" s="2" t="s">
        <v>50</v>
      </c>
      <c r="R922" s="2">
        <v>2</v>
      </c>
      <c r="S922" s="2">
        <v>1</v>
      </c>
      <c r="T922" s="2" t="s">
        <v>49</v>
      </c>
      <c r="U922" s="2" t="s">
        <v>60</v>
      </c>
      <c r="V922" s="2" t="s">
        <v>51</v>
      </c>
      <c r="W922" s="3">
        <v>45428</v>
      </c>
      <c r="X922" s="2" t="b">
        <v>0</v>
      </c>
      <c r="Y922" s="2" t="b">
        <v>0</v>
      </c>
      <c r="Z922" s="2" t="s">
        <v>62</v>
      </c>
      <c r="AA922" s="2" t="s">
        <v>67</v>
      </c>
      <c r="AB922" s="2">
        <v>12</v>
      </c>
      <c r="AC922" s="2">
        <f>SUMIF(N:N,Ecommerce_Consumer_Behavior_Analysis_Data3[[#This Row],[Brand_Loyalty]],M:M)</f>
        <v>641</v>
      </c>
      <c r="AD922" s="2" t="e" cm="1" vm="1">
        <f t="array" aca="1" ref="AD922" ca="1">SUMIFS(Y:Y,Ecommerce_Consumer_Behavior_Analysis_Data3[[#This Row],[Payment_Method]],V:V)</f>
        <v>#VALUE!</v>
      </c>
      <c r="AE922" s="2">
        <f t="shared" si="18"/>
        <v>101.31</v>
      </c>
    </row>
    <row r="923" spans="1:31" x14ac:dyDescent="0.25">
      <c r="A923" s="2" t="s">
        <v>1908</v>
      </c>
      <c r="B923" s="2">
        <v>49</v>
      </c>
      <c r="C923" s="2" t="s">
        <v>43</v>
      </c>
      <c r="D923" s="2" t="s">
        <v>30</v>
      </c>
      <c r="E923" s="2" t="s">
        <v>55</v>
      </c>
      <c r="F923" s="2" t="s">
        <v>45</v>
      </c>
      <c r="G923" s="2" t="s">
        <v>30</v>
      </c>
      <c r="H923" s="2" t="s">
        <v>1909</v>
      </c>
      <c r="I923" s="2" t="s">
        <v>114</v>
      </c>
      <c r="J923" s="2">
        <v>258.68</v>
      </c>
      <c r="K923" s="2">
        <v>4</v>
      </c>
      <c r="L923" s="2" t="s">
        <v>78</v>
      </c>
      <c r="M923" s="2">
        <v>4</v>
      </c>
      <c r="N923" s="2">
        <v>2</v>
      </c>
      <c r="O923" s="2">
        <v>1</v>
      </c>
      <c r="P923" s="2" t="s">
        <v>59</v>
      </c>
      <c r="Q923" s="2" t="s">
        <v>37</v>
      </c>
      <c r="R923" s="2">
        <v>0</v>
      </c>
      <c r="S923" s="2">
        <v>9</v>
      </c>
      <c r="T923" s="2" t="s">
        <v>36</v>
      </c>
      <c r="U923" s="2" t="s">
        <v>79</v>
      </c>
      <c r="V923" s="2" t="s">
        <v>39</v>
      </c>
      <c r="W923" s="3">
        <v>45587</v>
      </c>
      <c r="X923" s="2" t="b">
        <v>0</v>
      </c>
      <c r="Y923" s="2" t="b">
        <v>0</v>
      </c>
      <c r="Z923" s="2" t="s">
        <v>62</v>
      </c>
      <c r="AA923" s="2" t="s">
        <v>41</v>
      </c>
      <c r="AB923" s="2">
        <v>9</v>
      </c>
      <c r="AC923" s="2">
        <f>SUMIF(N:N,Ecommerce_Consumer_Behavior_Analysis_Data3[[#This Row],[Brand_Loyalty]],M:M)</f>
        <v>603</v>
      </c>
      <c r="AD923" s="2" t="e" cm="1" vm="1">
        <f t="array" aca="1" ref="AD923" ca="1">SUMIFS(Y:Y,Ecommerce_Consumer_Behavior_Analysis_Data3[[#This Row],[Payment_Method]],V:V)</f>
        <v>#VALUE!</v>
      </c>
      <c r="AE923" s="2">
        <f t="shared" si="18"/>
        <v>101.31</v>
      </c>
    </row>
    <row r="924" spans="1:31" x14ac:dyDescent="0.25">
      <c r="A924" s="2" t="s">
        <v>1910</v>
      </c>
      <c r="B924" s="2">
        <v>26</v>
      </c>
      <c r="C924" s="2" t="s">
        <v>43</v>
      </c>
      <c r="D924" s="2" t="s">
        <v>30</v>
      </c>
      <c r="E924" s="2" t="s">
        <v>31</v>
      </c>
      <c r="F924" s="2" t="s">
        <v>32</v>
      </c>
      <c r="G924" s="2" t="s">
        <v>44</v>
      </c>
      <c r="H924" s="2" t="s">
        <v>1911</v>
      </c>
      <c r="I924" s="2" t="s">
        <v>34</v>
      </c>
      <c r="J924" s="2">
        <v>258.02</v>
      </c>
      <c r="K924" s="2">
        <v>2</v>
      </c>
      <c r="L924" s="2" t="s">
        <v>48</v>
      </c>
      <c r="M924" s="2">
        <v>3</v>
      </c>
      <c r="N924" s="2">
        <v>2</v>
      </c>
      <c r="O924" s="2">
        <v>1</v>
      </c>
      <c r="P924" s="2" t="s">
        <v>59</v>
      </c>
      <c r="Q924" s="2" t="s">
        <v>85</v>
      </c>
      <c r="R924" s="2">
        <v>2</v>
      </c>
      <c r="S924" s="2">
        <v>4</v>
      </c>
      <c r="T924" s="2" t="s">
        <v>44</v>
      </c>
      <c r="U924" s="2" t="s">
        <v>79</v>
      </c>
      <c r="V924" s="2" t="s">
        <v>51</v>
      </c>
      <c r="W924" s="3">
        <v>45604</v>
      </c>
      <c r="X924" s="2" t="b">
        <v>1</v>
      </c>
      <c r="Y924" s="2" t="b">
        <v>1</v>
      </c>
      <c r="Z924" s="2" t="s">
        <v>40</v>
      </c>
      <c r="AA924" s="2" t="s">
        <v>67</v>
      </c>
      <c r="AB924" s="2">
        <v>13</v>
      </c>
      <c r="AC924" s="2">
        <f>SUMIF(N:N,Ecommerce_Consumer_Behavior_Analysis_Data3[[#This Row],[Brand_Loyalty]],M:M)</f>
        <v>597</v>
      </c>
      <c r="AD924" s="2" t="e" cm="1" vm="1">
        <f t="array" aca="1" ref="AD924" ca="1">SUMIFS(Y:Y,Ecommerce_Consumer_Behavior_Analysis_Data3[[#This Row],[Payment_Method]],V:V)</f>
        <v>#VALUE!</v>
      </c>
      <c r="AE924" s="2">
        <f t="shared" si="18"/>
        <v>101.31</v>
      </c>
    </row>
    <row r="925" spans="1:31" x14ac:dyDescent="0.25">
      <c r="A925" s="2" t="s">
        <v>1912</v>
      </c>
      <c r="B925" s="2">
        <v>29</v>
      </c>
      <c r="C925" s="2" t="s">
        <v>29</v>
      </c>
      <c r="D925" s="2" t="s">
        <v>44</v>
      </c>
      <c r="E925" s="2" t="s">
        <v>55</v>
      </c>
      <c r="F925" s="2" t="s">
        <v>56</v>
      </c>
      <c r="G925" s="2" t="s">
        <v>30</v>
      </c>
      <c r="H925" s="2" t="s">
        <v>712</v>
      </c>
      <c r="I925" s="2" t="s">
        <v>34</v>
      </c>
      <c r="J925" s="2">
        <v>181.87</v>
      </c>
      <c r="K925" s="2">
        <v>12</v>
      </c>
      <c r="L925" s="2" t="s">
        <v>35</v>
      </c>
      <c r="M925" s="2">
        <v>4</v>
      </c>
      <c r="N925" s="2">
        <v>1</v>
      </c>
      <c r="O925" s="2">
        <v>1</v>
      </c>
      <c r="P925" s="2" t="s">
        <v>49</v>
      </c>
      <c r="Q925" s="2" t="s">
        <v>50</v>
      </c>
      <c r="R925" s="2">
        <v>2</v>
      </c>
      <c r="S925" s="2">
        <v>4</v>
      </c>
      <c r="T925" s="2" t="s">
        <v>44</v>
      </c>
      <c r="U925" s="2" t="s">
        <v>79</v>
      </c>
      <c r="V925" s="2" t="s">
        <v>61</v>
      </c>
      <c r="W925" s="3">
        <v>45536</v>
      </c>
      <c r="X925" s="2" t="b">
        <v>0</v>
      </c>
      <c r="Y925" s="2" t="b">
        <v>1</v>
      </c>
      <c r="Z925" s="2" t="s">
        <v>52</v>
      </c>
      <c r="AA925" s="2" t="s">
        <v>41</v>
      </c>
      <c r="AB925" s="2">
        <v>11</v>
      </c>
      <c r="AC925" s="2">
        <f>SUMIF(N:N,Ecommerce_Consumer_Behavior_Analysis_Data3[[#This Row],[Brand_Loyalty]],M:M)</f>
        <v>603</v>
      </c>
      <c r="AD925" s="2" t="e" cm="1" vm="1">
        <f t="array" aca="1" ref="AD925" ca="1">SUMIFS(Y:Y,Ecommerce_Consumer_Behavior_Analysis_Data3[[#This Row],[Payment_Method]],V:V)</f>
        <v>#VALUE!</v>
      </c>
      <c r="AE925" s="2">
        <f t="shared" si="18"/>
        <v>101.31</v>
      </c>
    </row>
    <row r="926" spans="1:31" x14ac:dyDescent="0.25">
      <c r="A926" s="2" t="s">
        <v>1913</v>
      </c>
      <c r="B926" s="2">
        <v>26</v>
      </c>
      <c r="C926" s="2" t="s">
        <v>43</v>
      </c>
      <c r="D926" s="2" t="s">
        <v>44</v>
      </c>
      <c r="E926" s="2" t="s">
        <v>76</v>
      </c>
      <c r="F926" s="2" t="s">
        <v>45</v>
      </c>
      <c r="G926" s="2" t="s">
        <v>30</v>
      </c>
      <c r="H926" s="2" t="s">
        <v>1914</v>
      </c>
      <c r="I926" s="2" t="s">
        <v>158</v>
      </c>
      <c r="J926" s="2">
        <v>81.180000000000007</v>
      </c>
      <c r="K926" s="2">
        <v>8</v>
      </c>
      <c r="L926" s="2" t="s">
        <v>78</v>
      </c>
      <c r="M926" s="2">
        <v>4</v>
      </c>
      <c r="N926" s="2">
        <v>5</v>
      </c>
      <c r="O926" s="2">
        <v>1</v>
      </c>
      <c r="P926" s="2" t="s">
        <v>59</v>
      </c>
      <c r="Q926" s="2" t="s">
        <v>50</v>
      </c>
      <c r="R926" s="2">
        <v>2</v>
      </c>
      <c r="S926" s="2">
        <v>3</v>
      </c>
      <c r="T926" s="2" t="s">
        <v>44</v>
      </c>
      <c r="U926" s="2" t="s">
        <v>38</v>
      </c>
      <c r="V926" s="2" t="s">
        <v>86</v>
      </c>
      <c r="W926" s="3">
        <v>45429</v>
      </c>
      <c r="X926" s="2" t="b">
        <v>0</v>
      </c>
      <c r="Y926" s="2" t="b">
        <v>0</v>
      </c>
      <c r="Z926" s="2" t="s">
        <v>62</v>
      </c>
      <c r="AA926" s="2" t="s">
        <v>67</v>
      </c>
      <c r="AB926" s="2">
        <v>3</v>
      </c>
      <c r="AC926" s="2">
        <f>SUMIF(N:N,Ecommerce_Consumer_Behavior_Analysis_Data3[[#This Row],[Brand_Loyalty]],M:M)</f>
        <v>603</v>
      </c>
      <c r="AD926" s="2" t="e" cm="1" vm="1">
        <f t="array" aca="1" ref="AD926" ca="1">SUMIFS(Y:Y,Ecommerce_Consumer_Behavior_Analysis_Data3[[#This Row],[Payment_Method]],V:V)</f>
        <v>#VALUE!</v>
      </c>
      <c r="AE926" s="2">
        <f t="shared" si="18"/>
        <v>211.7</v>
      </c>
    </row>
    <row r="927" spans="1:31" x14ac:dyDescent="0.25">
      <c r="A927" s="2" t="s">
        <v>1915</v>
      </c>
      <c r="B927" s="2">
        <v>23</v>
      </c>
      <c r="C927" s="2" t="s">
        <v>29</v>
      </c>
      <c r="D927" s="2" t="s">
        <v>44</v>
      </c>
      <c r="E927" s="2" t="s">
        <v>76</v>
      </c>
      <c r="F927" s="2" t="s">
        <v>56</v>
      </c>
      <c r="G927" s="2" t="s">
        <v>44</v>
      </c>
      <c r="H927" s="2" t="s">
        <v>1916</v>
      </c>
      <c r="I927" s="2" t="s">
        <v>82</v>
      </c>
      <c r="J927" s="2">
        <v>382.94</v>
      </c>
      <c r="K927" s="2">
        <v>8</v>
      </c>
      <c r="L927" s="2" t="s">
        <v>48</v>
      </c>
      <c r="M927" s="2">
        <v>1</v>
      </c>
      <c r="N927" s="2">
        <v>3</v>
      </c>
      <c r="O927" s="2">
        <v>0</v>
      </c>
      <c r="P927" s="2" t="s">
        <v>49</v>
      </c>
      <c r="Q927" s="2" t="s">
        <v>50</v>
      </c>
      <c r="R927" s="2">
        <v>0</v>
      </c>
      <c r="S927" s="2">
        <v>6</v>
      </c>
      <c r="T927" s="2" t="s">
        <v>36</v>
      </c>
      <c r="U927" s="2" t="s">
        <v>79</v>
      </c>
      <c r="V927" s="2" t="s">
        <v>61</v>
      </c>
      <c r="W927" s="3">
        <v>45431</v>
      </c>
      <c r="X927" s="2" t="b">
        <v>0</v>
      </c>
      <c r="Y927" s="2" t="b">
        <v>0</v>
      </c>
      <c r="Z927" s="2" t="s">
        <v>40</v>
      </c>
      <c r="AA927" s="2" t="s">
        <v>53</v>
      </c>
      <c r="AB927" s="2">
        <v>3</v>
      </c>
      <c r="AC927" s="2">
        <f>SUMIF(N:N,Ecommerce_Consumer_Behavior_Analysis_Data3[[#This Row],[Brand_Loyalty]],M:M)</f>
        <v>603</v>
      </c>
      <c r="AD927" s="2" t="e" cm="1" vm="1">
        <f t="array" aca="1" ref="AD927" ca="1">SUMIFS(Y:Y,Ecommerce_Consumer_Behavior_Analysis_Data3[[#This Row],[Payment_Method]],V:V)</f>
        <v>#VALUE!</v>
      </c>
      <c r="AE927" s="2">
        <f t="shared" si="18"/>
        <v>211.7</v>
      </c>
    </row>
    <row r="928" spans="1:31" x14ac:dyDescent="0.25">
      <c r="A928" s="2" t="s">
        <v>1917</v>
      </c>
      <c r="B928" s="2">
        <v>47</v>
      </c>
      <c r="C928" s="2" t="s">
        <v>29</v>
      </c>
      <c r="D928" s="2" t="s">
        <v>44</v>
      </c>
      <c r="E928" s="2" t="s">
        <v>55</v>
      </c>
      <c r="F928" s="2" t="s">
        <v>32</v>
      </c>
      <c r="G928" s="2" t="s">
        <v>44</v>
      </c>
      <c r="H928" s="2" t="s">
        <v>1918</v>
      </c>
      <c r="I928" s="2" t="s">
        <v>188</v>
      </c>
      <c r="J928" s="2">
        <v>402.82</v>
      </c>
      <c r="K928" s="2">
        <v>7</v>
      </c>
      <c r="L928" s="2" t="s">
        <v>78</v>
      </c>
      <c r="M928" s="2">
        <v>4</v>
      </c>
      <c r="N928" s="2">
        <v>5</v>
      </c>
      <c r="O928" s="2">
        <v>0</v>
      </c>
      <c r="P928" s="2" t="s">
        <v>36</v>
      </c>
      <c r="Q928" s="2" t="s">
        <v>37</v>
      </c>
      <c r="R928" s="2">
        <v>2</v>
      </c>
      <c r="S928" s="2">
        <v>2</v>
      </c>
      <c r="T928" s="2" t="s">
        <v>59</v>
      </c>
      <c r="U928" s="2" t="s">
        <v>60</v>
      </c>
      <c r="V928" s="2" t="s">
        <v>61</v>
      </c>
      <c r="W928" s="3">
        <v>45316</v>
      </c>
      <c r="X928" s="2" t="b">
        <v>0</v>
      </c>
      <c r="Y928" s="2" t="b">
        <v>0</v>
      </c>
      <c r="Z928" s="2" t="s">
        <v>52</v>
      </c>
      <c r="AA928" s="2" t="s">
        <v>41</v>
      </c>
      <c r="AB928" s="2">
        <v>13</v>
      </c>
      <c r="AC928" s="2">
        <f>SUMIF(N:N,Ecommerce_Consumer_Behavior_Analysis_Data3[[#This Row],[Brand_Loyalty]],M:M)</f>
        <v>603</v>
      </c>
      <c r="AD928" s="2" t="e" cm="1" vm="1">
        <f t="array" aca="1" ref="AD928" ca="1">SUMIFS(Y:Y,Ecommerce_Consumer_Behavior_Analysis_Data3[[#This Row],[Payment_Method]],V:V)</f>
        <v>#VALUE!</v>
      </c>
      <c r="AE928" s="2">
        <f t="shared" si="18"/>
        <v>333.8</v>
      </c>
    </row>
    <row r="929" spans="1:31" x14ac:dyDescent="0.25">
      <c r="A929" s="2" t="s">
        <v>1919</v>
      </c>
      <c r="B929" s="2">
        <v>30</v>
      </c>
      <c r="C929" s="2" t="s">
        <v>43</v>
      </c>
      <c r="D929" s="2" t="s">
        <v>44</v>
      </c>
      <c r="E929" s="2" t="s">
        <v>55</v>
      </c>
      <c r="F929" s="2" t="s">
        <v>32</v>
      </c>
      <c r="G929" s="2" t="s">
        <v>30</v>
      </c>
      <c r="H929" s="2" t="s">
        <v>1920</v>
      </c>
      <c r="I929" s="2" t="s">
        <v>34</v>
      </c>
      <c r="J929" s="2">
        <v>497.76</v>
      </c>
      <c r="K929" s="2">
        <v>2</v>
      </c>
      <c r="L929" s="2" t="s">
        <v>48</v>
      </c>
      <c r="M929" s="2">
        <v>1</v>
      </c>
      <c r="N929" s="2">
        <v>2</v>
      </c>
      <c r="O929" s="2">
        <v>2</v>
      </c>
      <c r="P929" s="2" t="s">
        <v>44</v>
      </c>
      <c r="Q929" s="2" t="s">
        <v>85</v>
      </c>
      <c r="R929" s="2">
        <v>2</v>
      </c>
      <c r="S929" s="2">
        <v>3</v>
      </c>
      <c r="T929" s="2" t="s">
        <v>49</v>
      </c>
      <c r="U929" s="2" t="s">
        <v>60</v>
      </c>
      <c r="V929" s="2" t="s">
        <v>39</v>
      </c>
      <c r="W929" s="3">
        <v>45359</v>
      </c>
      <c r="X929" s="2" t="b">
        <v>1</v>
      </c>
      <c r="Y929" s="2" t="b">
        <v>1</v>
      </c>
      <c r="Z929" s="2" t="s">
        <v>52</v>
      </c>
      <c r="AA929" s="2" t="s">
        <v>41</v>
      </c>
      <c r="AB929" s="2">
        <v>4</v>
      </c>
      <c r="AC929" s="2">
        <f>SUMIF(N:N,Ecommerce_Consumer_Behavior_Analysis_Data3[[#This Row],[Brand_Loyalty]],M:M)</f>
        <v>603</v>
      </c>
      <c r="AD929" s="2" t="e" cm="1" vm="1">
        <f t="array" aca="1" ref="AD929" ca="1">SUMIFS(Y:Y,Ecommerce_Consumer_Behavior_Analysis_Data3[[#This Row],[Payment_Method]],V:V)</f>
        <v>#VALUE!</v>
      </c>
      <c r="AE929" s="2">
        <f t="shared" si="18"/>
        <v>101.31</v>
      </c>
    </row>
    <row r="930" spans="1:31" x14ac:dyDescent="0.25">
      <c r="A930" s="2" t="s">
        <v>1921</v>
      </c>
      <c r="B930" s="2">
        <v>26</v>
      </c>
      <c r="C930" s="2" t="s">
        <v>29</v>
      </c>
      <c r="D930" s="2" t="s">
        <v>44</v>
      </c>
      <c r="E930" s="2" t="s">
        <v>55</v>
      </c>
      <c r="F930" s="2" t="s">
        <v>45</v>
      </c>
      <c r="G930" s="2" t="s">
        <v>44</v>
      </c>
      <c r="H930" s="2" t="s">
        <v>1922</v>
      </c>
      <c r="I930" s="2" t="s">
        <v>71</v>
      </c>
      <c r="J930" s="2">
        <v>227.58</v>
      </c>
      <c r="K930" s="2">
        <v>5</v>
      </c>
      <c r="L930" s="2" t="s">
        <v>78</v>
      </c>
      <c r="M930" s="2">
        <v>4</v>
      </c>
      <c r="N930" s="2">
        <v>2</v>
      </c>
      <c r="O930" s="2">
        <v>1</v>
      </c>
      <c r="P930" s="2" t="s">
        <v>44</v>
      </c>
      <c r="Q930" s="2" t="s">
        <v>50</v>
      </c>
      <c r="R930" s="2">
        <v>0</v>
      </c>
      <c r="S930" s="2">
        <v>1</v>
      </c>
      <c r="T930" s="2" t="s">
        <v>59</v>
      </c>
      <c r="U930" s="2" t="s">
        <v>38</v>
      </c>
      <c r="V930" s="2" t="s">
        <v>39</v>
      </c>
      <c r="W930" s="3">
        <v>45486</v>
      </c>
      <c r="X930" s="2" t="b">
        <v>1</v>
      </c>
      <c r="Y930" s="2" t="b">
        <v>0</v>
      </c>
      <c r="Z930" s="2" t="s">
        <v>40</v>
      </c>
      <c r="AA930" s="2" t="s">
        <v>41</v>
      </c>
      <c r="AB930" s="2">
        <v>11</v>
      </c>
      <c r="AC930" s="2">
        <f>SUMIF(N:N,Ecommerce_Consumer_Behavior_Analysis_Data3[[#This Row],[Brand_Loyalty]],M:M)</f>
        <v>603</v>
      </c>
      <c r="AD930" s="2" t="e" cm="1" vm="1">
        <f t="array" aca="1" ref="AD930" ca="1">SUMIFS(Y:Y,Ecommerce_Consumer_Behavior_Analysis_Data3[[#This Row],[Payment_Method]],V:V)</f>
        <v>#VALUE!</v>
      </c>
      <c r="AE930" s="2">
        <f t="shared" si="18"/>
        <v>211.7</v>
      </c>
    </row>
    <row r="931" spans="1:31" x14ac:dyDescent="0.25">
      <c r="A931" s="2" t="s">
        <v>1923</v>
      </c>
      <c r="B931" s="2">
        <v>35</v>
      </c>
      <c r="C931" s="2" t="s">
        <v>29</v>
      </c>
      <c r="D931" s="2" t="s">
        <v>44</v>
      </c>
      <c r="E931" s="2" t="s">
        <v>76</v>
      </c>
      <c r="F931" s="2" t="s">
        <v>32</v>
      </c>
      <c r="G931" s="2" t="s">
        <v>44</v>
      </c>
      <c r="H931" s="2" t="s">
        <v>1924</v>
      </c>
      <c r="I931" s="2" t="s">
        <v>117</v>
      </c>
      <c r="J931" s="2">
        <v>263.57</v>
      </c>
      <c r="K931" s="2">
        <v>2</v>
      </c>
      <c r="L931" s="2" t="s">
        <v>35</v>
      </c>
      <c r="M931" s="2">
        <v>2</v>
      </c>
      <c r="N931" s="2">
        <v>3</v>
      </c>
      <c r="O931" s="2">
        <v>0</v>
      </c>
      <c r="P931" s="2" t="s">
        <v>44</v>
      </c>
      <c r="Q931" s="2" t="s">
        <v>37</v>
      </c>
      <c r="R931" s="2">
        <v>1</v>
      </c>
      <c r="S931" s="2">
        <v>9</v>
      </c>
      <c r="T931" s="2" t="s">
        <v>36</v>
      </c>
      <c r="U931" s="2" t="s">
        <v>38</v>
      </c>
      <c r="V931" s="2" t="s">
        <v>51</v>
      </c>
      <c r="W931" s="3">
        <v>45617</v>
      </c>
      <c r="X931" s="2" t="b">
        <v>1</v>
      </c>
      <c r="Y931" s="2" t="b">
        <v>1</v>
      </c>
      <c r="Z931" s="2" t="s">
        <v>62</v>
      </c>
      <c r="AA931" s="2" t="s">
        <v>67</v>
      </c>
      <c r="AB931" s="2">
        <v>8</v>
      </c>
      <c r="AC931" s="2">
        <f>SUMIF(N:N,Ecommerce_Consumer_Behavior_Analysis_Data3[[#This Row],[Brand_Loyalty]],M:M)</f>
        <v>582</v>
      </c>
      <c r="AD931" s="2" t="e" cm="1" vm="1">
        <f t="array" aca="1" ref="AD931" ca="1">SUMIFS(Y:Y,Ecommerce_Consumer_Behavior_Analysis_Data3[[#This Row],[Payment_Method]],V:V)</f>
        <v>#VALUE!</v>
      </c>
      <c r="AE931" s="2">
        <f t="shared" si="18"/>
        <v>101.31</v>
      </c>
    </row>
    <row r="932" spans="1:31" x14ac:dyDescent="0.25">
      <c r="A932" s="2" t="s">
        <v>1925</v>
      </c>
      <c r="B932" s="2">
        <v>40</v>
      </c>
      <c r="C932" s="2" t="s">
        <v>43</v>
      </c>
      <c r="D932" s="2" t="s">
        <v>44</v>
      </c>
      <c r="E932" s="2" t="s">
        <v>31</v>
      </c>
      <c r="F932" s="2" t="s">
        <v>45</v>
      </c>
      <c r="G932" s="2" t="s">
        <v>44</v>
      </c>
      <c r="H932" s="2" t="s">
        <v>1926</v>
      </c>
      <c r="I932" s="2" t="s">
        <v>123</v>
      </c>
      <c r="J932" s="2">
        <v>422.09</v>
      </c>
      <c r="K932" s="2">
        <v>3</v>
      </c>
      <c r="L932" s="2" t="s">
        <v>48</v>
      </c>
      <c r="M932" s="2">
        <v>4</v>
      </c>
      <c r="N932" s="2">
        <v>1</v>
      </c>
      <c r="O932" s="2">
        <v>1</v>
      </c>
      <c r="P932" s="2" t="s">
        <v>44</v>
      </c>
      <c r="Q932" s="2" t="s">
        <v>50</v>
      </c>
      <c r="R932" s="2">
        <v>0</v>
      </c>
      <c r="S932" s="2">
        <v>9</v>
      </c>
      <c r="T932" s="2" t="s">
        <v>49</v>
      </c>
      <c r="U932" s="2" t="s">
        <v>38</v>
      </c>
      <c r="V932" s="2" t="s">
        <v>51</v>
      </c>
      <c r="W932" s="3">
        <v>45382</v>
      </c>
      <c r="X932" s="2" t="b">
        <v>1</v>
      </c>
      <c r="Y932" s="2" t="b">
        <v>0</v>
      </c>
      <c r="Z932" s="2" t="s">
        <v>40</v>
      </c>
      <c r="AA932" s="2" t="s">
        <v>53</v>
      </c>
      <c r="AB932" s="2">
        <v>7</v>
      </c>
      <c r="AC932" s="2">
        <f>SUMIF(N:N,Ecommerce_Consumer_Behavior_Analysis_Data3[[#This Row],[Brand_Loyalty]],M:M)</f>
        <v>603</v>
      </c>
      <c r="AD932" s="2" t="e" cm="1" vm="1">
        <f t="array" aca="1" ref="AD932" ca="1">SUMIFS(Y:Y,Ecommerce_Consumer_Behavior_Analysis_Data3[[#This Row],[Payment_Method]],V:V)</f>
        <v>#VALUE!</v>
      </c>
      <c r="AE932" s="2">
        <f t="shared" si="18"/>
        <v>333.8</v>
      </c>
    </row>
    <row r="933" spans="1:31" x14ac:dyDescent="0.25">
      <c r="A933" s="2" t="s">
        <v>1927</v>
      </c>
      <c r="B933" s="2">
        <v>35</v>
      </c>
      <c r="C933" s="2" t="s">
        <v>43</v>
      </c>
      <c r="D933" s="2" t="s">
        <v>30</v>
      </c>
      <c r="E933" s="2" t="s">
        <v>31</v>
      </c>
      <c r="F933" s="2" t="s">
        <v>56</v>
      </c>
      <c r="G933" s="2" t="s">
        <v>44</v>
      </c>
      <c r="H933" s="2" t="s">
        <v>1928</v>
      </c>
      <c r="I933" s="2" t="s">
        <v>34</v>
      </c>
      <c r="J933" s="2">
        <v>411.83</v>
      </c>
      <c r="K933" s="2">
        <v>2</v>
      </c>
      <c r="L933" s="2" t="s">
        <v>48</v>
      </c>
      <c r="M933" s="2">
        <v>2</v>
      </c>
      <c r="N933" s="2">
        <v>3</v>
      </c>
      <c r="O933" s="2">
        <v>2</v>
      </c>
      <c r="P933" s="2" t="s">
        <v>44</v>
      </c>
      <c r="Q933" s="2" t="s">
        <v>50</v>
      </c>
      <c r="R933" s="2">
        <v>1</v>
      </c>
      <c r="S933" s="2">
        <v>3</v>
      </c>
      <c r="T933" s="2" t="s">
        <v>49</v>
      </c>
      <c r="U933" s="2" t="s">
        <v>38</v>
      </c>
      <c r="V933" s="2" t="s">
        <v>51</v>
      </c>
      <c r="W933" s="3">
        <v>45410</v>
      </c>
      <c r="X933" s="2" t="b">
        <v>1</v>
      </c>
      <c r="Y933" s="2" t="b">
        <v>1</v>
      </c>
      <c r="Z933" s="2" t="s">
        <v>62</v>
      </c>
      <c r="AA933" s="2" t="s">
        <v>53</v>
      </c>
      <c r="AB933" s="2">
        <v>10</v>
      </c>
      <c r="AC933" s="2">
        <f>SUMIF(N:N,Ecommerce_Consumer_Behavior_Analysis_Data3[[#This Row],[Brand_Loyalty]],M:M)</f>
        <v>582</v>
      </c>
      <c r="AD933" s="2" t="e" cm="1" vm="1">
        <f t="array" aca="1" ref="AD933" ca="1">SUMIFS(Y:Y,Ecommerce_Consumer_Behavior_Analysis_Data3[[#This Row],[Payment_Method]],V:V)</f>
        <v>#VALUE!</v>
      </c>
      <c r="AE933" s="2">
        <f t="shared" si="18"/>
        <v>497.8</v>
      </c>
    </row>
    <row r="934" spans="1:31" x14ac:dyDescent="0.25">
      <c r="A934" s="2" t="s">
        <v>1929</v>
      </c>
      <c r="B934" s="2">
        <v>21</v>
      </c>
      <c r="C934" s="2" t="s">
        <v>43</v>
      </c>
      <c r="D934" s="2" t="s">
        <v>30</v>
      </c>
      <c r="E934" s="2" t="s">
        <v>55</v>
      </c>
      <c r="F934" s="2" t="s">
        <v>56</v>
      </c>
      <c r="G934" s="2" t="s">
        <v>30</v>
      </c>
      <c r="H934" s="2" t="s">
        <v>1930</v>
      </c>
      <c r="I934" s="2" t="s">
        <v>120</v>
      </c>
      <c r="J934" s="2">
        <v>242.65</v>
      </c>
      <c r="K934" s="2">
        <v>3</v>
      </c>
      <c r="L934" s="2" t="s">
        <v>35</v>
      </c>
      <c r="M934" s="2">
        <v>5</v>
      </c>
      <c r="N934" s="2">
        <v>3</v>
      </c>
      <c r="O934" s="2">
        <v>0.2</v>
      </c>
      <c r="P934" s="2" t="s">
        <v>36</v>
      </c>
      <c r="Q934" s="2" t="s">
        <v>85</v>
      </c>
      <c r="R934" s="2">
        <v>2</v>
      </c>
      <c r="S934" s="2">
        <v>8</v>
      </c>
      <c r="T934" s="2" t="s">
        <v>36</v>
      </c>
      <c r="U934" s="2" t="s">
        <v>38</v>
      </c>
      <c r="V934" s="2" t="s">
        <v>86</v>
      </c>
      <c r="W934" s="3">
        <v>45482</v>
      </c>
      <c r="X934" s="2" t="b">
        <v>0</v>
      </c>
      <c r="Y934" s="2" t="b">
        <v>1</v>
      </c>
      <c r="Z934" s="2" t="s">
        <v>74</v>
      </c>
      <c r="AA934" s="2" t="s">
        <v>41</v>
      </c>
      <c r="AB934" s="2">
        <v>9</v>
      </c>
      <c r="AC934" s="2">
        <f>SUMIF(N:N,Ecommerce_Consumer_Behavior_Analysis_Data3[[#This Row],[Brand_Loyalty]],M:M)</f>
        <v>641</v>
      </c>
      <c r="AD934" s="2" t="e" cm="1" vm="1">
        <f t="array" aca="1" ref="AD934" ca="1">SUMIFS(Y:Y,Ecommerce_Consumer_Behavior_Analysis_Data3[[#This Row],[Payment_Method]],V:V)</f>
        <v>#VALUE!</v>
      </c>
      <c r="AE934" s="2">
        <f t="shared" si="18"/>
        <v>497.8</v>
      </c>
    </row>
    <row r="935" spans="1:31" x14ac:dyDescent="0.25">
      <c r="A935" s="2" t="s">
        <v>1931</v>
      </c>
      <c r="B935" s="2">
        <v>41</v>
      </c>
      <c r="C935" s="2" t="s">
        <v>43</v>
      </c>
      <c r="D935" s="2" t="s">
        <v>30</v>
      </c>
      <c r="E935" s="2" t="s">
        <v>69</v>
      </c>
      <c r="F935" s="2" t="s">
        <v>56</v>
      </c>
      <c r="G935" s="2" t="s">
        <v>30</v>
      </c>
      <c r="H935" s="2" t="s">
        <v>1932</v>
      </c>
      <c r="I935" s="2" t="s">
        <v>90</v>
      </c>
      <c r="J935" s="2">
        <v>298.93</v>
      </c>
      <c r="K935" s="2">
        <v>6</v>
      </c>
      <c r="L935" s="2" t="s">
        <v>35</v>
      </c>
      <c r="M935" s="2">
        <v>5</v>
      </c>
      <c r="N935" s="2">
        <v>2</v>
      </c>
      <c r="O935" s="2">
        <v>0.2</v>
      </c>
      <c r="P935" s="2" t="s">
        <v>36</v>
      </c>
      <c r="Q935" s="2" t="s">
        <v>37</v>
      </c>
      <c r="R935" s="2">
        <v>2</v>
      </c>
      <c r="S935" s="2">
        <v>1</v>
      </c>
      <c r="T935" s="2" t="s">
        <v>36</v>
      </c>
      <c r="U935" s="2" t="s">
        <v>38</v>
      </c>
      <c r="V935" s="2" t="s">
        <v>51</v>
      </c>
      <c r="W935" s="3">
        <v>45557</v>
      </c>
      <c r="X935" s="2" t="b">
        <v>1</v>
      </c>
      <c r="Y935" s="2" t="b">
        <v>1</v>
      </c>
      <c r="Z935" s="2" t="s">
        <v>74</v>
      </c>
      <c r="AA935" s="2" t="s">
        <v>67</v>
      </c>
      <c r="AB935" s="2">
        <v>2</v>
      </c>
      <c r="AC935" s="2">
        <f>SUMIF(N:N,Ecommerce_Consumer_Behavior_Analysis_Data3[[#This Row],[Brand_Loyalty]],M:M)</f>
        <v>641</v>
      </c>
      <c r="AD935" s="2" t="e" cm="1" vm="1">
        <f t="array" aca="1" ref="AD935" ca="1">SUMIFS(Y:Y,Ecommerce_Consumer_Behavior_Analysis_Data3[[#This Row],[Payment_Method]],V:V)</f>
        <v>#VALUE!</v>
      </c>
      <c r="AE935" s="2">
        <f t="shared" si="18"/>
        <v>101.31</v>
      </c>
    </row>
    <row r="936" spans="1:31" x14ac:dyDescent="0.25">
      <c r="A936" s="2" t="s">
        <v>1933</v>
      </c>
      <c r="B936" s="2">
        <v>44</v>
      </c>
      <c r="C936" s="2" t="s">
        <v>29</v>
      </c>
      <c r="D936" s="2" t="s">
        <v>44</v>
      </c>
      <c r="E936" s="2" t="s">
        <v>55</v>
      </c>
      <c r="F936" s="2" t="s">
        <v>32</v>
      </c>
      <c r="G936" s="2" t="s">
        <v>44</v>
      </c>
      <c r="H936" s="2" t="s">
        <v>512</v>
      </c>
      <c r="I936" s="2" t="s">
        <v>93</v>
      </c>
      <c r="J936" s="2">
        <v>191.21</v>
      </c>
      <c r="K936" s="2">
        <v>7</v>
      </c>
      <c r="L936" s="2" t="s">
        <v>35</v>
      </c>
      <c r="M936" s="2">
        <v>5</v>
      </c>
      <c r="N936" s="2">
        <v>4</v>
      </c>
      <c r="O936" s="2">
        <v>1</v>
      </c>
      <c r="P936" s="2" t="s">
        <v>59</v>
      </c>
      <c r="Q936" s="2" t="s">
        <v>85</v>
      </c>
      <c r="R936" s="2">
        <v>2</v>
      </c>
      <c r="S936" s="2">
        <v>6</v>
      </c>
      <c r="T936" s="2" t="s">
        <v>59</v>
      </c>
      <c r="U936" s="2" t="s">
        <v>60</v>
      </c>
      <c r="V936" s="2" t="s">
        <v>61</v>
      </c>
      <c r="W936" s="3">
        <v>45386</v>
      </c>
      <c r="X936" s="2" t="b">
        <v>0</v>
      </c>
      <c r="Y936" s="2" t="b">
        <v>0</v>
      </c>
      <c r="Z936" s="2" t="s">
        <v>40</v>
      </c>
      <c r="AA936" s="2" t="s">
        <v>41</v>
      </c>
      <c r="AB936" s="2">
        <v>13</v>
      </c>
      <c r="AC936" s="2">
        <f>SUMIF(N:N,Ecommerce_Consumer_Behavior_Analysis_Data3[[#This Row],[Brand_Loyalty]],M:M)</f>
        <v>641</v>
      </c>
      <c r="AD936" s="2" t="e" cm="1" vm="1">
        <f t="array" aca="1" ref="AD936" ca="1">SUMIFS(Y:Y,Ecommerce_Consumer_Behavior_Analysis_Data3[[#This Row],[Payment_Method]],V:V)</f>
        <v>#VALUE!</v>
      </c>
      <c r="AE936" s="2">
        <f t="shared" si="18"/>
        <v>101.31</v>
      </c>
    </row>
    <row r="937" spans="1:31" x14ac:dyDescent="0.25">
      <c r="A937" s="2" t="s">
        <v>1934</v>
      </c>
      <c r="B937" s="2">
        <v>44</v>
      </c>
      <c r="C937" s="2" t="s">
        <v>29</v>
      </c>
      <c r="D937" s="2" t="s">
        <v>44</v>
      </c>
      <c r="E937" s="2" t="s">
        <v>31</v>
      </c>
      <c r="F937" s="2" t="s">
        <v>56</v>
      </c>
      <c r="G937" s="2" t="s">
        <v>30</v>
      </c>
      <c r="H937" s="2" t="s">
        <v>1935</v>
      </c>
      <c r="I937" s="2" t="s">
        <v>117</v>
      </c>
      <c r="J937" s="2">
        <v>136.66999999999999</v>
      </c>
      <c r="K937" s="2">
        <v>3</v>
      </c>
      <c r="L937" s="2" t="s">
        <v>78</v>
      </c>
      <c r="M937" s="2">
        <v>3</v>
      </c>
      <c r="N937" s="2">
        <v>1</v>
      </c>
      <c r="O937" s="2">
        <v>1</v>
      </c>
      <c r="P937" s="2" t="s">
        <v>59</v>
      </c>
      <c r="Q937" s="2" t="s">
        <v>37</v>
      </c>
      <c r="R937" s="2">
        <v>0</v>
      </c>
      <c r="S937" s="2">
        <v>2</v>
      </c>
      <c r="T937" s="2" t="s">
        <v>44</v>
      </c>
      <c r="U937" s="2" t="s">
        <v>79</v>
      </c>
      <c r="V937" s="2" t="s">
        <v>51</v>
      </c>
      <c r="W937" s="3">
        <v>45463</v>
      </c>
      <c r="X937" s="2" t="b">
        <v>0</v>
      </c>
      <c r="Y937" s="2" t="b">
        <v>1</v>
      </c>
      <c r="Z937" s="2" t="s">
        <v>62</v>
      </c>
      <c r="AA937" s="2" t="s">
        <v>53</v>
      </c>
      <c r="AB937" s="2">
        <v>1</v>
      </c>
      <c r="AC937" s="2">
        <f>SUMIF(N:N,Ecommerce_Consumer_Behavior_Analysis_Data3[[#This Row],[Brand_Loyalty]],M:M)</f>
        <v>597</v>
      </c>
      <c r="AD937" s="2" t="e" cm="1" vm="1">
        <f t="array" aca="1" ref="AD937" ca="1">SUMIFS(Y:Y,Ecommerce_Consumer_Behavior_Analysis_Data3[[#This Row],[Payment_Method]],V:V)</f>
        <v>#VALUE!</v>
      </c>
      <c r="AE937" s="2">
        <f t="shared" si="18"/>
        <v>333.8</v>
      </c>
    </row>
    <row r="938" spans="1:31" x14ac:dyDescent="0.25">
      <c r="A938" s="2" t="s">
        <v>1936</v>
      </c>
      <c r="B938" s="2">
        <v>37</v>
      </c>
      <c r="C938" s="2" t="s">
        <v>43</v>
      </c>
      <c r="D938" s="2" t="s">
        <v>30</v>
      </c>
      <c r="E938" s="2" t="s">
        <v>69</v>
      </c>
      <c r="F938" s="2" t="s">
        <v>56</v>
      </c>
      <c r="G938" s="2" t="s">
        <v>44</v>
      </c>
      <c r="H938" s="2" t="s">
        <v>1937</v>
      </c>
      <c r="I938" s="2" t="s">
        <v>90</v>
      </c>
      <c r="J938" s="2">
        <v>324.11</v>
      </c>
      <c r="K938" s="2">
        <v>11</v>
      </c>
      <c r="L938" s="2" t="s">
        <v>78</v>
      </c>
      <c r="M938" s="2">
        <v>3</v>
      </c>
      <c r="N938" s="2">
        <v>3</v>
      </c>
      <c r="O938" s="2">
        <v>2</v>
      </c>
      <c r="P938" s="2" t="s">
        <v>36</v>
      </c>
      <c r="Q938" s="2" t="s">
        <v>85</v>
      </c>
      <c r="R938" s="2">
        <v>0</v>
      </c>
      <c r="S938" s="2">
        <v>2</v>
      </c>
      <c r="T938" s="2" t="s">
        <v>59</v>
      </c>
      <c r="U938" s="2" t="s">
        <v>60</v>
      </c>
      <c r="V938" s="2" t="s">
        <v>86</v>
      </c>
      <c r="W938" s="3">
        <v>45373</v>
      </c>
      <c r="X938" s="2" t="b">
        <v>0</v>
      </c>
      <c r="Y938" s="2" t="b">
        <v>0</v>
      </c>
      <c r="Z938" s="2" t="s">
        <v>62</v>
      </c>
      <c r="AA938" s="2" t="s">
        <v>41</v>
      </c>
      <c r="AB938" s="2">
        <v>7</v>
      </c>
      <c r="AC938" s="2">
        <f>SUMIF(N:N,Ecommerce_Consumer_Behavior_Analysis_Data3[[#This Row],[Brand_Loyalty]],M:M)</f>
        <v>597</v>
      </c>
      <c r="AD938" s="2" t="e" cm="1" vm="1">
        <f t="array" aca="1" ref="AD938" ca="1">SUMIFS(Y:Y,Ecommerce_Consumer_Behavior_Analysis_Data3[[#This Row],[Payment_Method]],V:V)</f>
        <v>#VALUE!</v>
      </c>
      <c r="AE938" s="2">
        <f t="shared" si="18"/>
        <v>211.7</v>
      </c>
    </row>
    <row r="939" spans="1:31" x14ac:dyDescent="0.25">
      <c r="A939" s="2" t="s">
        <v>1938</v>
      </c>
      <c r="B939" s="2">
        <v>40</v>
      </c>
      <c r="C939" s="2" t="s">
        <v>29</v>
      </c>
      <c r="D939" s="2" t="s">
        <v>44</v>
      </c>
      <c r="E939" s="2" t="s">
        <v>69</v>
      </c>
      <c r="F939" s="2" t="s">
        <v>32</v>
      </c>
      <c r="G939" s="2" t="s">
        <v>44</v>
      </c>
      <c r="H939" s="2" t="s">
        <v>1939</v>
      </c>
      <c r="I939" s="2" t="s">
        <v>101</v>
      </c>
      <c r="J939" s="2">
        <v>105.64</v>
      </c>
      <c r="K939" s="2">
        <v>6</v>
      </c>
      <c r="L939" s="2" t="s">
        <v>78</v>
      </c>
      <c r="M939" s="2">
        <v>1</v>
      </c>
      <c r="N939" s="2">
        <v>3</v>
      </c>
      <c r="O939" s="2">
        <v>0</v>
      </c>
      <c r="P939" s="2" t="s">
        <v>59</v>
      </c>
      <c r="Q939" s="2" t="s">
        <v>85</v>
      </c>
      <c r="R939" s="2">
        <v>2</v>
      </c>
      <c r="S939" s="2">
        <v>1</v>
      </c>
      <c r="T939" s="2" t="s">
        <v>36</v>
      </c>
      <c r="U939" s="2" t="s">
        <v>60</v>
      </c>
      <c r="V939" s="2" t="s">
        <v>66</v>
      </c>
      <c r="W939" s="3">
        <v>45388</v>
      </c>
      <c r="X939" s="2" t="b">
        <v>1</v>
      </c>
      <c r="Y939" s="2" t="b">
        <v>1</v>
      </c>
      <c r="Z939" s="2" t="s">
        <v>74</v>
      </c>
      <c r="AA939" s="2" t="s">
        <v>41</v>
      </c>
      <c r="AB939" s="2">
        <v>12</v>
      </c>
      <c r="AC939" s="2">
        <f>SUMIF(N:N,Ecommerce_Consumer_Behavior_Analysis_Data3[[#This Row],[Brand_Loyalty]],M:M)</f>
        <v>603</v>
      </c>
      <c r="AD939" s="2" t="e" cm="1" vm="1">
        <f t="array" aca="1" ref="AD939" ca="1">SUMIFS(Y:Y,Ecommerce_Consumer_Behavior_Analysis_Data3[[#This Row],[Payment_Method]],V:V)</f>
        <v>#VALUE!</v>
      </c>
      <c r="AE939" s="2">
        <f t="shared" si="18"/>
        <v>101.31</v>
      </c>
    </row>
    <row r="940" spans="1:31" x14ac:dyDescent="0.25">
      <c r="A940" s="2" t="s">
        <v>1940</v>
      </c>
      <c r="B940" s="2">
        <v>43</v>
      </c>
      <c r="C940" s="2" t="s">
        <v>43</v>
      </c>
      <c r="D940" s="2" t="s">
        <v>44</v>
      </c>
      <c r="E940" s="2" t="s">
        <v>69</v>
      </c>
      <c r="F940" s="2" t="s">
        <v>56</v>
      </c>
      <c r="G940" s="2" t="s">
        <v>44</v>
      </c>
      <c r="H940" s="2" t="s">
        <v>1941</v>
      </c>
      <c r="I940" s="2" t="s">
        <v>117</v>
      </c>
      <c r="J940" s="2">
        <v>295.60000000000002</v>
      </c>
      <c r="K940" s="2">
        <v>10</v>
      </c>
      <c r="L940" s="2" t="s">
        <v>78</v>
      </c>
      <c r="M940" s="2">
        <v>1</v>
      </c>
      <c r="N940" s="2">
        <v>2</v>
      </c>
      <c r="O940" s="2">
        <v>1</v>
      </c>
      <c r="P940" s="2" t="s">
        <v>44</v>
      </c>
      <c r="Q940" s="2" t="s">
        <v>37</v>
      </c>
      <c r="R940" s="2">
        <v>0</v>
      </c>
      <c r="S940" s="2">
        <v>9</v>
      </c>
      <c r="T940" s="2" t="s">
        <v>59</v>
      </c>
      <c r="U940" s="2" t="s">
        <v>79</v>
      </c>
      <c r="V940" s="2" t="s">
        <v>39</v>
      </c>
      <c r="W940" s="3">
        <v>45432</v>
      </c>
      <c r="X940" s="2" t="b">
        <v>1</v>
      </c>
      <c r="Y940" s="2" t="b">
        <v>1</v>
      </c>
      <c r="Z940" s="2" t="s">
        <v>40</v>
      </c>
      <c r="AA940" s="2" t="s">
        <v>53</v>
      </c>
      <c r="AB940" s="2">
        <v>5</v>
      </c>
      <c r="AC940" s="2">
        <f>SUMIF(N:N,Ecommerce_Consumer_Behavior_Analysis_Data3[[#This Row],[Brand_Loyalty]],M:M)</f>
        <v>603</v>
      </c>
      <c r="AD940" s="2" t="e" cm="1" vm="1">
        <f t="array" aca="1" ref="AD940" ca="1">SUMIFS(Y:Y,Ecommerce_Consumer_Behavior_Analysis_Data3[[#This Row],[Payment_Method]],V:V)</f>
        <v>#VALUE!</v>
      </c>
      <c r="AE940" s="2">
        <f t="shared" si="18"/>
        <v>333.8</v>
      </c>
    </row>
    <row r="941" spans="1:31" x14ac:dyDescent="0.25">
      <c r="A941" s="2" t="s">
        <v>1942</v>
      </c>
      <c r="B941" s="2">
        <v>48</v>
      </c>
      <c r="C941" s="2" t="s">
        <v>43</v>
      </c>
      <c r="D941" s="2" t="s">
        <v>30</v>
      </c>
      <c r="E941" s="2" t="s">
        <v>55</v>
      </c>
      <c r="F941" s="2" t="s">
        <v>56</v>
      </c>
      <c r="G941" s="2" t="s">
        <v>44</v>
      </c>
      <c r="H941" s="2" t="s">
        <v>1943</v>
      </c>
      <c r="I941" s="2" t="s">
        <v>101</v>
      </c>
      <c r="J941" s="2">
        <v>227.03</v>
      </c>
      <c r="K941" s="2">
        <v>9</v>
      </c>
      <c r="L941" s="2" t="s">
        <v>48</v>
      </c>
      <c r="M941" s="2">
        <v>4</v>
      </c>
      <c r="N941" s="2">
        <v>4</v>
      </c>
      <c r="O941" s="2">
        <v>2</v>
      </c>
      <c r="P941" s="2" t="s">
        <v>59</v>
      </c>
      <c r="Q941" s="2" t="s">
        <v>50</v>
      </c>
      <c r="R941" s="2">
        <v>2</v>
      </c>
      <c r="S941" s="2">
        <v>7</v>
      </c>
      <c r="T941" s="2" t="s">
        <v>44</v>
      </c>
      <c r="U941" s="2" t="s">
        <v>38</v>
      </c>
      <c r="V941" s="2" t="s">
        <v>66</v>
      </c>
      <c r="W941" s="3">
        <v>45391</v>
      </c>
      <c r="X941" s="2" t="b">
        <v>1</v>
      </c>
      <c r="Y941" s="2" t="b">
        <v>1</v>
      </c>
      <c r="Z941" s="2" t="s">
        <v>40</v>
      </c>
      <c r="AA941" s="2" t="s">
        <v>41</v>
      </c>
      <c r="AB941" s="2">
        <v>4</v>
      </c>
      <c r="AC941" s="2">
        <f>SUMIF(N:N,Ecommerce_Consumer_Behavior_Analysis_Data3[[#This Row],[Brand_Loyalty]],M:M)</f>
        <v>603</v>
      </c>
      <c r="AD941" s="2" t="e" cm="1" vm="1">
        <f t="array" aca="1" ref="AD941" ca="1">SUMIFS(Y:Y,Ecommerce_Consumer_Behavior_Analysis_Data3[[#This Row],[Payment_Method]],V:V)</f>
        <v>#VALUE!</v>
      </c>
      <c r="AE941" s="2">
        <f t="shared" si="18"/>
        <v>211.7</v>
      </c>
    </row>
    <row r="942" spans="1:31" x14ac:dyDescent="0.25">
      <c r="A942" s="2" t="s">
        <v>1944</v>
      </c>
      <c r="B942" s="2">
        <v>32</v>
      </c>
      <c r="C942" s="2" t="s">
        <v>29</v>
      </c>
      <c r="D942" s="2" t="s">
        <v>44</v>
      </c>
      <c r="E942" s="2" t="s">
        <v>76</v>
      </c>
      <c r="F942" s="2" t="s">
        <v>32</v>
      </c>
      <c r="G942" s="2" t="s">
        <v>30</v>
      </c>
      <c r="H942" s="2" t="s">
        <v>1945</v>
      </c>
      <c r="I942" s="2" t="s">
        <v>107</v>
      </c>
      <c r="J942" s="2">
        <v>485.77</v>
      </c>
      <c r="K942" s="2">
        <v>10</v>
      </c>
      <c r="L942" s="2" t="s">
        <v>35</v>
      </c>
      <c r="M942" s="2">
        <v>1</v>
      </c>
      <c r="N942" s="2">
        <v>2</v>
      </c>
      <c r="O942" s="2">
        <v>0</v>
      </c>
      <c r="P942" s="2" t="s">
        <v>59</v>
      </c>
      <c r="Q942" s="2" t="s">
        <v>50</v>
      </c>
      <c r="R942" s="2">
        <v>2</v>
      </c>
      <c r="S942" s="2">
        <v>6</v>
      </c>
      <c r="T942" s="2" t="s">
        <v>36</v>
      </c>
      <c r="U942" s="2" t="s">
        <v>38</v>
      </c>
      <c r="V942" s="2" t="s">
        <v>86</v>
      </c>
      <c r="W942" s="3">
        <v>45630</v>
      </c>
      <c r="X942" s="2" t="b">
        <v>0</v>
      </c>
      <c r="Y942" s="2" t="b">
        <v>0</v>
      </c>
      <c r="Z942" s="2" t="s">
        <v>74</v>
      </c>
      <c r="AA942" s="2" t="s">
        <v>41</v>
      </c>
      <c r="AB942" s="2">
        <v>6</v>
      </c>
      <c r="AC942" s="2">
        <f>SUMIF(N:N,Ecommerce_Consumer_Behavior_Analysis_Data3[[#This Row],[Brand_Loyalty]],M:M)</f>
        <v>603</v>
      </c>
      <c r="AD942" s="2" t="e" cm="1" vm="1">
        <f t="array" aca="1" ref="AD942" ca="1">SUMIFS(Y:Y,Ecommerce_Consumer_Behavior_Analysis_Data3[[#This Row],[Payment_Method]],V:V)</f>
        <v>#VALUE!</v>
      </c>
      <c r="AE942" s="2">
        <f t="shared" si="18"/>
        <v>211.7</v>
      </c>
    </row>
    <row r="943" spans="1:31" x14ac:dyDescent="0.25">
      <c r="A943" s="2" t="s">
        <v>1946</v>
      </c>
      <c r="B943" s="2">
        <v>37</v>
      </c>
      <c r="C943" s="2" t="s">
        <v>29</v>
      </c>
      <c r="D943" s="2" t="s">
        <v>30</v>
      </c>
      <c r="E943" s="2" t="s">
        <v>69</v>
      </c>
      <c r="F943" s="2" t="s">
        <v>45</v>
      </c>
      <c r="G943" s="2" t="s">
        <v>44</v>
      </c>
      <c r="H943" s="2" t="s">
        <v>1947</v>
      </c>
      <c r="I943" s="2" t="s">
        <v>101</v>
      </c>
      <c r="J943" s="2">
        <v>173.43</v>
      </c>
      <c r="K943" s="2">
        <v>4</v>
      </c>
      <c r="L943" s="2" t="s">
        <v>48</v>
      </c>
      <c r="M943" s="2">
        <v>3</v>
      </c>
      <c r="N943" s="2">
        <v>3</v>
      </c>
      <c r="O943" s="2">
        <v>0</v>
      </c>
      <c r="P943" s="2" t="s">
        <v>49</v>
      </c>
      <c r="Q943" s="2" t="s">
        <v>50</v>
      </c>
      <c r="R943" s="2">
        <v>2</v>
      </c>
      <c r="S943" s="2">
        <v>1</v>
      </c>
      <c r="T943" s="2" t="s">
        <v>59</v>
      </c>
      <c r="U943" s="2" t="s">
        <v>79</v>
      </c>
      <c r="V943" s="2" t="s">
        <v>51</v>
      </c>
      <c r="W943" s="3">
        <v>45439</v>
      </c>
      <c r="X943" s="2" t="b">
        <v>1</v>
      </c>
      <c r="Y943" s="2" t="b">
        <v>1</v>
      </c>
      <c r="Z943" s="2" t="s">
        <v>40</v>
      </c>
      <c r="AA943" s="2" t="s">
        <v>41</v>
      </c>
      <c r="AB943" s="2">
        <v>14</v>
      </c>
      <c r="AC943" s="2">
        <f>SUMIF(N:N,Ecommerce_Consumer_Behavior_Analysis_Data3[[#This Row],[Brand_Loyalty]],M:M)</f>
        <v>597</v>
      </c>
      <c r="AD943" s="2" t="e" cm="1" vm="1">
        <f t="array" aca="1" ref="AD943" ca="1">SUMIFS(Y:Y,Ecommerce_Consumer_Behavior_Analysis_Data3[[#This Row],[Payment_Method]],V:V)</f>
        <v>#VALUE!</v>
      </c>
      <c r="AE943" s="2">
        <f t="shared" si="18"/>
        <v>211.7</v>
      </c>
    </row>
    <row r="944" spans="1:31" x14ac:dyDescent="0.25">
      <c r="A944" s="2" t="s">
        <v>1948</v>
      </c>
      <c r="B944" s="2">
        <v>29</v>
      </c>
      <c r="C944" s="2" t="s">
        <v>29</v>
      </c>
      <c r="D944" s="2" t="s">
        <v>30</v>
      </c>
      <c r="E944" s="2" t="s">
        <v>69</v>
      </c>
      <c r="F944" s="2" t="s">
        <v>45</v>
      </c>
      <c r="G944" s="2" t="s">
        <v>30</v>
      </c>
      <c r="H944" s="2" t="s">
        <v>1949</v>
      </c>
      <c r="I944" s="2" t="s">
        <v>123</v>
      </c>
      <c r="J944" s="2">
        <v>462.96</v>
      </c>
      <c r="K944" s="2">
        <v>2</v>
      </c>
      <c r="L944" s="2" t="s">
        <v>78</v>
      </c>
      <c r="M944" s="2">
        <v>4</v>
      </c>
      <c r="N944" s="2">
        <v>2</v>
      </c>
      <c r="O944" s="2">
        <v>0</v>
      </c>
      <c r="P944" s="2" t="s">
        <v>44</v>
      </c>
      <c r="Q944" s="2" t="s">
        <v>85</v>
      </c>
      <c r="R944" s="2">
        <v>2</v>
      </c>
      <c r="S944" s="2">
        <v>6</v>
      </c>
      <c r="T944" s="2" t="s">
        <v>44</v>
      </c>
      <c r="U944" s="2" t="s">
        <v>38</v>
      </c>
      <c r="V944" s="2" t="s">
        <v>86</v>
      </c>
      <c r="W944" s="3">
        <v>45474</v>
      </c>
      <c r="X944" s="2" t="b">
        <v>1</v>
      </c>
      <c r="Y944" s="2" t="b">
        <v>0</v>
      </c>
      <c r="Z944" s="2" t="s">
        <v>74</v>
      </c>
      <c r="AA944" s="2" t="s">
        <v>41</v>
      </c>
      <c r="AB944" s="2">
        <v>3</v>
      </c>
      <c r="AC944" s="2">
        <f>SUMIF(N:N,Ecommerce_Consumer_Behavior_Analysis_Data3[[#This Row],[Brand_Loyalty]],M:M)</f>
        <v>603</v>
      </c>
      <c r="AD944" s="2" t="e" cm="1" vm="1">
        <f t="array" aca="1" ref="AD944" ca="1">SUMIFS(Y:Y,Ecommerce_Consumer_Behavior_Analysis_Data3[[#This Row],[Payment_Method]],V:V)</f>
        <v>#VALUE!</v>
      </c>
      <c r="AE944" s="2">
        <f t="shared" si="18"/>
        <v>333.8</v>
      </c>
    </row>
    <row r="945" spans="1:31" x14ac:dyDescent="0.25">
      <c r="A945" s="2" t="s">
        <v>1950</v>
      </c>
      <c r="B945" s="2">
        <v>36</v>
      </c>
      <c r="C945" s="2" t="s">
        <v>43</v>
      </c>
      <c r="D945" s="2" t="s">
        <v>44</v>
      </c>
      <c r="E945" s="2" t="s">
        <v>76</v>
      </c>
      <c r="F945" s="2" t="s">
        <v>45</v>
      </c>
      <c r="G945" s="2" t="s">
        <v>30</v>
      </c>
      <c r="H945" s="2" t="s">
        <v>1951</v>
      </c>
      <c r="I945" s="2" t="s">
        <v>93</v>
      </c>
      <c r="J945" s="2">
        <v>203.13</v>
      </c>
      <c r="K945" s="2">
        <v>10</v>
      </c>
      <c r="L945" s="2" t="s">
        <v>78</v>
      </c>
      <c r="M945" s="2">
        <v>4</v>
      </c>
      <c r="N945" s="2">
        <v>3</v>
      </c>
      <c r="O945" s="2">
        <v>2</v>
      </c>
      <c r="P945" s="2" t="s">
        <v>36</v>
      </c>
      <c r="Q945" s="2" t="s">
        <v>37</v>
      </c>
      <c r="R945" s="2">
        <v>1</v>
      </c>
      <c r="S945" s="2">
        <v>5</v>
      </c>
      <c r="T945" s="2" t="s">
        <v>44</v>
      </c>
      <c r="U945" s="2" t="s">
        <v>38</v>
      </c>
      <c r="V945" s="2" t="s">
        <v>61</v>
      </c>
      <c r="W945" s="3">
        <v>45519</v>
      </c>
      <c r="X945" s="2" t="b">
        <v>1</v>
      </c>
      <c r="Y945" s="2" t="b">
        <v>0</v>
      </c>
      <c r="Z945" s="2" t="s">
        <v>62</v>
      </c>
      <c r="AA945" s="2" t="s">
        <v>53</v>
      </c>
      <c r="AB945" s="2">
        <v>6</v>
      </c>
      <c r="AC945" s="2">
        <f>SUMIF(N:N,Ecommerce_Consumer_Behavior_Analysis_Data3[[#This Row],[Brand_Loyalty]],M:M)</f>
        <v>603</v>
      </c>
      <c r="AD945" s="2" t="e" cm="1" vm="1">
        <f t="array" aca="1" ref="AD945" ca="1">SUMIFS(Y:Y,Ecommerce_Consumer_Behavior_Analysis_Data3[[#This Row],[Payment_Method]],V:V)</f>
        <v>#VALUE!</v>
      </c>
      <c r="AE945" s="2">
        <f t="shared" si="18"/>
        <v>101.31</v>
      </c>
    </row>
    <row r="946" spans="1:31" x14ac:dyDescent="0.25">
      <c r="A946" s="2" t="s">
        <v>1952</v>
      </c>
      <c r="B946" s="2">
        <v>50</v>
      </c>
      <c r="C946" s="2" t="s">
        <v>29</v>
      </c>
      <c r="D946" s="2" t="s">
        <v>44</v>
      </c>
      <c r="E946" s="2" t="s">
        <v>31</v>
      </c>
      <c r="F946" s="2" t="s">
        <v>56</v>
      </c>
      <c r="G946" s="2" t="s">
        <v>44</v>
      </c>
      <c r="H946" s="2" t="s">
        <v>1953</v>
      </c>
      <c r="I946" s="2" t="s">
        <v>126</v>
      </c>
      <c r="J946" s="2">
        <v>443.11</v>
      </c>
      <c r="K946" s="2">
        <v>9</v>
      </c>
      <c r="L946" s="2" t="s">
        <v>48</v>
      </c>
      <c r="M946" s="2">
        <v>1</v>
      </c>
      <c r="N946" s="2">
        <v>2</v>
      </c>
      <c r="O946" s="2">
        <v>1</v>
      </c>
      <c r="P946" s="2" t="s">
        <v>36</v>
      </c>
      <c r="Q946" s="2" t="s">
        <v>85</v>
      </c>
      <c r="R946" s="2">
        <v>0</v>
      </c>
      <c r="S946" s="2">
        <v>10</v>
      </c>
      <c r="T946" s="2" t="s">
        <v>59</v>
      </c>
      <c r="U946" s="2" t="s">
        <v>38</v>
      </c>
      <c r="V946" s="2" t="s">
        <v>66</v>
      </c>
      <c r="W946" s="3">
        <v>45310</v>
      </c>
      <c r="X946" s="2" t="b">
        <v>1</v>
      </c>
      <c r="Y946" s="2" t="b">
        <v>1</v>
      </c>
      <c r="Z946" s="2" t="s">
        <v>52</v>
      </c>
      <c r="AA946" s="2" t="s">
        <v>41</v>
      </c>
      <c r="AB946" s="2">
        <v>1</v>
      </c>
      <c r="AC946" s="2">
        <f>SUMIF(N:N,Ecommerce_Consumer_Behavior_Analysis_Data3[[#This Row],[Brand_Loyalty]],M:M)</f>
        <v>603</v>
      </c>
      <c r="AD946" s="2" t="e" cm="1" vm="1">
        <f t="array" aca="1" ref="AD946" ca="1">SUMIFS(Y:Y,Ecommerce_Consumer_Behavior_Analysis_Data3[[#This Row],[Payment_Method]],V:V)</f>
        <v>#VALUE!</v>
      </c>
      <c r="AE946" s="2">
        <f t="shared" si="18"/>
        <v>101.31</v>
      </c>
    </row>
    <row r="947" spans="1:31" x14ac:dyDescent="0.25">
      <c r="A947" s="2" t="s">
        <v>1954</v>
      </c>
      <c r="B947" s="2">
        <v>31</v>
      </c>
      <c r="C947" s="2" t="s">
        <v>88</v>
      </c>
      <c r="D947" s="2" t="s">
        <v>44</v>
      </c>
      <c r="E947" s="2" t="s">
        <v>76</v>
      </c>
      <c r="F947" s="2" t="s">
        <v>45</v>
      </c>
      <c r="G947" s="2" t="s">
        <v>44</v>
      </c>
      <c r="H947" s="2" t="s">
        <v>1955</v>
      </c>
      <c r="I947" s="2" t="s">
        <v>142</v>
      </c>
      <c r="J947" s="2">
        <v>254.83</v>
      </c>
      <c r="K947" s="2">
        <v>2</v>
      </c>
      <c r="L947" s="2" t="s">
        <v>35</v>
      </c>
      <c r="M947" s="2">
        <v>1</v>
      </c>
      <c r="N947" s="2">
        <v>2</v>
      </c>
      <c r="O947" s="2">
        <v>1</v>
      </c>
      <c r="P947" s="2" t="s">
        <v>36</v>
      </c>
      <c r="Q947" s="2" t="s">
        <v>37</v>
      </c>
      <c r="R947" s="2">
        <v>1</v>
      </c>
      <c r="S947" s="2">
        <v>2</v>
      </c>
      <c r="T947" s="2" t="s">
        <v>59</v>
      </c>
      <c r="U947" s="2" t="s">
        <v>79</v>
      </c>
      <c r="V947" s="2" t="s">
        <v>39</v>
      </c>
      <c r="W947" s="3">
        <v>45553</v>
      </c>
      <c r="X947" s="2" t="b">
        <v>0</v>
      </c>
      <c r="Y947" s="2" t="b">
        <v>0</v>
      </c>
      <c r="Z947" s="2" t="s">
        <v>52</v>
      </c>
      <c r="AA947" s="2" t="s">
        <v>53</v>
      </c>
      <c r="AB947" s="2">
        <v>1</v>
      </c>
      <c r="AC947" s="2">
        <f>SUMIF(N:N,Ecommerce_Consumer_Behavior_Analysis_Data3[[#This Row],[Brand_Loyalty]],M:M)</f>
        <v>603</v>
      </c>
      <c r="AD947" s="2" t="e" cm="1" vm="1">
        <f t="array" aca="1" ref="AD947" ca="1">SUMIFS(Y:Y,Ecommerce_Consumer_Behavior_Analysis_Data3[[#This Row],[Payment_Method]],V:V)</f>
        <v>#VALUE!</v>
      </c>
      <c r="AE947" s="2">
        <f t="shared" si="18"/>
        <v>333.8</v>
      </c>
    </row>
    <row r="948" spans="1:31" x14ac:dyDescent="0.25">
      <c r="A948" s="2" t="s">
        <v>1956</v>
      </c>
      <c r="B948" s="2">
        <v>29</v>
      </c>
      <c r="C948" s="2" t="s">
        <v>29</v>
      </c>
      <c r="D948" s="2" t="s">
        <v>44</v>
      </c>
      <c r="E948" s="2" t="s">
        <v>55</v>
      </c>
      <c r="F948" s="2" t="s">
        <v>56</v>
      </c>
      <c r="G948" s="2" t="s">
        <v>30</v>
      </c>
      <c r="H948" s="2" t="s">
        <v>1957</v>
      </c>
      <c r="I948" s="2" t="s">
        <v>98</v>
      </c>
      <c r="J948" s="2">
        <v>336.89</v>
      </c>
      <c r="K948" s="2">
        <v>4</v>
      </c>
      <c r="L948" s="2" t="s">
        <v>78</v>
      </c>
      <c r="M948" s="2">
        <v>2</v>
      </c>
      <c r="N948" s="2">
        <v>1</v>
      </c>
      <c r="O948" s="2">
        <v>2</v>
      </c>
      <c r="P948" s="2" t="s">
        <v>49</v>
      </c>
      <c r="Q948" s="2" t="s">
        <v>85</v>
      </c>
      <c r="R948" s="2">
        <v>1</v>
      </c>
      <c r="S948" s="2">
        <v>7</v>
      </c>
      <c r="T948" s="2" t="s">
        <v>44</v>
      </c>
      <c r="U948" s="2" t="s">
        <v>60</v>
      </c>
      <c r="V948" s="2" t="s">
        <v>39</v>
      </c>
      <c r="W948" s="3">
        <v>45460</v>
      </c>
      <c r="X948" s="2" t="b">
        <v>0</v>
      </c>
      <c r="Y948" s="2" t="b">
        <v>0</v>
      </c>
      <c r="Z948" s="2" t="s">
        <v>74</v>
      </c>
      <c r="AA948" s="2" t="s">
        <v>67</v>
      </c>
      <c r="AB948" s="2">
        <v>9</v>
      </c>
      <c r="AC948" s="2">
        <f>SUMIF(N:N,Ecommerce_Consumer_Behavior_Analysis_Data3[[#This Row],[Brand_Loyalty]],M:M)</f>
        <v>582</v>
      </c>
      <c r="AD948" s="2" t="e" cm="1" vm="1">
        <f t="array" aca="1" ref="AD948" ca="1">SUMIFS(Y:Y,Ecommerce_Consumer_Behavior_Analysis_Data3[[#This Row],[Payment_Method]],V:V)</f>
        <v>#VALUE!</v>
      </c>
      <c r="AE948" s="2">
        <f t="shared" si="18"/>
        <v>211.7</v>
      </c>
    </row>
    <row r="949" spans="1:31" x14ac:dyDescent="0.25">
      <c r="A949" s="2" t="s">
        <v>1958</v>
      </c>
      <c r="B949" s="2">
        <v>26</v>
      </c>
      <c r="C949" s="2" t="s">
        <v>43</v>
      </c>
      <c r="D949" s="2" t="s">
        <v>30</v>
      </c>
      <c r="E949" s="2" t="s">
        <v>31</v>
      </c>
      <c r="F949" s="2" t="s">
        <v>32</v>
      </c>
      <c r="G949" s="2" t="s">
        <v>30</v>
      </c>
      <c r="H949" s="2" t="s">
        <v>1959</v>
      </c>
      <c r="I949" s="2" t="s">
        <v>123</v>
      </c>
      <c r="J949" s="2">
        <v>337.17</v>
      </c>
      <c r="K949" s="2">
        <v>8</v>
      </c>
      <c r="L949" s="2" t="s">
        <v>48</v>
      </c>
      <c r="M949" s="2">
        <v>5</v>
      </c>
      <c r="N949" s="2">
        <v>5</v>
      </c>
      <c r="O949" s="2">
        <v>0</v>
      </c>
      <c r="P949" s="2" t="s">
        <v>59</v>
      </c>
      <c r="Q949" s="2" t="s">
        <v>50</v>
      </c>
      <c r="R949" s="2">
        <v>1</v>
      </c>
      <c r="S949" s="2">
        <v>6</v>
      </c>
      <c r="T949" s="2" t="s">
        <v>49</v>
      </c>
      <c r="U949" s="2" t="s">
        <v>38</v>
      </c>
      <c r="V949" s="2" t="s">
        <v>39</v>
      </c>
      <c r="W949" s="3">
        <v>45499</v>
      </c>
      <c r="X949" s="2" t="b">
        <v>0</v>
      </c>
      <c r="Y949" s="2" t="b">
        <v>1</v>
      </c>
      <c r="Z949" s="2" t="s">
        <v>52</v>
      </c>
      <c r="AA949" s="2" t="s">
        <v>41</v>
      </c>
      <c r="AB949" s="2">
        <v>3</v>
      </c>
      <c r="AC949" s="2">
        <f>SUMIF(N:N,Ecommerce_Consumer_Behavior_Analysis_Data3[[#This Row],[Brand_Loyalty]],M:M)</f>
        <v>641</v>
      </c>
      <c r="AD949" s="2" t="e" cm="1" vm="1">
        <f t="array" aca="1" ref="AD949" ca="1">SUMIFS(Y:Y,Ecommerce_Consumer_Behavior_Analysis_Data3[[#This Row],[Payment_Method]],V:V)</f>
        <v>#VALUE!</v>
      </c>
      <c r="AE949" s="2">
        <f t="shared" si="18"/>
        <v>333.8</v>
      </c>
    </row>
    <row r="950" spans="1:31" x14ac:dyDescent="0.25">
      <c r="A950" s="2" t="s">
        <v>1960</v>
      </c>
      <c r="B950" s="2">
        <v>22</v>
      </c>
      <c r="C950" s="2" t="s">
        <v>29</v>
      </c>
      <c r="D950" s="2" t="s">
        <v>44</v>
      </c>
      <c r="E950" s="2" t="s">
        <v>55</v>
      </c>
      <c r="F950" s="2" t="s">
        <v>45</v>
      </c>
      <c r="G950" s="2" t="s">
        <v>44</v>
      </c>
      <c r="H950" s="2" t="s">
        <v>1961</v>
      </c>
      <c r="I950" s="2" t="s">
        <v>47</v>
      </c>
      <c r="J950" s="2">
        <v>429.24</v>
      </c>
      <c r="K950" s="2">
        <v>2</v>
      </c>
      <c r="L950" s="2" t="s">
        <v>78</v>
      </c>
      <c r="M950" s="2">
        <v>2</v>
      </c>
      <c r="N950" s="2">
        <v>2</v>
      </c>
      <c r="O950" s="2">
        <v>2</v>
      </c>
      <c r="P950" s="2" t="s">
        <v>49</v>
      </c>
      <c r="Q950" s="2" t="s">
        <v>85</v>
      </c>
      <c r="R950" s="2">
        <v>0</v>
      </c>
      <c r="S950" s="2">
        <v>3</v>
      </c>
      <c r="T950" s="2" t="s">
        <v>36</v>
      </c>
      <c r="U950" s="2" t="s">
        <v>79</v>
      </c>
      <c r="V950" s="2" t="s">
        <v>86</v>
      </c>
      <c r="W950" s="3">
        <v>45362</v>
      </c>
      <c r="X950" s="2" t="b">
        <v>0</v>
      </c>
      <c r="Y950" s="2" t="b">
        <v>0</v>
      </c>
      <c r="Z950" s="2" t="s">
        <v>74</v>
      </c>
      <c r="AA950" s="2" t="s">
        <v>41</v>
      </c>
      <c r="AB950" s="2">
        <v>13</v>
      </c>
      <c r="AC950" s="2">
        <f>SUMIF(N:N,Ecommerce_Consumer_Behavior_Analysis_Data3[[#This Row],[Brand_Loyalty]],M:M)</f>
        <v>582</v>
      </c>
      <c r="AD950" s="2" t="e" cm="1" vm="1">
        <f t="array" aca="1" ref="AD950" ca="1">SUMIFS(Y:Y,Ecommerce_Consumer_Behavior_Analysis_Data3[[#This Row],[Payment_Method]],V:V)</f>
        <v>#VALUE!</v>
      </c>
      <c r="AE950" s="2">
        <f t="shared" si="18"/>
        <v>333.8</v>
      </c>
    </row>
    <row r="951" spans="1:31" x14ac:dyDescent="0.25">
      <c r="A951" s="2" t="s">
        <v>1962</v>
      </c>
      <c r="B951" s="2">
        <v>35</v>
      </c>
      <c r="C951" s="2" t="s">
        <v>29</v>
      </c>
      <c r="D951" s="2" t="s">
        <v>44</v>
      </c>
      <c r="E951" s="2" t="s">
        <v>31</v>
      </c>
      <c r="F951" s="2" t="s">
        <v>45</v>
      </c>
      <c r="G951" s="2" t="s">
        <v>44</v>
      </c>
      <c r="H951" s="2" t="s">
        <v>1963</v>
      </c>
      <c r="I951" s="2" t="s">
        <v>117</v>
      </c>
      <c r="J951" s="2">
        <v>197.7</v>
      </c>
      <c r="K951" s="2">
        <v>7</v>
      </c>
      <c r="L951" s="2" t="s">
        <v>35</v>
      </c>
      <c r="M951" s="2">
        <v>3</v>
      </c>
      <c r="N951" s="2">
        <v>5</v>
      </c>
      <c r="O951" s="2">
        <v>2</v>
      </c>
      <c r="P951" s="2" t="s">
        <v>44</v>
      </c>
      <c r="Q951" s="2" t="s">
        <v>37</v>
      </c>
      <c r="R951" s="2">
        <v>1</v>
      </c>
      <c r="S951" s="2">
        <v>6</v>
      </c>
      <c r="T951" s="2" t="s">
        <v>49</v>
      </c>
      <c r="U951" s="2" t="s">
        <v>79</v>
      </c>
      <c r="V951" s="2" t="s">
        <v>86</v>
      </c>
      <c r="W951" s="3">
        <v>45562</v>
      </c>
      <c r="X951" s="2" t="b">
        <v>0</v>
      </c>
      <c r="Y951" s="2" t="b">
        <v>0</v>
      </c>
      <c r="Z951" s="2" t="s">
        <v>40</v>
      </c>
      <c r="AA951" s="2" t="s">
        <v>53</v>
      </c>
      <c r="AB951" s="2">
        <v>9</v>
      </c>
      <c r="AC951" s="2">
        <f>SUMIF(N:N,Ecommerce_Consumer_Behavior_Analysis_Data3[[#This Row],[Brand_Loyalty]],M:M)</f>
        <v>597</v>
      </c>
      <c r="AD951" s="2" t="e" cm="1" vm="1">
        <f t="array" aca="1" ref="AD951" ca="1">SUMIFS(Y:Y,Ecommerce_Consumer_Behavior_Analysis_Data3[[#This Row],[Payment_Method]],V:V)</f>
        <v>#VALUE!</v>
      </c>
      <c r="AE951" s="2">
        <f t="shared" si="18"/>
        <v>333.8</v>
      </c>
    </row>
    <row r="952" spans="1:31" x14ac:dyDescent="0.25">
      <c r="A952" s="2" t="s">
        <v>1964</v>
      </c>
      <c r="B952" s="2">
        <v>23</v>
      </c>
      <c r="C952" s="2" t="s">
        <v>43</v>
      </c>
      <c r="D952" s="2" t="s">
        <v>30</v>
      </c>
      <c r="E952" s="2" t="s">
        <v>31</v>
      </c>
      <c r="F952" s="2" t="s">
        <v>32</v>
      </c>
      <c r="G952" s="2" t="s">
        <v>30</v>
      </c>
      <c r="H952" s="2" t="s">
        <v>1965</v>
      </c>
      <c r="I952" s="2" t="s">
        <v>65</v>
      </c>
      <c r="J952" s="2">
        <v>336.96</v>
      </c>
      <c r="K952" s="2">
        <v>2</v>
      </c>
      <c r="L952" s="2" t="s">
        <v>48</v>
      </c>
      <c r="M952" s="2">
        <v>5</v>
      </c>
      <c r="N952" s="2">
        <v>2</v>
      </c>
      <c r="O952" s="2">
        <v>2</v>
      </c>
      <c r="P952" s="2" t="s">
        <v>44</v>
      </c>
      <c r="Q952" s="2" t="s">
        <v>50</v>
      </c>
      <c r="R952" s="2">
        <v>0</v>
      </c>
      <c r="S952" s="2">
        <v>7</v>
      </c>
      <c r="T952" s="2" t="s">
        <v>59</v>
      </c>
      <c r="U952" s="2" t="s">
        <v>38</v>
      </c>
      <c r="V952" s="2" t="s">
        <v>51</v>
      </c>
      <c r="W952" s="3">
        <v>45540</v>
      </c>
      <c r="X952" s="2" t="b">
        <v>1</v>
      </c>
      <c r="Y952" s="2" t="b">
        <v>1</v>
      </c>
      <c r="Z952" s="2" t="s">
        <v>62</v>
      </c>
      <c r="AA952" s="2" t="s">
        <v>41</v>
      </c>
      <c r="AB952" s="2">
        <v>7</v>
      </c>
      <c r="AC952" s="2">
        <f>SUMIF(N:N,Ecommerce_Consumer_Behavior_Analysis_Data3[[#This Row],[Brand_Loyalty]],M:M)</f>
        <v>641</v>
      </c>
      <c r="AD952" s="2" t="e" cm="1" vm="1">
        <f t="array" aca="1" ref="AD952" ca="1">SUMIFS(Y:Y,Ecommerce_Consumer_Behavior_Analysis_Data3[[#This Row],[Payment_Method]],V:V)</f>
        <v>#VALUE!</v>
      </c>
      <c r="AE952" s="2">
        <f t="shared" si="18"/>
        <v>101.31</v>
      </c>
    </row>
    <row r="953" spans="1:31" x14ac:dyDescent="0.25">
      <c r="A953" s="2" t="s">
        <v>1966</v>
      </c>
      <c r="B953" s="2">
        <v>40</v>
      </c>
      <c r="C953" s="2" t="s">
        <v>29</v>
      </c>
      <c r="D953" s="2" t="s">
        <v>44</v>
      </c>
      <c r="E953" s="2" t="s">
        <v>31</v>
      </c>
      <c r="F953" s="2" t="s">
        <v>45</v>
      </c>
      <c r="G953" s="2" t="s">
        <v>44</v>
      </c>
      <c r="H953" s="2" t="s">
        <v>1967</v>
      </c>
      <c r="I953" s="2" t="s">
        <v>114</v>
      </c>
      <c r="J953" s="2">
        <v>489.81</v>
      </c>
      <c r="K953" s="2">
        <v>11</v>
      </c>
      <c r="L953" s="2" t="s">
        <v>35</v>
      </c>
      <c r="M953" s="2">
        <v>3</v>
      </c>
      <c r="N953" s="2">
        <v>2</v>
      </c>
      <c r="O953" s="2">
        <v>1</v>
      </c>
      <c r="P953" s="2" t="s">
        <v>59</v>
      </c>
      <c r="Q953" s="2" t="s">
        <v>85</v>
      </c>
      <c r="R953" s="2">
        <v>0</v>
      </c>
      <c r="S953" s="2">
        <v>1</v>
      </c>
      <c r="T953" s="2" t="s">
        <v>36</v>
      </c>
      <c r="U953" s="2" t="s">
        <v>38</v>
      </c>
      <c r="V953" s="2" t="s">
        <v>39</v>
      </c>
      <c r="W953" s="3">
        <v>45648</v>
      </c>
      <c r="X953" s="2" t="b">
        <v>0</v>
      </c>
      <c r="Y953" s="2" t="b">
        <v>0</v>
      </c>
      <c r="Z953" s="2" t="s">
        <v>52</v>
      </c>
      <c r="AA953" s="2" t="s">
        <v>41</v>
      </c>
      <c r="AB953" s="2">
        <v>3</v>
      </c>
      <c r="AC953" s="2">
        <f>SUMIF(N:N,Ecommerce_Consumer_Behavior_Analysis_Data3[[#This Row],[Brand_Loyalty]],M:M)</f>
        <v>597</v>
      </c>
      <c r="AD953" s="2" t="e" cm="1" vm="1">
        <f t="array" aca="1" ref="AD953" ca="1">SUMIFS(Y:Y,Ecommerce_Consumer_Behavior_Analysis_Data3[[#This Row],[Payment_Method]],V:V)</f>
        <v>#VALUE!</v>
      </c>
      <c r="AE953" s="2">
        <f t="shared" si="18"/>
        <v>101.31</v>
      </c>
    </row>
    <row r="954" spans="1:31" x14ac:dyDescent="0.25">
      <c r="A954" s="2" t="s">
        <v>1968</v>
      </c>
      <c r="B954" s="2">
        <v>32</v>
      </c>
      <c r="C954" s="2" t="s">
        <v>29</v>
      </c>
      <c r="D954" s="2" t="s">
        <v>44</v>
      </c>
      <c r="E954" s="2" t="s">
        <v>55</v>
      </c>
      <c r="F954" s="2" t="s">
        <v>45</v>
      </c>
      <c r="G954" s="2" t="s">
        <v>30</v>
      </c>
      <c r="H954" s="2" t="s">
        <v>1969</v>
      </c>
      <c r="I954" s="2" t="s">
        <v>120</v>
      </c>
      <c r="J954" s="2">
        <v>455.55</v>
      </c>
      <c r="K954" s="2">
        <v>8</v>
      </c>
      <c r="L954" s="2" t="s">
        <v>35</v>
      </c>
      <c r="M954" s="2">
        <v>4</v>
      </c>
      <c r="N954" s="2">
        <v>4</v>
      </c>
      <c r="O954" s="2">
        <v>1</v>
      </c>
      <c r="P954" s="2" t="s">
        <v>44</v>
      </c>
      <c r="Q954" s="2" t="s">
        <v>37</v>
      </c>
      <c r="R954" s="2">
        <v>0</v>
      </c>
      <c r="S954" s="2">
        <v>6</v>
      </c>
      <c r="T954" s="2" t="s">
        <v>44</v>
      </c>
      <c r="U954" s="2" t="s">
        <v>79</v>
      </c>
      <c r="V954" s="2" t="s">
        <v>51</v>
      </c>
      <c r="W954" s="3">
        <v>45594</v>
      </c>
      <c r="X954" s="2" t="b">
        <v>0</v>
      </c>
      <c r="Y954" s="2" t="b">
        <v>0</v>
      </c>
      <c r="Z954" s="2" t="s">
        <v>74</v>
      </c>
      <c r="AA954" s="2" t="s">
        <v>41</v>
      </c>
      <c r="AB954" s="2">
        <v>10</v>
      </c>
      <c r="AC954" s="2">
        <f>SUMIF(N:N,Ecommerce_Consumer_Behavior_Analysis_Data3[[#This Row],[Brand_Loyalty]],M:M)</f>
        <v>603</v>
      </c>
      <c r="AD954" s="2" t="e" cm="1" vm="1">
        <f t="array" aca="1" ref="AD954" ca="1">SUMIFS(Y:Y,Ecommerce_Consumer_Behavior_Analysis_Data3[[#This Row],[Payment_Method]],V:V)</f>
        <v>#VALUE!</v>
      </c>
      <c r="AE954" s="2">
        <f t="shared" si="18"/>
        <v>101.31</v>
      </c>
    </row>
    <row r="955" spans="1:31" x14ac:dyDescent="0.25">
      <c r="A955" s="2" t="s">
        <v>1970</v>
      </c>
      <c r="B955" s="2">
        <v>29</v>
      </c>
      <c r="C955" s="2" t="s">
        <v>43</v>
      </c>
      <c r="D955" s="2" t="s">
        <v>30</v>
      </c>
      <c r="E955" s="2" t="s">
        <v>76</v>
      </c>
      <c r="F955" s="2" t="s">
        <v>56</v>
      </c>
      <c r="G955" s="2" t="s">
        <v>30</v>
      </c>
      <c r="H955" s="2" t="s">
        <v>1971</v>
      </c>
      <c r="I955" s="2" t="s">
        <v>93</v>
      </c>
      <c r="J955" s="2">
        <v>266.61</v>
      </c>
      <c r="K955" s="2">
        <v>3</v>
      </c>
      <c r="L955" s="2" t="s">
        <v>78</v>
      </c>
      <c r="M955" s="2">
        <v>3</v>
      </c>
      <c r="N955" s="2">
        <v>1</v>
      </c>
      <c r="O955" s="2">
        <v>1</v>
      </c>
      <c r="P955" s="2" t="s">
        <v>49</v>
      </c>
      <c r="Q955" s="2" t="s">
        <v>85</v>
      </c>
      <c r="R955" s="2">
        <v>2</v>
      </c>
      <c r="S955" s="2">
        <v>8</v>
      </c>
      <c r="T955" s="2" t="s">
        <v>36</v>
      </c>
      <c r="U955" s="2" t="s">
        <v>38</v>
      </c>
      <c r="V955" s="2" t="s">
        <v>61</v>
      </c>
      <c r="W955" s="3">
        <v>45449</v>
      </c>
      <c r="X955" s="2" t="b">
        <v>1</v>
      </c>
      <c r="Y955" s="2" t="b">
        <v>0</v>
      </c>
      <c r="Z955" s="2" t="s">
        <v>40</v>
      </c>
      <c r="AA955" s="2" t="s">
        <v>53</v>
      </c>
      <c r="AB955" s="2">
        <v>7</v>
      </c>
      <c r="AC955" s="2">
        <f>SUMIF(N:N,Ecommerce_Consumer_Behavior_Analysis_Data3[[#This Row],[Brand_Loyalty]],M:M)</f>
        <v>597</v>
      </c>
      <c r="AD955" s="2" t="e" cm="1" vm="1">
        <f t="array" aca="1" ref="AD955" ca="1">SUMIFS(Y:Y,Ecommerce_Consumer_Behavior_Analysis_Data3[[#This Row],[Payment_Method]],V:V)</f>
        <v>#VALUE!</v>
      </c>
      <c r="AE955" s="2">
        <f t="shared" si="18"/>
        <v>333.8</v>
      </c>
    </row>
    <row r="956" spans="1:31" x14ac:dyDescent="0.25">
      <c r="A956" s="2" t="s">
        <v>1972</v>
      </c>
      <c r="B956" s="2">
        <v>50</v>
      </c>
      <c r="C956" s="2" t="s">
        <v>212</v>
      </c>
      <c r="D956" s="2" t="s">
        <v>30</v>
      </c>
      <c r="E956" s="2" t="s">
        <v>31</v>
      </c>
      <c r="F956" s="2" t="s">
        <v>45</v>
      </c>
      <c r="G956" s="2" t="s">
        <v>44</v>
      </c>
      <c r="H956" s="2" t="s">
        <v>1973</v>
      </c>
      <c r="I956" s="2" t="s">
        <v>194</v>
      </c>
      <c r="J956" s="2">
        <v>460.88</v>
      </c>
      <c r="K956" s="2">
        <v>5</v>
      </c>
      <c r="L956" s="2" t="s">
        <v>35</v>
      </c>
      <c r="M956" s="2">
        <v>3</v>
      </c>
      <c r="N956" s="2">
        <v>4</v>
      </c>
      <c r="O956" s="2">
        <v>2</v>
      </c>
      <c r="P956" s="2" t="s">
        <v>36</v>
      </c>
      <c r="Q956" s="2" t="s">
        <v>50</v>
      </c>
      <c r="R956" s="2">
        <v>2</v>
      </c>
      <c r="S956" s="2">
        <v>4</v>
      </c>
      <c r="T956" s="2" t="s">
        <v>44</v>
      </c>
      <c r="U956" s="2" t="s">
        <v>38</v>
      </c>
      <c r="V956" s="2" t="s">
        <v>86</v>
      </c>
      <c r="W956" s="3">
        <v>45394</v>
      </c>
      <c r="X956" s="2" t="b">
        <v>1</v>
      </c>
      <c r="Y956" s="2" t="b">
        <v>0</v>
      </c>
      <c r="Z956" s="2" t="s">
        <v>62</v>
      </c>
      <c r="AA956" s="2" t="s">
        <v>53</v>
      </c>
      <c r="AB956" s="2">
        <v>2</v>
      </c>
      <c r="AC956" s="2">
        <f>SUMIF(N:N,Ecommerce_Consumer_Behavior_Analysis_Data3[[#This Row],[Brand_Loyalty]],M:M)</f>
        <v>597</v>
      </c>
      <c r="AD956" s="2" t="e" cm="1" vm="1">
        <f t="array" aca="1" ref="AD956" ca="1">SUMIFS(Y:Y,Ecommerce_Consumer_Behavior_Analysis_Data3[[#This Row],[Payment_Method]],V:V)</f>
        <v>#VALUE!</v>
      </c>
      <c r="AE956" s="2">
        <f t="shared" si="18"/>
        <v>101.31</v>
      </c>
    </row>
    <row r="957" spans="1:31" x14ac:dyDescent="0.25">
      <c r="A957" s="2" t="s">
        <v>1974</v>
      </c>
      <c r="B957" s="2">
        <v>42</v>
      </c>
      <c r="C957" s="2" t="s">
        <v>43</v>
      </c>
      <c r="D957" s="2" t="s">
        <v>44</v>
      </c>
      <c r="E957" s="2" t="s">
        <v>55</v>
      </c>
      <c r="F957" s="2" t="s">
        <v>45</v>
      </c>
      <c r="G957" s="2" t="s">
        <v>30</v>
      </c>
      <c r="H957" s="2" t="s">
        <v>1975</v>
      </c>
      <c r="I957" s="2" t="s">
        <v>142</v>
      </c>
      <c r="J957" s="2">
        <v>361.4</v>
      </c>
      <c r="K957" s="2">
        <v>2</v>
      </c>
      <c r="L957" s="2" t="s">
        <v>48</v>
      </c>
      <c r="M957" s="2">
        <v>2</v>
      </c>
      <c r="N957" s="2">
        <v>5</v>
      </c>
      <c r="O957" s="2">
        <v>1</v>
      </c>
      <c r="P957" s="2" t="s">
        <v>49</v>
      </c>
      <c r="Q957" s="2" t="s">
        <v>37</v>
      </c>
      <c r="R957" s="2">
        <v>0</v>
      </c>
      <c r="S957" s="2">
        <v>5</v>
      </c>
      <c r="T957" s="2" t="s">
        <v>49</v>
      </c>
      <c r="U957" s="2" t="s">
        <v>79</v>
      </c>
      <c r="V957" s="2" t="s">
        <v>39</v>
      </c>
      <c r="W957" s="3">
        <v>45647</v>
      </c>
      <c r="X957" s="2" t="b">
        <v>0</v>
      </c>
      <c r="Y957" s="2" t="b">
        <v>1</v>
      </c>
      <c r="Z957" s="2" t="s">
        <v>62</v>
      </c>
      <c r="AA957" s="2" t="s">
        <v>41</v>
      </c>
      <c r="AB957" s="2">
        <v>7</v>
      </c>
      <c r="AC957" s="2">
        <f>SUMIF(N:N,Ecommerce_Consumer_Behavior_Analysis_Data3[[#This Row],[Brand_Loyalty]],M:M)</f>
        <v>582</v>
      </c>
      <c r="AD957" s="2" t="e" cm="1" vm="1">
        <f t="array" aca="1" ref="AD957" ca="1">SUMIFS(Y:Y,Ecommerce_Consumer_Behavior_Analysis_Data3[[#This Row],[Payment_Method]],V:V)</f>
        <v>#VALUE!</v>
      </c>
      <c r="AE957" s="2">
        <f t="shared" si="18"/>
        <v>497.8</v>
      </c>
    </row>
    <row r="958" spans="1:31" x14ac:dyDescent="0.25">
      <c r="A958" s="2" t="s">
        <v>1976</v>
      </c>
      <c r="B958" s="2">
        <v>47</v>
      </c>
      <c r="C958" s="2" t="s">
        <v>29</v>
      </c>
      <c r="D958" s="2" t="s">
        <v>30</v>
      </c>
      <c r="E958" s="2" t="s">
        <v>76</v>
      </c>
      <c r="F958" s="2" t="s">
        <v>56</v>
      </c>
      <c r="G958" s="2" t="s">
        <v>30</v>
      </c>
      <c r="H958" s="2" t="s">
        <v>1977</v>
      </c>
      <c r="I958" s="2" t="s">
        <v>123</v>
      </c>
      <c r="J958" s="2">
        <v>51.86</v>
      </c>
      <c r="K958" s="2">
        <v>4</v>
      </c>
      <c r="L958" s="2" t="s">
        <v>35</v>
      </c>
      <c r="M958" s="2">
        <v>3</v>
      </c>
      <c r="N958" s="2">
        <v>5</v>
      </c>
      <c r="O958" s="2">
        <v>0.2</v>
      </c>
      <c r="P958" s="2" t="s">
        <v>49</v>
      </c>
      <c r="Q958" s="2" t="s">
        <v>50</v>
      </c>
      <c r="R958" s="2">
        <v>2</v>
      </c>
      <c r="S958" s="2">
        <v>6</v>
      </c>
      <c r="T958" s="2" t="s">
        <v>44</v>
      </c>
      <c r="U958" s="2" t="s">
        <v>38</v>
      </c>
      <c r="V958" s="2" t="s">
        <v>39</v>
      </c>
      <c r="W958" s="3">
        <v>45651</v>
      </c>
      <c r="X958" s="2" t="b">
        <v>0</v>
      </c>
      <c r="Y958" s="2" t="b">
        <v>1</v>
      </c>
      <c r="Z958" s="2" t="s">
        <v>40</v>
      </c>
      <c r="AA958" s="2" t="s">
        <v>41</v>
      </c>
      <c r="AB958" s="2">
        <v>6</v>
      </c>
      <c r="AC958" s="2">
        <f>SUMIF(N:N,Ecommerce_Consumer_Behavior_Analysis_Data3[[#This Row],[Brand_Loyalty]],M:M)</f>
        <v>597</v>
      </c>
      <c r="AD958" s="2" t="e" cm="1" vm="1">
        <f t="array" aca="1" ref="AD958" ca="1">SUMIFS(Y:Y,Ecommerce_Consumer_Behavior_Analysis_Data3[[#This Row],[Payment_Method]],V:V)</f>
        <v>#VALUE!</v>
      </c>
      <c r="AE958" s="2">
        <f t="shared" si="18"/>
        <v>101.31</v>
      </c>
    </row>
    <row r="959" spans="1:31" x14ac:dyDescent="0.25">
      <c r="A959" s="2" t="s">
        <v>1978</v>
      </c>
      <c r="B959" s="2">
        <v>27</v>
      </c>
      <c r="C959" s="2" t="s">
        <v>43</v>
      </c>
      <c r="D959" s="2" t="s">
        <v>30</v>
      </c>
      <c r="E959" s="2" t="s">
        <v>31</v>
      </c>
      <c r="F959" s="2" t="s">
        <v>45</v>
      </c>
      <c r="G959" s="2" t="s">
        <v>30</v>
      </c>
      <c r="H959" s="2" t="s">
        <v>1979</v>
      </c>
      <c r="I959" s="2" t="s">
        <v>58</v>
      </c>
      <c r="J959" s="2">
        <v>310.16000000000003</v>
      </c>
      <c r="K959" s="2">
        <v>5</v>
      </c>
      <c r="L959" s="2" t="s">
        <v>35</v>
      </c>
      <c r="M959" s="2">
        <v>5</v>
      </c>
      <c r="N959" s="2">
        <v>3</v>
      </c>
      <c r="O959" s="2">
        <v>1</v>
      </c>
      <c r="P959" s="2" t="s">
        <v>36</v>
      </c>
      <c r="Q959" s="2" t="s">
        <v>37</v>
      </c>
      <c r="R959" s="2">
        <v>0</v>
      </c>
      <c r="S959" s="2">
        <v>4</v>
      </c>
      <c r="T959" s="2" t="s">
        <v>44</v>
      </c>
      <c r="U959" s="2" t="s">
        <v>79</v>
      </c>
      <c r="V959" s="2" t="s">
        <v>86</v>
      </c>
      <c r="W959" s="3">
        <v>45627</v>
      </c>
      <c r="X959" s="2" t="b">
        <v>0</v>
      </c>
      <c r="Y959" s="2" t="b">
        <v>0</v>
      </c>
      <c r="Z959" s="2" t="s">
        <v>40</v>
      </c>
      <c r="AA959" s="2" t="s">
        <v>53</v>
      </c>
      <c r="AB959" s="2">
        <v>14</v>
      </c>
      <c r="AC959" s="2">
        <f>SUMIF(N:N,Ecommerce_Consumer_Behavior_Analysis_Data3[[#This Row],[Brand_Loyalty]],M:M)</f>
        <v>641</v>
      </c>
      <c r="AD959" s="2" t="e" cm="1" vm="1">
        <f t="array" aca="1" ref="AD959" ca="1">SUMIFS(Y:Y,Ecommerce_Consumer_Behavior_Analysis_Data3[[#This Row],[Payment_Method]],V:V)</f>
        <v>#VALUE!</v>
      </c>
      <c r="AE959" s="2">
        <f t="shared" si="18"/>
        <v>101.31</v>
      </c>
    </row>
    <row r="960" spans="1:31" x14ac:dyDescent="0.25">
      <c r="A960" s="2" t="s">
        <v>1980</v>
      </c>
      <c r="B960" s="2">
        <v>40</v>
      </c>
      <c r="C960" s="2" t="s">
        <v>29</v>
      </c>
      <c r="D960" s="2" t="s">
        <v>30</v>
      </c>
      <c r="E960" s="2" t="s">
        <v>69</v>
      </c>
      <c r="F960" s="2" t="s">
        <v>56</v>
      </c>
      <c r="G960" s="2" t="s">
        <v>30</v>
      </c>
      <c r="H960" s="2" t="s">
        <v>1981</v>
      </c>
      <c r="I960" s="2" t="s">
        <v>114</v>
      </c>
      <c r="J960" s="2">
        <v>300.73</v>
      </c>
      <c r="K960" s="2">
        <v>8</v>
      </c>
      <c r="L960" s="2" t="s">
        <v>78</v>
      </c>
      <c r="M960" s="2">
        <v>4</v>
      </c>
      <c r="N960" s="2">
        <v>2</v>
      </c>
      <c r="O960" s="2">
        <v>1</v>
      </c>
      <c r="P960" s="2" t="s">
        <v>59</v>
      </c>
      <c r="Q960" s="2" t="s">
        <v>37</v>
      </c>
      <c r="R960" s="2">
        <v>2</v>
      </c>
      <c r="S960" s="2">
        <v>9</v>
      </c>
      <c r="T960" s="2" t="s">
        <v>44</v>
      </c>
      <c r="U960" s="2" t="s">
        <v>79</v>
      </c>
      <c r="V960" s="2" t="s">
        <v>86</v>
      </c>
      <c r="W960" s="3">
        <v>45382</v>
      </c>
      <c r="X960" s="2" t="b">
        <v>1</v>
      </c>
      <c r="Y960" s="2" t="b">
        <v>1</v>
      </c>
      <c r="Z960" s="2" t="s">
        <v>40</v>
      </c>
      <c r="AA960" s="2" t="s">
        <v>41</v>
      </c>
      <c r="AB960" s="2">
        <v>10</v>
      </c>
      <c r="AC960" s="2">
        <f>SUMIF(N:N,Ecommerce_Consumer_Behavior_Analysis_Data3[[#This Row],[Brand_Loyalty]],M:M)</f>
        <v>603</v>
      </c>
      <c r="AD960" s="2" t="e" cm="1" vm="1">
        <f t="array" aca="1" ref="AD960" ca="1">SUMIFS(Y:Y,Ecommerce_Consumer_Behavior_Analysis_Data3[[#This Row],[Payment_Method]],V:V)</f>
        <v>#VALUE!</v>
      </c>
      <c r="AE960" s="2">
        <f t="shared" si="18"/>
        <v>211.7</v>
      </c>
    </row>
    <row r="961" spans="1:31" x14ac:dyDescent="0.25">
      <c r="A961" s="2" t="s">
        <v>1982</v>
      </c>
      <c r="B961" s="2">
        <v>28</v>
      </c>
      <c r="C961" s="2" t="s">
        <v>29</v>
      </c>
      <c r="D961" s="2" t="s">
        <v>44</v>
      </c>
      <c r="E961" s="2" t="s">
        <v>31</v>
      </c>
      <c r="F961" s="2" t="s">
        <v>45</v>
      </c>
      <c r="G961" s="2" t="s">
        <v>30</v>
      </c>
      <c r="H961" s="2" t="s">
        <v>1983</v>
      </c>
      <c r="I961" s="2" t="s">
        <v>114</v>
      </c>
      <c r="J961" s="2">
        <v>356.87</v>
      </c>
      <c r="K961" s="2">
        <v>12</v>
      </c>
      <c r="L961" s="2" t="s">
        <v>35</v>
      </c>
      <c r="M961" s="2">
        <v>1</v>
      </c>
      <c r="N961" s="2">
        <v>4</v>
      </c>
      <c r="O961" s="2">
        <v>0</v>
      </c>
      <c r="P961" s="2" t="s">
        <v>44</v>
      </c>
      <c r="Q961" s="2" t="s">
        <v>50</v>
      </c>
      <c r="R961" s="2">
        <v>1</v>
      </c>
      <c r="S961" s="2">
        <v>9</v>
      </c>
      <c r="T961" s="2" t="s">
        <v>49</v>
      </c>
      <c r="U961" s="2" t="s">
        <v>60</v>
      </c>
      <c r="V961" s="2" t="s">
        <v>61</v>
      </c>
      <c r="W961" s="3">
        <v>45577</v>
      </c>
      <c r="X961" s="2" t="b">
        <v>0</v>
      </c>
      <c r="Y961" s="2" t="b">
        <v>1</v>
      </c>
      <c r="Z961" s="2" t="s">
        <v>62</v>
      </c>
      <c r="AA961" s="2" t="s">
        <v>53</v>
      </c>
      <c r="AB961" s="2">
        <v>10</v>
      </c>
      <c r="AC961" s="2">
        <f>SUMIF(N:N,Ecommerce_Consumer_Behavior_Analysis_Data3[[#This Row],[Brand_Loyalty]],M:M)</f>
        <v>603</v>
      </c>
      <c r="AD961" s="2" t="e" cm="1" vm="1">
        <f t="array" aca="1" ref="AD961" ca="1">SUMIFS(Y:Y,Ecommerce_Consumer_Behavior_Analysis_Data3[[#This Row],[Payment_Method]],V:V)</f>
        <v>#VALUE!</v>
      </c>
      <c r="AE961" s="2">
        <f t="shared" si="18"/>
        <v>101.31</v>
      </c>
    </row>
    <row r="962" spans="1:31" x14ac:dyDescent="0.25">
      <c r="A962" s="2" t="s">
        <v>1984</v>
      </c>
      <c r="B962" s="2">
        <v>28</v>
      </c>
      <c r="C962" s="2" t="s">
        <v>43</v>
      </c>
      <c r="D962" s="2" t="s">
        <v>30</v>
      </c>
      <c r="E962" s="2" t="s">
        <v>69</v>
      </c>
      <c r="F962" s="2" t="s">
        <v>45</v>
      </c>
      <c r="G962" s="2" t="s">
        <v>30</v>
      </c>
      <c r="H962" s="2" t="s">
        <v>1985</v>
      </c>
      <c r="I962" s="2" t="s">
        <v>183</v>
      </c>
      <c r="J962" s="2">
        <v>82.37</v>
      </c>
      <c r="K962" s="2">
        <v>6</v>
      </c>
      <c r="L962" s="2" t="s">
        <v>35</v>
      </c>
      <c r="M962" s="2">
        <v>1</v>
      </c>
      <c r="N962" s="2">
        <v>1</v>
      </c>
      <c r="O962" s="2">
        <v>1</v>
      </c>
      <c r="P962" s="2" t="s">
        <v>49</v>
      </c>
      <c r="Q962" s="2" t="s">
        <v>50</v>
      </c>
      <c r="R962" s="2">
        <v>0</v>
      </c>
      <c r="S962" s="2">
        <v>4</v>
      </c>
      <c r="T962" s="2" t="s">
        <v>49</v>
      </c>
      <c r="U962" s="2" t="s">
        <v>60</v>
      </c>
      <c r="V962" s="2" t="s">
        <v>39</v>
      </c>
      <c r="W962" s="3">
        <v>45651</v>
      </c>
      <c r="X962" s="2" t="b">
        <v>0</v>
      </c>
      <c r="Y962" s="2" t="b">
        <v>0</v>
      </c>
      <c r="Z962" s="2" t="s">
        <v>62</v>
      </c>
      <c r="AA962" s="2" t="s">
        <v>53</v>
      </c>
      <c r="AB962" s="2">
        <v>2</v>
      </c>
      <c r="AC962" s="2">
        <f>SUMIF(N:N,Ecommerce_Consumer_Behavior_Analysis_Data3[[#This Row],[Brand_Loyalty]],M:M)</f>
        <v>603</v>
      </c>
      <c r="AD962" s="2" t="e" cm="1" vm="1">
        <f t="array" aca="1" ref="AD962" ca="1">SUMIFS(Y:Y,Ecommerce_Consumer_Behavior_Analysis_Data3[[#This Row],[Payment_Method]],V:V)</f>
        <v>#VALUE!</v>
      </c>
      <c r="AE962" s="2">
        <f t="shared" ref="AE962:AE1001" si="19">INDEX(J:J,MATCH(O963,O:O,0))</f>
        <v>101.31</v>
      </c>
    </row>
    <row r="963" spans="1:31" x14ac:dyDescent="0.25">
      <c r="A963" s="2" t="s">
        <v>1986</v>
      </c>
      <c r="B963" s="2">
        <v>29</v>
      </c>
      <c r="C963" s="2" t="s">
        <v>29</v>
      </c>
      <c r="D963" s="2" t="s">
        <v>44</v>
      </c>
      <c r="E963" s="2" t="s">
        <v>76</v>
      </c>
      <c r="F963" s="2" t="s">
        <v>32</v>
      </c>
      <c r="G963" s="2" t="s">
        <v>44</v>
      </c>
      <c r="H963" s="2" t="s">
        <v>1696</v>
      </c>
      <c r="I963" s="2" t="s">
        <v>183</v>
      </c>
      <c r="J963" s="2">
        <v>372.6</v>
      </c>
      <c r="K963" s="2">
        <v>3</v>
      </c>
      <c r="L963" s="2" t="s">
        <v>35</v>
      </c>
      <c r="M963" s="2">
        <v>4</v>
      </c>
      <c r="N963" s="2">
        <v>5</v>
      </c>
      <c r="O963" s="2">
        <v>1</v>
      </c>
      <c r="P963" s="2" t="s">
        <v>44</v>
      </c>
      <c r="Q963" s="2" t="s">
        <v>85</v>
      </c>
      <c r="R963" s="2">
        <v>2</v>
      </c>
      <c r="S963" s="2">
        <v>6</v>
      </c>
      <c r="T963" s="2" t="s">
        <v>59</v>
      </c>
      <c r="U963" s="2" t="s">
        <v>38</v>
      </c>
      <c r="V963" s="2" t="s">
        <v>51</v>
      </c>
      <c r="W963" s="3">
        <v>45302</v>
      </c>
      <c r="X963" s="2" t="b">
        <v>1</v>
      </c>
      <c r="Y963" s="2" t="b">
        <v>1</v>
      </c>
      <c r="Z963" s="2" t="s">
        <v>74</v>
      </c>
      <c r="AA963" s="2" t="s">
        <v>67</v>
      </c>
      <c r="AB963" s="2">
        <v>10</v>
      </c>
      <c r="AC963" s="2">
        <f>SUMIF(N:N,Ecommerce_Consumer_Behavior_Analysis_Data3[[#This Row],[Brand_Loyalty]],M:M)</f>
        <v>603</v>
      </c>
      <c r="AD963" s="2" t="e" cm="1" vm="1">
        <f t="array" aca="1" ref="AD963" ca="1">SUMIFS(Y:Y,Ecommerce_Consumer_Behavior_Analysis_Data3[[#This Row],[Payment_Method]],V:V)</f>
        <v>#VALUE!</v>
      </c>
      <c r="AE963" s="2">
        <f t="shared" si="19"/>
        <v>333.8</v>
      </c>
    </row>
    <row r="964" spans="1:31" x14ac:dyDescent="0.25">
      <c r="A964" s="2" t="s">
        <v>1987</v>
      </c>
      <c r="B964" s="2">
        <v>29</v>
      </c>
      <c r="C964" s="2" t="s">
        <v>29</v>
      </c>
      <c r="D964" s="2" t="s">
        <v>30</v>
      </c>
      <c r="E964" s="2" t="s">
        <v>69</v>
      </c>
      <c r="F964" s="2" t="s">
        <v>45</v>
      </c>
      <c r="G964" s="2" t="s">
        <v>44</v>
      </c>
      <c r="H964" s="2" t="s">
        <v>1988</v>
      </c>
      <c r="I964" s="2" t="s">
        <v>101</v>
      </c>
      <c r="J964" s="2">
        <v>78.319999999999993</v>
      </c>
      <c r="K964" s="2">
        <v>9</v>
      </c>
      <c r="L964" s="2" t="s">
        <v>78</v>
      </c>
      <c r="M964" s="2">
        <v>2</v>
      </c>
      <c r="N964" s="2">
        <v>4</v>
      </c>
      <c r="O964" s="2">
        <v>2</v>
      </c>
      <c r="P964" s="2" t="s">
        <v>59</v>
      </c>
      <c r="Q964" s="2" t="s">
        <v>37</v>
      </c>
      <c r="R964" s="2">
        <v>2</v>
      </c>
      <c r="S964" s="2">
        <v>10</v>
      </c>
      <c r="T964" s="2" t="s">
        <v>59</v>
      </c>
      <c r="U964" s="2" t="s">
        <v>60</v>
      </c>
      <c r="V964" s="2" t="s">
        <v>51</v>
      </c>
      <c r="W964" s="3">
        <v>45502</v>
      </c>
      <c r="X964" s="2" t="b">
        <v>0</v>
      </c>
      <c r="Y964" s="2" t="b">
        <v>1</v>
      </c>
      <c r="Z964" s="2" t="s">
        <v>40</v>
      </c>
      <c r="AA964" s="2" t="s">
        <v>53</v>
      </c>
      <c r="AB964" s="2">
        <v>7</v>
      </c>
      <c r="AC964" s="2">
        <f>SUMIF(N:N,Ecommerce_Consumer_Behavior_Analysis_Data3[[#This Row],[Brand_Loyalty]],M:M)</f>
        <v>582</v>
      </c>
      <c r="AD964" s="2" t="e" cm="1" vm="1">
        <f t="array" aca="1" ref="AD964" ca="1">SUMIFS(Y:Y,Ecommerce_Consumer_Behavior_Analysis_Data3[[#This Row],[Payment_Method]],V:V)</f>
        <v>#VALUE!</v>
      </c>
      <c r="AE964" s="2">
        <f t="shared" si="19"/>
        <v>101.31</v>
      </c>
    </row>
    <row r="965" spans="1:31" x14ac:dyDescent="0.25">
      <c r="A965" s="2" t="s">
        <v>1989</v>
      </c>
      <c r="B965" s="2">
        <v>32</v>
      </c>
      <c r="C965" s="2" t="s">
        <v>29</v>
      </c>
      <c r="D965" s="2" t="s">
        <v>44</v>
      </c>
      <c r="E965" s="2" t="s">
        <v>55</v>
      </c>
      <c r="F965" s="2" t="s">
        <v>56</v>
      </c>
      <c r="G965" s="2" t="s">
        <v>44</v>
      </c>
      <c r="H965" s="2" t="s">
        <v>1990</v>
      </c>
      <c r="I965" s="2" t="s">
        <v>123</v>
      </c>
      <c r="J965" s="2">
        <v>71.72</v>
      </c>
      <c r="K965" s="2">
        <v>12</v>
      </c>
      <c r="L965" s="2" t="s">
        <v>78</v>
      </c>
      <c r="M965" s="2">
        <v>3</v>
      </c>
      <c r="N965" s="2">
        <v>5</v>
      </c>
      <c r="O965" s="2">
        <v>1</v>
      </c>
      <c r="P965" s="2" t="s">
        <v>44</v>
      </c>
      <c r="Q965" s="2" t="s">
        <v>37</v>
      </c>
      <c r="R965" s="2">
        <v>2</v>
      </c>
      <c r="S965" s="2">
        <v>5</v>
      </c>
      <c r="T965" s="2" t="s">
        <v>59</v>
      </c>
      <c r="U965" s="2" t="s">
        <v>38</v>
      </c>
      <c r="V965" s="2" t="s">
        <v>51</v>
      </c>
      <c r="W965" s="3">
        <v>45302</v>
      </c>
      <c r="X965" s="2" t="b">
        <v>1</v>
      </c>
      <c r="Y965" s="2" t="b">
        <v>1</v>
      </c>
      <c r="Z965" s="2" t="s">
        <v>52</v>
      </c>
      <c r="AA965" s="2" t="s">
        <v>67</v>
      </c>
      <c r="AB965" s="2">
        <v>13</v>
      </c>
      <c r="AC965" s="2">
        <f>SUMIF(N:N,Ecommerce_Consumer_Behavior_Analysis_Data3[[#This Row],[Brand_Loyalty]],M:M)</f>
        <v>597</v>
      </c>
      <c r="AD965" s="2" t="e" cm="1" vm="1">
        <f t="array" aca="1" ref="AD965" ca="1">SUMIFS(Y:Y,Ecommerce_Consumer_Behavior_Analysis_Data3[[#This Row],[Payment_Method]],V:V)</f>
        <v>#VALUE!</v>
      </c>
      <c r="AE965" s="2">
        <f t="shared" si="19"/>
        <v>333.8</v>
      </c>
    </row>
    <row r="966" spans="1:31" x14ac:dyDescent="0.25">
      <c r="A966" s="2" t="s">
        <v>1991</v>
      </c>
      <c r="B966" s="2">
        <v>39</v>
      </c>
      <c r="C966" s="2" t="s">
        <v>29</v>
      </c>
      <c r="D966" s="2" t="s">
        <v>44</v>
      </c>
      <c r="E966" s="2" t="s">
        <v>55</v>
      </c>
      <c r="F966" s="2" t="s">
        <v>45</v>
      </c>
      <c r="G966" s="2" t="s">
        <v>44</v>
      </c>
      <c r="H966" s="2" t="s">
        <v>1992</v>
      </c>
      <c r="I966" s="2" t="s">
        <v>98</v>
      </c>
      <c r="J966" s="2">
        <v>241.1</v>
      </c>
      <c r="K966" s="2">
        <v>12</v>
      </c>
      <c r="L966" s="2" t="s">
        <v>48</v>
      </c>
      <c r="M966" s="2">
        <v>1</v>
      </c>
      <c r="N966" s="2">
        <v>5</v>
      </c>
      <c r="O966" s="2">
        <v>2</v>
      </c>
      <c r="P966" s="2" t="s">
        <v>36</v>
      </c>
      <c r="Q966" s="2" t="s">
        <v>50</v>
      </c>
      <c r="R966" s="2">
        <v>2</v>
      </c>
      <c r="S966" s="2">
        <v>2</v>
      </c>
      <c r="T966" s="2" t="s">
        <v>49</v>
      </c>
      <c r="U966" s="2" t="s">
        <v>79</v>
      </c>
      <c r="V966" s="2" t="s">
        <v>39</v>
      </c>
      <c r="W966" s="3">
        <v>45503</v>
      </c>
      <c r="X966" s="2" t="b">
        <v>0</v>
      </c>
      <c r="Y966" s="2" t="b">
        <v>1</v>
      </c>
      <c r="Z966" s="2" t="s">
        <v>74</v>
      </c>
      <c r="AA966" s="2" t="s">
        <v>41</v>
      </c>
      <c r="AB966" s="2">
        <v>8</v>
      </c>
      <c r="AC966" s="2">
        <f>SUMIF(N:N,Ecommerce_Consumer_Behavior_Analysis_Data3[[#This Row],[Brand_Loyalty]],M:M)</f>
        <v>603</v>
      </c>
      <c r="AD966" s="2" t="e" cm="1" vm="1">
        <f t="array" aca="1" ref="AD966" ca="1">SUMIFS(Y:Y,Ecommerce_Consumer_Behavior_Analysis_Data3[[#This Row],[Payment_Method]],V:V)</f>
        <v>#VALUE!</v>
      </c>
      <c r="AE966" s="2">
        <f t="shared" si="19"/>
        <v>211.7</v>
      </c>
    </row>
    <row r="967" spans="1:31" x14ac:dyDescent="0.25">
      <c r="A967" s="2" t="s">
        <v>1993</v>
      </c>
      <c r="B967" s="2">
        <v>22</v>
      </c>
      <c r="C967" s="2" t="s">
        <v>43</v>
      </c>
      <c r="D967" s="2" t="s">
        <v>30</v>
      </c>
      <c r="E967" s="2" t="s">
        <v>31</v>
      </c>
      <c r="F967" s="2" t="s">
        <v>32</v>
      </c>
      <c r="G967" s="2" t="s">
        <v>44</v>
      </c>
      <c r="H967" s="2" t="s">
        <v>1994</v>
      </c>
      <c r="I967" s="2" t="s">
        <v>194</v>
      </c>
      <c r="J967" s="2">
        <v>96.86</v>
      </c>
      <c r="K967" s="2">
        <v>9</v>
      </c>
      <c r="L967" s="2" t="s">
        <v>35</v>
      </c>
      <c r="M967" s="2">
        <v>5</v>
      </c>
      <c r="N967" s="2">
        <v>5</v>
      </c>
      <c r="O967" s="2">
        <v>0</v>
      </c>
      <c r="P967" s="2" t="s">
        <v>36</v>
      </c>
      <c r="Q967" s="2" t="s">
        <v>50</v>
      </c>
      <c r="R967" s="2">
        <v>2</v>
      </c>
      <c r="S967" s="2">
        <v>10</v>
      </c>
      <c r="T967" s="2" t="s">
        <v>49</v>
      </c>
      <c r="U967" s="2" t="s">
        <v>79</v>
      </c>
      <c r="V967" s="2" t="s">
        <v>61</v>
      </c>
      <c r="W967" s="3">
        <v>45501</v>
      </c>
      <c r="X967" s="2" t="b">
        <v>0</v>
      </c>
      <c r="Y967" s="2" t="b">
        <v>1</v>
      </c>
      <c r="Z967" s="2" t="s">
        <v>52</v>
      </c>
      <c r="AA967" s="2" t="s">
        <v>53</v>
      </c>
      <c r="AB967" s="2">
        <v>7</v>
      </c>
      <c r="AC967" s="2">
        <f>SUMIF(N:N,Ecommerce_Consumer_Behavior_Analysis_Data3[[#This Row],[Brand_Loyalty]],M:M)</f>
        <v>641</v>
      </c>
      <c r="AD967" s="2" t="e" cm="1" vm="1">
        <f t="array" aca="1" ref="AD967" ca="1">SUMIFS(Y:Y,Ecommerce_Consumer_Behavior_Analysis_Data3[[#This Row],[Payment_Method]],V:V)</f>
        <v>#VALUE!</v>
      </c>
      <c r="AE967" s="2">
        <f t="shared" si="19"/>
        <v>333.8</v>
      </c>
    </row>
    <row r="968" spans="1:31" x14ac:dyDescent="0.25">
      <c r="A968" s="2" t="s">
        <v>1995</v>
      </c>
      <c r="B968" s="2">
        <v>48</v>
      </c>
      <c r="C968" s="2" t="s">
        <v>43</v>
      </c>
      <c r="D968" s="2" t="s">
        <v>30</v>
      </c>
      <c r="E968" s="2" t="s">
        <v>76</v>
      </c>
      <c r="F968" s="2" t="s">
        <v>56</v>
      </c>
      <c r="G968" s="2" t="s">
        <v>44</v>
      </c>
      <c r="H968" s="2" t="s">
        <v>1996</v>
      </c>
      <c r="I968" s="2" t="s">
        <v>47</v>
      </c>
      <c r="J968" s="2">
        <v>276.25</v>
      </c>
      <c r="K968" s="2">
        <v>11</v>
      </c>
      <c r="L968" s="2" t="s">
        <v>48</v>
      </c>
      <c r="M968" s="2">
        <v>2</v>
      </c>
      <c r="N968" s="2">
        <v>1</v>
      </c>
      <c r="O968" s="2">
        <v>2</v>
      </c>
      <c r="P968" s="2" t="s">
        <v>44</v>
      </c>
      <c r="Q968" s="2" t="s">
        <v>50</v>
      </c>
      <c r="R968" s="2">
        <v>2</v>
      </c>
      <c r="S968" s="2">
        <v>4</v>
      </c>
      <c r="T968" s="2" t="s">
        <v>36</v>
      </c>
      <c r="U968" s="2" t="s">
        <v>60</v>
      </c>
      <c r="V968" s="2" t="s">
        <v>86</v>
      </c>
      <c r="W968" s="3">
        <v>45607</v>
      </c>
      <c r="X968" s="2" t="b">
        <v>1</v>
      </c>
      <c r="Y968" s="2" t="b">
        <v>1</v>
      </c>
      <c r="Z968" s="2" t="s">
        <v>62</v>
      </c>
      <c r="AA968" s="2" t="s">
        <v>67</v>
      </c>
      <c r="AB968" s="2">
        <v>8</v>
      </c>
      <c r="AC968" s="2">
        <f>SUMIF(N:N,Ecommerce_Consumer_Behavior_Analysis_Data3[[#This Row],[Brand_Loyalty]],M:M)</f>
        <v>582</v>
      </c>
      <c r="AD968" s="2" t="e" cm="1" vm="1">
        <f t="array" aca="1" ref="AD968" ca="1">SUMIFS(Y:Y,Ecommerce_Consumer_Behavior_Analysis_Data3[[#This Row],[Payment_Method]],V:V)</f>
        <v>#VALUE!</v>
      </c>
      <c r="AE968" s="2">
        <f t="shared" si="19"/>
        <v>333.8</v>
      </c>
    </row>
    <row r="969" spans="1:31" x14ac:dyDescent="0.25">
      <c r="A969" s="2" t="s">
        <v>1997</v>
      </c>
      <c r="B969" s="2">
        <v>29</v>
      </c>
      <c r="C969" s="2" t="s">
        <v>43</v>
      </c>
      <c r="D969" s="2" t="s">
        <v>30</v>
      </c>
      <c r="E969" s="2" t="s">
        <v>69</v>
      </c>
      <c r="F969" s="2" t="s">
        <v>56</v>
      </c>
      <c r="G969" s="2" t="s">
        <v>30</v>
      </c>
      <c r="H969" s="2" t="s">
        <v>1998</v>
      </c>
      <c r="I969" s="2" t="s">
        <v>58</v>
      </c>
      <c r="J969" s="2">
        <v>318.45</v>
      </c>
      <c r="K969" s="2">
        <v>10</v>
      </c>
      <c r="L969" s="2" t="s">
        <v>48</v>
      </c>
      <c r="M969" s="2">
        <v>2</v>
      </c>
      <c r="N969" s="2">
        <v>1</v>
      </c>
      <c r="O969" s="2">
        <v>2</v>
      </c>
      <c r="P969" s="2" t="s">
        <v>36</v>
      </c>
      <c r="Q969" s="2" t="s">
        <v>37</v>
      </c>
      <c r="R969" s="2">
        <v>2</v>
      </c>
      <c r="S969" s="2">
        <v>4</v>
      </c>
      <c r="T969" s="2" t="s">
        <v>44</v>
      </c>
      <c r="U969" s="2" t="s">
        <v>60</v>
      </c>
      <c r="V969" s="2" t="s">
        <v>66</v>
      </c>
      <c r="W969" s="3">
        <v>45590</v>
      </c>
      <c r="X969" s="2" t="b">
        <v>0</v>
      </c>
      <c r="Y969" s="2" t="b">
        <v>1</v>
      </c>
      <c r="Z969" s="2" t="s">
        <v>74</v>
      </c>
      <c r="AA969" s="2" t="s">
        <v>41</v>
      </c>
      <c r="AB969" s="2">
        <v>5</v>
      </c>
      <c r="AC969" s="2">
        <f>SUMIF(N:N,Ecommerce_Consumer_Behavior_Analysis_Data3[[#This Row],[Brand_Loyalty]],M:M)</f>
        <v>582</v>
      </c>
      <c r="AD969" s="2" t="e" cm="1" vm="1">
        <f t="array" aca="1" ref="AD969" ca="1">SUMIFS(Y:Y,Ecommerce_Consumer_Behavior_Analysis_Data3[[#This Row],[Payment_Method]],V:V)</f>
        <v>#VALUE!</v>
      </c>
      <c r="AE969" s="2">
        <f t="shared" si="19"/>
        <v>211.7</v>
      </c>
    </row>
    <row r="970" spans="1:31" x14ac:dyDescent="0.25">
      <c r="A970" s="2" t="s">
        <v>1999</v>
      </c>
      <c r="B970" s="2">
        <v>41</v>
      </c>
      <c r="C970" s="2" t="s">
        <v>29</v>
      </c>
      <c r="D970" s="2" t="s">
        <v>44</v>
      </c>
      <c r="E970" s="2" t="s">
        <v>31</v>
      </c>
      <c r="F970" s="2" t="s">
        <v>45</v>
      </c>
      <c r="G970" s="2" t="s">
        <v>44</v>
      </c>
      <c r="H970" s="2" t="s">
        <v>2000</v>
      </c>
      <c r="I970" s="2" t="s">
        <v>101</v>
      </c>
      <c r="J970" s="2">
        <v>117.03</v>
      </c>
      <c r="K970" s="2">
        <v>6</v>
      </c>
      <c r="L970" s="2" t="s">
        <v>78</v>
      </c>
      <c r="M970" s="2">
        <v>3</v>
      </c>
      <c r="N970" s="2">
        <v>2</v>
      </c>
      <c r="O970" s="2">
        <v>0</v>
      </c>
      <c r="P970" s="2" t="s">
        <v>36</v>
      </c>
      <c r="Q970" s="2" t="s">
        <v>85</v>
      </c>
      <c r="R970" s="2">
        <v>2</v>
      </c>
      <c r="S970" s="2">
        <v>9</v>
      </c>
      <c r="T970" s="2" t="s">
        <v>49</v>
      </c>
      <c r="U970" s="2" t="s">
        <v>38</v>
      </c>
      <c r="V970" s="2" t="s">
        <v>86</v>
      </c>
      <c r="W970" s="3">
        <v>45555</v>
      </c>
      <c r="X970" s="2" t="b">
        <v>0</v>
      </c>
      <c r="Y970" s="2" t="b">
        <v>0</v>
      </c>
      <c r="Z970" s="2" t="s">
        <v>62</v>
      </c>
      <c r="AA970" s="2" t="s">
        <v>53</v>
      </c>
      <c r="AB970" s="2">
        <v>5</v>
      </c>
      <c r="AC970" s="2">
        <f>SUMIF(N:N,Ecommerce_Consumer_Behavior_Analysis_Data3[[#This Row],[Brand_Loyalty]],M:M)</f>
        <v>597</v>
      </c>
      <c r="AD970" s="2" t="e" cm="1" vm="1">
        <f t="array" aca="1" ref="AD970" ca="1">SUMIFS(Y:Y,Ecommerce_Consumer_Behavior_Analysis_Data3[[#This Row],[Payment_Method]],V:V)</f>
        <v>#VALUE!</v>
      </c>
      <c r="AE970" s="2">
        <f t="shared" si="19"/>
        <v>101.31</v>
      </c>
    </row>
    <row r="971" spans="1:31" x14ac:dyDescent="0.25">
      <c r="A971" s="2" t="s">
        <v>2001</v>
      </c>
      <c r="B971" s="2">
        <v>50</v>
      </c>
      <c r="C971" s="2" t="s">
        <v>29</v>
      </c>
      <c r="D971" s="2" t="s">
        <v>30</v>
      </c>
      <c r="E971" s="2" t="s">
        <v>31</v>
      </c>
      <c r="F971" s="2" t="s">
        <v>56</v>
      </c>
      <c r="G971" s="2" t="s">
        <v>44</v>
      </c>
      <c r="H971" s="2" t="s">
        <v>2002</v>
      </c>
      <c r="I971" s="2" t="s">
        <v>126</v>
      </c>
      <c r="J971" s="2">
        <v>490.41</v>
      </c>
      <c r="K971" s="2">
        <v>7</v>
      </c>
      <c r="L971" s="2" t="s">
        <v>78</v>
      </c>
      <c r="M971" s="2">
        <v>3</v>
      </c>
      <c r="N971" s="2">
        <v>5</v>
      </c>
      <c r="O971" s="2">
        <v>1</v>
      </c>
      <c r="P971" s="2" t="s">
        <v>49</v>
      </c>
      <c r="Q971" s="2" t="s">
        <v>85</v>
      </c>
      <c r="R971" s="2">
        <v>1</v>
      </c>
      <c r="S971" s="2">
        <v>10</v>
      </c>
      <c r="T971" s="2" t="s">
        <v>59</v>
      </c>
      <c r="U971" s="2" t="s">
        <v>38</v>
      </c>
      <c r="V971" s="2" t="s">
        <v>66</v>
      </c>
      <c r="W971" s="3">
        <v>45587</v>
      </c>
      <c r="X971" s="2" t="b">
        <v>1</v>
      </c>
      <c r="Y971" s="2" t="b">
        <v>0</v>
      </c>
      <c r="Z971" s="2" t="s">
        <v>74</v>
      </c>
      <c r="AA971" s="2" t="s">
        <v>53</v>
      </c>
      <c r="AB971" s="2">
        <v>5</v>
      </c>
      <c r="AC971" s="2">
        <f>SUMIF(N:N,Ecommerce_Consumer_Behavior_Analysis_Data3[[#This Row],[Brand_Loyalty]],M:M)</f>
        <v>597</v>
      </c>
      <c r="AD971" s="2" t="e" cm="1" vm="1">
        <f t="array" aca="1" ref="AD971" ca="1">SUMIFS(Y:Y,Ecommerce_Consumer_Behavior_Analysis_Data3[[#This Row],[Payment_Method]],V:V)</f>
        <v>#VALUE!</v>
      </c>
      <c r="AE971" s="2">
        <f t="shared" si="19"/>
        <v>101.31</v>
      </c>
    </row>
    <row r="972" spans="1:31" x14ac:dyDescent="0.25">
      <c r="A972" s="2" t="s">
        <v>2003</v>
      </c>
      <c r="B972" s="2">
        <v>48</v>
      </c>
      <c r="C972" s="2" t="s">
        <v>43</v>
      </c>
      <c r="D972" s="2" t="s">
        <v>30</v>
      </c>
      <c r="E972" s="2" t="s">
        <v>76</v>
      </c>
      <c r="F972" s="2" t="s">
        <v>32</v>
      </c>
      <c r="G972" s="2" t="s">
        <v>44</v>
      </c>
      <c r="H972" s="2" t="s">
        <v>2004</v>
      </c>
      <c r="I972" s="2" t="s">
        <v>142</v>
      </c>
      <c r="J972" s="2">
        <v>476.42</v>
      </c>
      <c r="K972" s="2">
        <v>7</v>
      </c>
      <c r="L972" s="2" t="s">
        <v>48</v>
      </c>
      <c r="M972" s="2">
        <v>1</v>
      </c>
      <c r="N972" s="2">
        <v>1</v>
      </c>
      <c r="O972" s="2">
        <v>1</v>
      </c>
      <c r="P972" s="2" t="s">
        <v>44</v>
      </c>
      <c r="Q972" s="2" t="s">
        <v>85</v>
      </c>
      <c r="R972" s="2">
        <v>0</v>
      </c>
      <c r="S972" s="2">
        <v>2</v>
      </c>
      <c r="T972" s="2" t="s">
        <v>44</v>
      </c>
      <c r="U972" s="2" t="s">
        <v>79</v>
      </c>
      <c r="V972" s="2" t="s">
        <v>61</v>
      </c>
      <c r="W972" s="3">
        <v>45544</v>
      </c>
      <c r="X972" s="2" t="b">
        <v>1</v>
      </c>
      <c r="Y972" s="2" t="b">
        <v>0</v>
      </c>
      <c r="Z972" s="2" t="s">
        <v>40</v>
      </c>
      <c r="AA972" s="2" t="s">
        <v>53</v>
      </c>
      <c r="AB972" s="2">
        <v>2</v>
      </c>
      <c r="AC972" s="2">
        <f>SUMIF(N:N,Ecommerce_Consumer_Behavior_Analysis_Data3[[#This Row],[Brand_Loyalty]],M:M)</f>
        <v>603</v>
      </c>
      <c r="AD972" s="2" t="e" cm="1" vm="1">
        <f t="array" aca="1" ref="AD972" ca="1">SUMIFS(Y:Y,Ecommerce_Consumer_Behavior_Analysis_Data3[[#This Row],[Payment_Method]],V:V)</f>
        <v>#VALUE!</v>
      </c>
      <c r="AE972" s="2">
        <f t="shared" si="19"/>
        <v>101.31</v>
      </c>
    </row>
    <row r="973" spans="1:31" x14ac:dyDescent="0.25">
      <c r="A973" s="2" t="s">
        <v>2005</v>
      </c>
      <c r="B973" s="2">
        <v>29</v>
      </c>
      <c r="C973" s="2" t="s">
        <v>29</v>
      </c>
      <c r="D973" s="2" t="s">
        <v>44</v>
      </c>
      <c r="E973" s="2" t="s">
        <v>76</v>
      </c>
      <c r="F973" s="2" t="s">
        <v>56</v>
      </c>
      <c r="G973" s="2" t="s">
        <v>44</v>
      </c>
      <c r="H973" s="2" t="s">
        <v>2006</v>
      </c>
      <c r="I973" s="2" t="s">
        <v>188</v>
      </c>
      <c r="J973" s="2">
        <v>392.27</v>
      </c>
      <c r="K973" s="2">
        <v>5</v>
      </c>
      <c r="L973" s="2" t="s">
        <v>35</v>
      </c>
      <c r="M973" s="2">
        <v>4</v>
      </c>
      <c r="N973" s="2">
        <v>5</v>
      </c>
      <c r="O973" s="2">
        <v>1</v>
      </c>
      <c r="P973" s="2" t="s">
        <v>44</v>
      </c>
      <c r="Q973" s="2" t="s">
        <v>50</v>
      </c>
      <c r="R973" s="2">
        <v>0</v>
      </c>
      <c r="S973" s="2">
        <v>2</v>
      </c>
      <c r="T973" s="2" t="s">
        <v>59</v>
      </c>
      <c r="U973" s="2" t="s">
        <v>38</v>
      </c>
      <c r="V973" s="2" t="s">
        <v>66</v>
      </c>
      <c r="W973" s="3">
        <v>45490</v>
      </c>
      <c r="X973" s="2" t="b">
        <v>1</v>
      </c>
      <c r="Y973" s="2" t="b">
        <v>0</v>
      </c>
      <c r="Z973" s="2" t="s">
        <v>52</v>
      </c>
      <c r="AA973" s="2" t="s">
        <v>41</v>
      </c>
      <c r="AB973" s="2">
        <v>7</v>
      </c>
      <c r="AC973" s="2">
        <f>SUMIF(N:N,Ecommerce_Consumer_Behavior_Analysis_Data3[[#This Row],[Brand_Loyalty]],M:M)</f>
        <v>603</v>
      </c>
      <c r="AD973" s="2" t="e" cm="1" vm="1">
        <f t="array" aca="1" ref="AD973" ca="1">SUMIFS(Y:Y,Ecommerce_Consumer_Behavior_Analysis_Data3[[#This Row],[Payment_Method]],V:V)</f>
        <v>#VALUE!</v>
      </c>
      <c r="AE973" s="2">
        <f t="shared" si="19"/>
        <v>211.7</v>
      </c>
    </row>
    <row r="974" spans="1:31" x14ac:dyDescent="0.25">
      <c r="A974" s="2" t="s">
        <v>2007</v>
      </c>
      <c r="B974" s="2">
        <v>36</v>
      </c>
      <c r="C974" s="2" t="s">
        <v>43</v>
      </c>
      <c r="D974" s="2" t="s">
        <v>44</v>
      </c>
      <c r="E974" s="2" t="s">
        <v>55</v>
      </c>
      <c r="F974" s="2" t="s">
        <v>32</v>
      </c>
      <c r="G974" s="2" t="s">
        <v>30</v>
      </c>
      <c r="H974" s="2" t="s">
        <v>2008</v>
      </c>
      <c r="I974" s="2" t="s">
        <v>107</v>
      </c>
      <c r="J974" s="2">
        <v>207.24</v>
      </c>
      <c r="K974" s="2">
        <v>9</v>
      </c>
      <c r="L974" s="2" t="s">
        <v>78</v>
      </c>
      <c r="M974" s="2">
        <v>2</v>
      </c>
      <c r="N974" s="2">
        <v>2</v>
      </c>
      <c r="O974" s="2">
        <v>0</v>
      </c>
      <c r="P974" s="2" t="s">
        <v>59</v>
      </c>
      <c r="Q974" s="2" t="s">
        <v>50</v>
      </c>
      <c r="R974" s="2">
        <v>0</v>
      </c>
      <c r="S974" s="2">
        <v>6</v>
      </c>
      <c r="T974" s="2" t="s">
        <v>36</v>
      </c>
      <c r="U974" s="2" t="s">
        <v>79</v>
      </c>
      <c r="V974" s="2" t="s">
        <v>61</v>
      </c>
      <c r="W974" s="3">
        <v>45424</v>
      </c>
      <c r="X974" s="2" t="b">
        <v>1</v>
      </c>
      <c r="Y974" s="2" t="b">
        <v>0</v>
      </c>
      <c r="Z974" s="2" t="s">
        <v>62</v>
      </c>
      <c r="AA974" s="2" t="s">
        <v>41</v>
      </c>
      <c r="AB974" s="2">
        <v>3</v>
      </c>
      <c r="AC974" s="2">
        <f>SUMIF(N:N,Ecommerce_Consumer_Behavior_Analysis_Data3[[#This Row],[Brand_Loyalty]],M:M)</f>
        <v>582</v>
      </c>
      <c r="AD974" s="2" t="e" cm="1" vm="1">
        <f t="array" aca="1" ref="AD974" ca="1">SUMIFS(Y:Y,Ecommerce_Consumer_Behavior_Analysis_Data3[[#This Row],[Payment_Method]],V:V)</f>
        <v>#VALUE!</v>
      </c>
      <c r="AE974" s="2">
        <f t="shared" si="19"/>
        <v>101.31</v>
      </c>
    </row>
    <row r="975" spans="1:31" x14ac:dyDescent="0.25">
      <c r="A975" s="2" t="s">
        <v>2009</v>
      </c>
      <c r="B975" s="2">
        <v>43</v>
      </c>
      <c r="C975" s="2" t="s">
        <v>43</v>
      </c>
      <c r="D975" s="2" t="s">
        <v>44</v>
      </c>
      <c r="E975" s="2" t="s">
        <v>76</v>
      </c>
      <c r="F975" s="2" t="s">
        <v>45</v>
      </c>
      <c r="G975" s="2" t="s">
        <v>30</v>
      </c>
      <c r="H975" s="2" t="s">
        <v>2010</v>
      </c>
      <c r="I975" s="2" t="s">
        <v>34</v>
      </c>
      <c r="J975" s="2">
        <v>141.63</v>
      </c>
      <c r="K975" s="2">
        <v>3</v>
      </c>
      <c r="L975" s="2" t="s">
        <v>78</v>
      </c>
      <c r="M975" s="2">
        <v>4</v>
      </c>
      <c r="N975" s="2">
        <v>1</v>
      </c>
      <c r="O975" s="2">
        <v>1</v>
      </c>
      <c r="P975" s="2" t="s">
        <v>36</v>
      </c>
      <c r="Q975" s="2" t="s">
        <v>37</v>
      </c>
      <c r="R975" s="2">
        <v>1</v>
      </c>
      <c r="S975" s="2">
        <v>8</v>
      </c>
      <c r="T975" s="2" t="s">
        <v>59</v>
      </c>
      <c r="U975" s="2" t="s">
        <v>60</v>
      </c>
      <c r="V975" s="2" t="s">
        <v>86</v>
      </c>
      <c r="W975" s="3">
        <v>45576</v>
      </c>
      <c r="X975" s="2" t="b">
        <v>1</v>
      </c>
      <c r="Y975" s="2" t="b">
        <v>1</v>
      </c>
      <c r="Z975" s="2" t="s">
        <v>74</v>
      </c>
      <c r="AA975" s="2" t="s">
        <v>67</v>
      </c>
      <c r="AB975" s="2">
        <v>11</v>
      </c>
      <c r="AC975" s="2">
        <f>SUMIF(N:N,Ecommerce_Consumer_Behavior_Analysis_Data3[[#This Row],[Brand_Loyalty]],M:M)</f>
        <v>603</v>
      </c>
      <c r="AD975" s="2" t="e" cm="1" vm="1">
        <f t="array" aca="1" ref="AD975" ca="1">SUMIFS(Y:Y,Ecommerce_Consumer_Behavior_Analysis_Data3[[#This Row],[Payment_Method]],V:V)</f>
        <v>#VALUE!</v>
      </c>
      <c r="AE975" s="2">
        <f t="shared" si="19"/>
        <v>101.31</v>
      </c>
    </row>
    <row r="976" spans="1:31" x14ac:dyDescent="0.25">
      <c r="A976" s="2" t="s">
        <v>2011</v>
      </c>
      <c r="B976" s="2">
        <v>30</v>
      </c>
      <c r="C976" s="2" t="s">
        <v>43</v>
      </c>
      <c r="D976" s="2" t="s">
        <v>44</v>
      </c>
      <c r="E976" s="2" t="s">
        <v>69</v>
      </c>
      <c r="F976" s="2" t="s">
        <v>32</v>
      </c>
      <c r="G976" s="2" t="s">
        <v>44</v>
      </c>
      <c r="H976" s="2" t="s">
        <v>2012</v>
      </c>
      <c r="I976" s="2" t="s">
        <v>65</v>
      </c>
      <c r="J976" s="2">
        <v>244.47</v>
      </c>
      <c r="K976" s="2">
        <v>5</v>
      </c>
      <c r="L976" s="2" t="s">
        <v>78</v>
      </c>
      <c r="M976" s="2">
        <v>3</v>
      </c>
      <c r="N976" s="2">
        <v>4</v>
      </c>
      <c r="O976" s="2">
        <v>1</v>
      </c>
      <c r="P976" s="2" t="s">
        <v>44</v>
      </c>
      <c r="Q976" s="2" t="s">
        <v>85</v>
      </c>
      <c r="R976" s="2">
        <v>1</v>
      </c>
      <c r="S976" s="2">
        <v>5</v>
      </c>
      <c r="T976" s="2" t="s">
        <v>59</v>
      </c>
      <c r="U976" s="2" t="s">
        <v>60</v>
      </c>
      <c r="V976" s="2" t="s">
        <v>86</v>
      </c>
      <c r="W976" s="3">
        <v>45466</v>
      </c>
      <c r="X976" s="2" t="b">
        <v>0</v>
      </c>
      <c r="Y976" s="2" t="b">
        <v>0</v>
      </c>
      <c r="Z976" s="2" t="s">
        <v>62</v>
      </c>
      <c r="AA976" s="2" t="s">
        <v>41</v>
      </c>
      <c r="AB976" s="2">
        <v>4</v>
      </c>
      <c r="AC976" s="2">
        <f>SUMIF(N:N,Ecommerce_Consumer_Behavior_Analysis_Data3[[#This Row],[Brand_Loyalty]],M:M)</f>
        <v>597</v>
      </c>
      <c r="AD976" s="2" t="e" cm="1" vm="1">
        <f t="array" aca="1" ref="AD976" ca="1">SUMIFS(Y:Y,Ecommerce_Consumer_Behavior_Analysis_Data3[[#This Row],[Payment_Method]],V:V)</f>
        <v>#VALUE!</v>
      </c>
      <c r="AE976" s="2">
        <f t="shared" si="19"/>
        <v>211.7</v>
      </c>
    </row>
    <row r="977" spans="1:31" x14ac:dyDescent="0.25">
      <c r="A977" s="2" t="s">
        <v>2013</v>
      </c>
      <c r="B977" s="2">
        <v>24</v>
      </c>
      <c r="C977" s="2" t="s">
        <v>43</v>
      </c>
      <c r="D977" s="2" t="s">
        <v>44</v>
      </c>
      <c r="E977" s="2" t="s">
        <v>31</v>
      </c>
      <c r="F977" s="2" t="s">
        <v>56</v>
      </c>
      <c r="G977" s="2" t="s">
        <v>44</v>
      </c>
      <c r="H977" s="2" t="s">
        <v>2014</v>
      </c>
      <c r="I977" s="2" t="s">
        <v>34</v>
      </c>
      <c r="J977" s="2">
        <v>251.63</v>
      </c>
      <c r="K977" s="2">
        <v>9</v>
      </c>
      <c r="L977" s="2" t="s">
        <v>78</v>
      </c>
      <c r="M977" s="2">
        <v>3</v>
      </c>
      <c r="N977" s="2">
        <v>1</v>
      </c>
      <c r="O977" s="2">
        <v>0</v>
      </c>
      <c r="P977" s="2" t="s">
        <v>59</v>
      </c>
      <c r="Q977" s="2" t="s">
        <v>50</v>
      </c>
      <c r="R977" s="2">
        <v>0</v>
      </c>
      <c r="S977" s="2">
        <v>2</v>
      </c>
      <c r="T977" s="2" t="s">
        <v>44</v>
      </c>
      <c r="U977" s="2" t="s">
        <v>79</v>
      </c>
      <c r="V977" s="2" t="s">
        <v>39</v>
      </c>
      <c r="W977" s="3">
        <v>45527</v>
      </c>
      <c r="X977" s="2" t="b">
        <v>1</v>
      </c>
      <c r="Y977" s="2" t="b">
        <v>1</v>
      </c>
      <c r="Z977" s="2" t="s">
        <v>40</v>
      </c>
      <c r="AA977" s="2" t="s">
        <v>67</v>
      </c>
      <c r="AB977" s="2">
        <v>10</v>
      </c>
      <c r="AC977" s="2">
        <f>SUMIF(N:N,Ecommerce_Consumer_Behavior_Analysis_Data3[[#This Row],[Brand_Loyalty]],M:M)</f>
        <v>597</v>
      </c>
      <c r="AD977" s="2" t="e" cm="1" vm="1">
        <f t="array" aca="1" ref="AD977" ca="1">SUMIFS(Y:Y,Ecommerce_Consumer_Behavior_Analysis_Data3[[#This Row],[Payment_Method]],V:V)</f>
        <v>#VALUE!</v>
      </c>
      <c r="AE977" s="2">
        <f t="shared" si="19"/>
        <v>101.31</v>
      </c>
    </row>
    <row r="978" spans="1:31" x14ac:dyDescent="0.25">
      <c r="A978" s="2" t="s">
        <v>2015</v>
      </c>
      <c r="B978" s="2">
        <v>30</v>
      </c>
      <c r="C978" s="2" t="s">
        <v>43</v>
      </c>
      <c r="D978" s="2" t="s">
        <v>30</v>
      </c>
      <c r="E978" s="2" t="s">
        <v>76</v>
      </c>
      <c r="F978" s="2" t="s">
        <v>32</v>
      </c>
      <c r="G978" s="2" t="s">
        <v>30</v>
      </c>
      <c r="H978" s="2" t="s">
        <v>2016</v>
      </c>
      <c r="I978" s="2" t="s">
        <v>126</v>
      </c>
      <c r="J978" s="2">
        <v>431.78</v>
      </c>
      <c r="K978" s="2">
        <v>12</v>
      </c>
      <c r="L978" s="2" t="s">
        <v>78</v>
      </c>
      <c r="M978" s="2">
        <v>1</v>
      </c>
      <c r="N978" s="2">
        <v>3</v>
      </c>
      <c r="O978" s="2">
        <v>1</v>
      </c>
      <c r="P978" s="2" t="s">
        <v>49</v>
      </c>
      <c r="Q978" s="2" t="s">
        <v>85</v>
      </c>
      <c r="R978" s="2">
        <v>1</v>
      </c>
      <c r="S978" s="2">
        <v>8</v>
      </c>
      <c r="T978" s="2" t="s">
        <v>59</v>
      </c>
      <c r="U978" s="2" t="s">
        <v>60</v>
      </c>
      <c r="V978" s="2" t="s">
        <v>51</v>
      </c>
      <c r="W978" s="3">
        <v>45337</v>
      </c>
      <c r="X978" s="2" t="b">
        <v>1</v>
      </c>
      <c r="Y978" s="2" t="b">
        <v>0</v>
      </c>
      <c r="Z978" s="2" t="s">
        <v>62</v>
      </c>
      <c r="AA978" s="2" t="s">
        <v>41</v>
      </c>
      <c r="AB978" s="2">
        <v>7</v>
      </c>
      <c r="AC978" s="2">
        <f>SUMIF(N:N,Ecommerce_Consumer_Behavior_Analysis_Data3[[#This Row],[Brand_Loyalty]],M:M)</f>
        <v>603</v>
      </c>
      <c r="AD978" s="2" t="e" cm="1" vm="1">
        <f t="array" aca="1" ref="AD978" ca="1">SUMIFS(Y:Y,Ecommerce_Consumer_Behavior_Analysis_Data3[[#This Row],[Payment_Method]],V:V)</f>
        <v>#VALUE!</v>
      </c>
      <c r="AE978" s="2">
        <f t="shared" si="19"/>
        <v>101.31</v>
      </c>
    </row>
    <row r="979" spans="1:31" x14ac:dyDescent="0.25">
      <c r="A979" s="2" t="s">
        <v>2017</v>
      </c>
      <c r="B979" s="2">
        <v>37</v>
      </c>
      <c r="C979" s="2" t="s">
        <v>29</v>
      </c>
      <c r="D979" s="2" t="s">
        <v>30</v>
      </c>
      <c r="E979" s="2" t="s">
        <v>31</v>
      </c>
      <c r="F979" s="2" t="s">
        <v>56</v>
      </c>
      <c r="G979" s="2" t="s">
        <v>44</v>
      </c>
      <c r="H979" s="2" t="s">
        <v>2018</v>
      </c>
      <c r="I979" s="2" t="s">
        <v>246</v>
      </c>
      <c r="J979" s="2">
        <v>303.08999999999997</v>
      </c>
      <c r="K979" s="2">
        <v>2</v>
      </c>
      <c r="L979" s="2" t="s">
        <v>78</v>
      </c>
      <c r="M979" s="2">
        <v>2</v>
      </c>
      <c r="N979" s="2">
        <v>5</v>
      </c>
      <c r="O979" s="2">
        <v>1</v>
      </c>
      <c r="P979" s="2" t="s">
        <v>36</v>
      </c>
      <c r="Q979" s="2" t="s">
        <v>85</v>
      </c>
      <c r="R979" s="2">
        <v>2</v>
      </c>
      <c r="S979" s="2">
        <v>9</v>
      </c>
      <c r="T979" s="2" t="s">
        <v>36</v>
      </c>
      <c r="U979" s="2" t="s">
        <v>38</v>
      </c>
      <c r="V979" s="2" t="s">
        <v>66</v>
      </c>
      <c r="W979" s="3">
        <v>45301</v>
      </c>
      <c r="X979" s="2" t="b">
        <v>0</v>
      </c>
      <c r="Y979" s="2" t="b">
        <v>0</v>
      </c>
      <c r="Z979" s="2" t="s">
        <v>62</v>
      </c>
      <c r="AA979" s="2" t="s">
        <v>41</v>
      </c>
      <c r="AB979" s="2">
        <v>11</v>
      </c>
      <c r="AC979" s="2">
        <f>SUMIF(N:N,Ecommerce_Consumer_Behavior_Analysis_Data3[[#This Row],[Brand_Loyalty]],M:M)</f>
        <v>582</v>
      </c>
      <c r="AD979" s="2" t="e" cm="1" vm="1">
        <f t="array" aca="1" ref="AD979" ca="1">SUMIFS(Y:Y,Ecommerce_Consumer_Behavior_Analysis_Data3[[#This Row],[Payment_Method]],V:V)</f>
        <v>#VALUE!</v>
      </c>
      <c r="AE979" s="2">
        <f t="shared" si="19"/>
        <v>333.8</v>
      </c>
    </row>
    <row r="980" spans="1:31" x14ac:dyDescent="0.25">
      <c r="A980" s="2" t="s">
        <v>2019</v>
      </c>
      <c r="B980" s="2">
        <v>40</v>
      </c>
      <c r="C980" s="2" t="s">
        <v>43</v>
      </c>
      <c r="D980" s="2" t="s">
        <v>44</v>
      </c>
      <c r="E980" s="2" t="s">
        <v>31</v>
      </c>
      <c r="F980" s="2" t="s">
        <v>32</v>
      </c>
      <c r="G980" s="2" t="s">
        <v>44</v>
      </c>
      <c r="H980" s="2" t="s">
        <v>2020</v>
      </c>
      <c r="I980" s="2" t="s">
        <v>194</v>
      </c>
      <c r="J980" s="2">
        <v>341.24</v>
      </c>
      <c r="K980" s="2">
        <v>9</v>
      </c>
      <c r="L980" s="2" t="s">
        <v>35</v>
      </c>
      <c r="M980" s="2">
        <v>5</v>
      </c>
      <c r="N980" s="2">
        <v>5</v>
      </c>
      <c r="O980" s="2">
        <v>2</v>
      </c>
      <c r="P980" s="2" t="s">
        <v>59</v>
      </c>
      <c r="Q980" s="2" t="s">
        <v>37</v>
      </c>
      <c r="R980" s="2">
        <v>1</v>
      </c>
      <c r="S980" s="2">
        <v>3</v>
      </c>
      <c r="T980" s="2" t="s">
        <v>36</v>
      </c>
      <c r="U980" s="2" t="s">
        <v>38</v>
      </c>
      <c r="V980" s="2" t="s">
        <v>39</v>
      </c>
      <c r="W980" s="3">
        <v>45614</v>
      </c>
      <c r="X980" s="2" t="b">
        <v>1</v>
      </c>
      <c r="Y980" s="2" t="b">
        <v>0</v>
      </c>
      <c r="Z980" s="2" t="s">
        <v>40</v>
      </c>
      <c r="AA980" s="2" t="s">
        <v>53</v>
      </c>
      <c r="AB980" s="2">
        <v>4</v>
      </c>
      <c r="AC980" s="2">
        <f>SUMIF(N:N,Ecommerce_Consumer_Behavior_Analysis_Data3[[#This Row],[Brand_Loyalty]],M:M)</f>
        <v>641</v>
      </c>
      <c r="AD980" s="2" t="e" cm="1" vm="1">
        <f t="array" aca="1" ref="AD980" ca="1">SUMIFS(Y:Y,Ecommerce_Consumer_Behavior_Analysis_Data3[[#This Row],[Payment_Method]],V:V)</f>
        <v>#VALUE!</v>
      </c>
      <c r="AE980" s="2">
        <f t="shared" si="19"/>
        <v>101.31</v>
      </c>
    </row>
    <row r="981" spans="1:31" x14ac:dyDescent="0.25">
      <c r="A981" s="2" t="s">
        <v>2021</v>
      </c>
      <c r="B981" s="2">
        <v>30</v>
      </c>
      <c r="C981" s="2" t="s">
        <v>29</v>
      </c>
      <c r="D981" s="2" t="s">
        <v>30</v>
      </c>
      <c r="E981" s="2" t="s">
        <v>76</v>
      </c>
      <c r="F981" s="2" t="s">
        <v>56</v>
      </c>
      <c r="G981" s="2" t="s">
        <v>44</v>
      </c>
      <c r="H981" s="2" t="s">
        <v>2022</v>
      </c>
      <c r="I981" s="2" t="s">
        <v>117</v>
      </c>
      <c r="J981" s="2">
        <v>211.39</v>
      </c>
      <c r="K981" s="2">
        <v>10</v>
      </c>
      <c r="L981" s="2" t="s">
        <v>78</v>
      </c>
      <c r="M981" s="2">
        <v>4</v>
      </c>
      <c r="N981" s="2">
        <v>5</v>
      </c>
      <c r="O981" s="2">
        <v>1</v>
      </c>
      <c r="P981" s="2" t="s">
        <v>49</v>
      </c>
      <c r="Q981" s="2" t="s">
        <v>50</v>
      </c>
      <c r="R981" s="2">
        <v>0</v>
      </c>
      <c r="S981" s="2">
        <v>1</v>
      </c>
      <c r="T981" s="2" t="s">
        <v>59</v>
      </c>
      <c r="U981" s="2" t="s">
        <v>79</v>
      </c>
      <c r="V981" s="2" t="s">
        <v>66</v>
      </c>
      <c r="W981" s="3">
        <v>45422</v>
      </c>
      <c r="X981" s="2" t="b">
        <v>1</v>
      </c>
      <c r="Y981" s="2" t="b">
        <v>0</v>
      </c>
      <c r="Z981" s="2" t="s">
        <v>74</v>
      </c>
      <c r="AA981" s="2" t="s">
        <v>67</v>
      </c>
      <c r="AB981" s="2">
        <v>1</v>
      </c>
      <c r="AC981" s="2">
        <f>SUMIF(N:N,Ecommerce_Consumer_Behavior_Analysis_Data3[[#This Row],[Brand_Loyalty]],M:M)</f>
        <v>603</v>
      </c>
      <c r="AD981" s="2" t="e" cm="1" vm="1">
        <f t="array" aca="1" ref="AD981" ca="1">SUMIFS(Y:Y,Ecommerce_Consumer_Behavior_Analysis_Data3[[#This Row],[Payment_Method]],V:V)</f>
        <v>#VALUE!</v>
      </c>
      <c r="AE981" s="2">
        <f t="shared" si="19"/>
        <v>101.31</v>
      </c>
    </row>
    <row r="982" spans="1:31" x14ac:dyDescent="0.25">
      <c r="A982" s="2" t="s">
        <v>2023</v>
      </c>
      <c r="B982" s="2">
        <v>39</v>
      </c>
      <c r="C982" s="2" t="s">
        <v>29</v>
      </c>
      <c r="D982" s="2" t="s">
        <v>30</v>
      </c>
      <c r="E982" s="2" t="s">
        <v>31</v>
      </c>
      <c r="F982" s="2" t="s">
        <v>32</v>
      </c>
      <c r="G982" s="2" t="s">
        <v>30</v>
      </c>
      <c r="H982" s="2" t="s">
        <v>1328</v>
      </c>
      <c r="I982" s="2" t="s">
        <v>117</v>
      </c>
      <c r="J982" s="2">
        <v>379.21</v>
      </c>
      <c r="K982" s="2">
        <v>9</v>
      </c>
      <c r="L982" s="2" t="s">
        <v>35</v>
      </c>
      <c r="M982" s="2">
        <v>1</v>
      </c>
      <c r="N982" s="2">
        <v>5</v>
      </c>
      <c r="O982" s="2">
        <v>1</v>
      </c>
      <c r="P982" s="2" t="s">
        <v>59</v>
      </c>
      <c r="Q982" s="2" t="s">
        <v>37</v>
      </c>
      <c r="R982" s="2">
        <v>1</v>
      </c>
      <c r="S982" s="2">
        <v>1</v>
      </c>
      <c r="T982" s="2" t="s">
        <v>44</v>
      </c>
      <c r="U982" s="2" t="s">
        <v>60</v>
      </c>
      <c r="V982" s="2" t="s">
        <v>51</v>
      </c>
      <c r="W982" s="3">
        <v>45553</v>
      </c>
      <c r="X982" s="2" t="b">
        <v>1</v>
      </c>
      <c r="Y982" s="2" t="b">
        <v>1</v>
      </c>
      <c r="Z982" s="2" t="s">
        <v>62</v>
      </c>
      <c r="AA982" s="2" t="s">
        <v>41</v>
      </c>
      <c r="AB982" s="2">
        <v>1</v>
      </c>
      <c r="AC982" s="2">
        <f>SUMIF(N:N,Ecommerce_Consumer_Behavior_Analysis_Data3[[#This Row],[Brand_Loyalty]],M:M)</f>
        <v>603</v>
      </c>
      <c r="AD982" s="2" t="e" cm="1" vm="1">
        <f t="array" aca="1" ref="AD982" ca="1">SUMIFS(Y:Y,Ecommerce_Consumer_Behavior_Analysis_Data3[[#This Row],[Payment_Method]],V:V)</f>
        <v>#VALUE!</v>
      </c>
      <c r="AE982" s="2">
        <f t="shared" si="19"/>
        <v>101.31</v>
      </c>
    </row>
    <row r="983" spans="1:31" x14ac:dyDescent="0.25">
      <c r="A983" s="2" t="s">
        <v>2024</v>
      </c>
      <c r="B983" s="2">
        <v>46</v>
      </c>
      <c r="C983" s="2" t="s">
        <v>29</v>
      </c>
      <c r="D983" s="2" t="s">
        <v>44</v>
      </c>
      <c r="E983" s="2" t="s">
        <v>69</v>
      </c>
      <c r="F983" s="2" t="s">
        <v>56</v>
      </c>
      <c r="G983" s="2" t="s">
        <v>44</v>
      </c>
      <c r="H983" s="2" t="s">
        <v>2025</v>
      </c>
      <c r="I983" s="2" t="s">
        <v>93</v>
      </c>
      <c r="J983" s="2">
        <v>309.52999999999997</v>
      </c>
      <c r="K983" s="2">
        <v>8</v>
      </c>
      <c r="L983" s="2" t="s">
        <v>35</v>
      </c>
      <c r="M983" s="2">
        <v>2</v>
      </c>
      <c r="N983" s="2">
        <v>1</v>
      </c>
      <c r="O983" s="2">
        <v>1</v>
      </c>
      <c r="P983" s="2" t="s">
        <v>36</v>
      </c>
      <c r="Q983" s="2" t="s">
        <v>85</v>
      </c>
      <c r="R983" s="2">
        <v>2</v>
      </c>
      <c r="S983" s="2">
        <v>6</v>
      </c>
      <c r="T983" s="2" t="s">
        <v>36</v>
      </c>
      <c r="U983" s="2" t="s">
        <v>60</v>
      </c>
      <c r="V983" s="2" t="s">
        <v>86</v>
      </c>
      <c r="W983" s="3">
        <v>45396</v>
      </c>
      <c r="X983" s="2" t="b">
        <v>0</v>
      </c>
      <c r="Y983" s="2" t="b">
        <v>1</v>
      </c>
      <c r="Z983" s="2" t="s">
        <v>74</v>
      </c>
      <c r="AA983" s="2" t="s">
        <v>53</v>
      </c>
      <c r="AB983" s="2">
        <v>5</v>
      </c>
      <c r="AC983" s="2">
        <f>SUMIF(N:N,Ecommerce_Consumer_Behavior_Analysis_Data3[[#This Row],[Brand_Loyalty]],M:M)</f>
        <v>582</v>
      </c>
      <c r="AD983" s="2" t="e" cm="1" vm="1">
        <f t="array" aca="1" ref="AD983" ca="1">SUMIFS(Y:Y,Ecommerce_Consumer_Behavior_Analysis_Data3[[#This Row],[Payment_Method]],V:V)</f>
        <v>#VALUE!</v>
      </c>
      <c r="AE983" s="2">
        <f t="shared" si="19"/>
        <v>333.8</v>
      </c>
    </row>
    <row r="984" spans="1:31" x14ac:dyDescent="0.25">
      <c r="A984" s="2" t="s">
        <v>2026</v>
      </c>
      <c r="B984" s="2">
        <v>48</v>
      </c>
      <c r="C984" s="2" t="s">
        <v>43</v>
      </c>
      <c r="D984" s="2" t="s">
        <v>30</v>
      </c>
      <c r="E984" s="2" t="s">
        <v>76</v>
      </c>
      <c r="F984" s="2" t="s">
        <v>56</v>
      </c>
      <c r="G984" s="2" t="s">
        <v>44</v>
      </c>
      <c r="H984" s="2" t="s">
        <v>2027</v>
      </c>
      <c r="I984" s="2" t="s">
        <v>82</v>
      </c>
      <c r="J984" s="2">
        <v>359.45</v>
      </c>
      <c r="K984" s="2">
        <v>6</v>
      </c>
      <c r="L984" s="2" t="s">
        <v>78</v>
      </c>
      <c r="M984" s="2">
        <v>4</v>
      </c>
      <c r="N984" s="2">
        <v>1</v>
      </c>
      <c r="O984" s="2">
        <v>2</v>
      </c>
      <c r="P984" s="2" t="s">
        <v>59</v>
      </c>
      <c r="Q984" s="2" t="s">
        <v>50</v>
      </c>
      <c r="R984" s="2">
        <v>1</v>
      </c>
      <c r="S984" s="2">
        <v>8</v>
      </c>
      <c r="T984" s="2" t="s">
        <v>49</v>
      </c>
      <c r="U984" s="2" t="s">
        <v>79</v>
      </c>
      <c r="V984" s="2" t="s">
        <v>66</v>
      </c>
      <c r="W984" s="3">
        <v>45357</v>
      </c>
      <c r="X984" s="2" t="b">
        <v>0</v>
      </c>
      <c r="Y984" s="2" t="b">
        <v>0</v>
      </c>
      <c r="Z984" s="2" t="s">
        <v>62</v>
      </c>
      <c r="AA984" s="2" t="s">
        <v>53</v>
      </c>
      <c r="AB984" s="2">
        <v>11</v>
      </c>
      <c r="AC984" s="2">
        <f>SUMIF(N:N,Ecommerce_Consumer_Behavior_Analysis_Data3[[#This Row],[Brand_Loyalty]],M:M)</f>
        <v>603</v>
      </c>
      <c r="AD984" s="2" t="e" cm="1" vm="1">
        <f t="array" aca="1" ref="AD984" ca="1">SUMIFS(Y:Y,Ecommerce_Consumer_Behavior_Analysis_Data3[[#This Row],[Payment_Method]],V:V)</f>
        <v>#VALUE!</v>
      </c>
      <c r="AE984" s="2">
        <f t="shared" si="19"/>
        <v>333.8</v>
      </c>
    </row>
    <row r="985" spans="1:31" x14ac:dyDescent="0.25">
      <c r="A985" s="2" t="s">
        <v>2028</v>
      </c>
      <c r="B985" s="2">
        <v>20</v>
      </c>
      <c r="C985" s="2" t="s">
        <v>29</v>
      </c>
      <c r="D985" s="2" t="s">
        <v>44</v>
      </c>
      <c r="E985" s="2" t="s">
        <v>69</v>
      </c>
      <c r="F985" s="2" t="s">
        <v>45</v>
      </c>
      <c r="G985" s="2" t="s">
        <v>30</v>
      </c>
      <c r="H985" s="2" t="s">
        <v>2029</v>
      </c>
      <c r="I985" s="2" t="s">
        <v>107</v>
      </c>
      <c r="J985" s="2">
        <v>479.62</v>
      </c>
      <c r="K985" s="2">
        <v>8</v>
      </c>
      <c r="L985" s="2" t="s">
        <v>48</v>
      </c>
      <c r="M985" s="2">
        <v>3</v>
      </c>
      <c r="N985" s="2">
        <v>1</v>
      </c>
      <c r="O985" s="2">
        <v>2</v>
      </c>
      <c r="P985" s="2" t="s">
        <v>44</v>
      </c>
      <c r="Q985" s="2" t="s">
        <v>50</v>
      </c>
      <c r="R985" s="2">
        <v>1</v>
      </c>
      <c r="S985" s="2">
        <v>3</v>
      </c>
      <c r="T985" s="2" t="s">
        <v>59</v>
      </c>
      <c r="U985" s="2" t="s">
        <v>38</v>
      </c>
      <c r="V985" s="2" t="s">
        <v>66</v>
      </c>
      <c r="W985" s="3">
        <v>45401</v>
      </c>
      <c r="X985" s="2" t="b">
        <v>0</v>
      </c>
      <c r="Y985" s="2" t="b">
        <v>0</v>
      </c>
      <c r="Z985" s="2" t="s">
        <v>74</v>
      </c>
      <c r="AA985" s="2" t="s">
        <v>67</v>
      </c>
      <c r="AB985" s="2">
        <v>10</v>
      </c>
      <c r="AC985" s="2">
        <f>SUMIF(N:N,Ecommerce_Consumer_Behavior_Analysis_Data3[[#This Row],[Brand_Loyalty]],M:M)</f>
        <v>597</v>
      </c>
      <c r="AD985" s="2" t="e" cm="1" vm="1">
        <f t="array" aca="1" ref="AD985" ca="1">SUMIFS(Y:Y,Ecommerce_Consumer_Behavior_Analysis_Data3[[#This Row],[Payment_Method]],V:V)</f>
        <v>#VALUE!</v>
      </c>
      <c r="AE985" s="2">
        <f t="shared" si="19"/>
        <v>333.8</v>
      </c>
    </row>
    <row r="986" spans="1:31" x14ac:dyDescent="0.25">
      <c r="A986" s="2" t="s">
        <v>2030</v>
      </c>
      <c r="B986" s="2">
        <v>34</v>
      </c>
      <c r="C986" s="2" t="s">
        <v>43</v>
      </c>
      <c r="D986" s="2" t="s">
        <v>44</v>
      </c>
      <c r="E986" s="2" t="s">
        <v>31</v>
      </c>
      <c r="F986" s="2" t="s">
        <v>32</v>
      </c>
      <c r="G986" s="2" t="s">
        <v>30</v>
      </c>
      <c r="H986" s="2" t="s">
        <v>2031</v>
      </c>
      <c r="I986" s="2" t="s">
        <v>117</v>
      </c>
      <c r="J986" s="2">
        <v>208.6</v>
      </c>
      <c r="K986" s="2">
        <v>2</v>
      </c>
      <c r="L986" s="2" t="s">
        <v>35</v>
      </c>
      <c r="M986" s="2">
        <v>5</v>
      </c>
      <c r="N986" s="2">
        <v>1</v>
      </c>
      <c r="O986" s="2">
        <v>2</v>
      </c>
      <c r="P986" s="2" t="s">
        <v>36</v>
      </c>
      <c r="Q986" s="2" t="s">
        <v>37</v>
      </c>
      <c r="R986" s="2">
        <v>0</v>
      </c>
      <c r="S986" s="2">
        <v>5</v>
      </c>
      <c r="T986" s="2" t="s">
        <v>44</v>
      </c>
      <c r="U986" s="2" t="s">
        <v>60</v>
      </c>
      <c r="V986" s="2" t="s">
        <v>39</v>
      </c>
      <c r="W986" s="3">
        <v>45351</v>
      </c>
      <c r="X986" s="2" t="b">
        <v>1</v>
      </c>
      <c r="Y986" s="2" t="b">
        <v>1</v>
      </c>
      <c r="Z986" s="2" t="s">
        <v>62</v>
      </c>
      <c r="AA986" s="2" t="s">
        <v>53</v>
      </c>
      <c r="AB986" s="2">
        <v>3</v>
      </c>
      <c r="AC986" s="2">
        <f>SUMIF(N:N,Ecommerce_Consumer_Behavior_Analysis_Data3[[#This Row],[Brand_Loyalty]],M:M)</f>
        <v>641</v>
      </c>
      <c r="AD986" s="2" t="e" cm="1" vm="1">
        <f t="array" aca="1" ref="AD986" ca="1">SUMIFS(Y:Y,Ecommerce_Consumer_Behavior_Analysis_Data3[[#This Row],[Payment_Method]],V:V)</f>
        <v>#VALUE!</v>
      </c>
      <c r="AE986" s="2">
        <f t="shared" si="19"/>
        <v>211.7</v>
      </c>
    </row>
    <row r="987" spans="1:31" x14ac:dyDescent="0.25">
      <c r="A987" s="2" t="s">
        <v>2032</v>
      </c>
      <c r="B987" s="2">
        <v>50</v>
      </c>
      <c r="C987" s="2" t="s">
        <v>29</v>
      </c>
      <c r="D987" s="2" t="s">
        <v>30</v>
      </c>
      <c r="E987" s="2" t="s">
        <v>55</v>
      </c>
      <c r="F987" s="2" t="s">
        <v>56</v>
      </c>
      <c r="G987" s="2" t="s">
        <v>44</v>
      </c>
      <c r="H987" s="2" t="s">
        <v>2033</v>
      </c>
      <c r="I987" s="2" t="s">
        <v>120</v>
      </c>
      <c r="J987" s="2">
        <v>180.21</v>
      </c>
      <c r="K987" s="2">
        <v>2</v>
      </c>
      <c r="L987" s="2" t="s">
        <v>35</v>
      </c>
      <c r="M987" s="2">
        <v>5</v>
      </c>
      <c r="N987" s="2">
        <v>5</v>
      </c>
      <c r="O987" s="2">
        <v>0</v>
      </c>
      <c r="P987" s="2" t="s">
        <v>36</v>
      </c>
      <c r="Q987" s="2" t="s">
        <v>85</v>
      </c>
      <c r="R987" s="2">
        <v>1</v>
      </c>
      <c r="S987" s="2">
        <v>1</v>
      </c>
      <c r="T987" s="2" t="s">
        <v>49</v>
      </c>
      <c r="U987" s="2" t="s">
        <v>79</v>
      </c>
      <c r="V987" s="2" t="s">
        <v>86</v>
      </c>
      <c r="W987" s="3">
        <v>45313</v>
      </c>
      <c r="X987" s="2" t="b">
        <v>0</v>
      </c>
      <c r="Y987" s="2" t="b">
        <v>1</v>
      </c>
      <c r="Z987" s="2" t="s">
        <v>40</v>
      </c>
      <c r="AA987" s="2" t="s">
        <v>67</v>
      </c>
      <c r="AB987" s="2">
        <v>14</v>
      </c>
      <c r="AC987" s="2">
        <f>SUMIF(N:N,Ecommerce_Consumer_Behavior_Analysis_Data3[[#This Row],[Brand_Loyalty]],M:M)</f>
        <v>641</v>
      </c>
      <c r="AD987" s="2" t="e" cm="1" vm="1">
        <f t="array" aca="1" ref="AD987" ca="1">SUMIFS(Y:Y,Ecommerce_Consumer_Behavior_Analysis_Data3[[#This Row],[Payment_Method]],V:V)</f>
        <v>#VALUE!</v>
      </c>
      <c r="AE987" s="2">
        <f t="shared" si="19"/>
        <v>333.8</v>
      </c>
    </row>
    <row r="988" spans="1:31" x14ac:dyDescent="0.25">
      <c r="A988" s="2" t="s">
        <v>2034</v>
      </c>
      <c r="B988" s="2">
        <v>25</v>
      </c>
      <c r="C988" s="2" t="s">
        <v>43</v>
      </c>
      <c r="D988" s="2" t="s">
        <v>30</v>
      </c>
      <c r="E988" s="2" t="s">
        <v>55</v>
      </c>
      <c r="F988" s="2" t="s">
        <v>45</v>
      </c>
      <c r="G988" s="2" t="s">
        <v>44</v>
      </c>
      <c r="H988" s="2" t="s">
        <v>2035</v>
      </c>
      <c r="I988" s="2" t="s">
        <v>117</v>
      </c>
      <c r="J988" s="2">
        <v>197.9</v>
      </c>
      <c r="K988" s="2">
        <v>3</v>
      </c>
      <c r="L988" s="2" t="s">
        <v>35</v>
      </c>
      <c r="M988" s="2">
        <v>2</v>
      </c>
      <c r="N988" s="2">
        <v>1</v>
      </c>
      <c r="O988" s="2">
        <v>2</v>
      </c>
      <c r="P988" s="2" t="s">
        <v>49</v>
      </c>
      <c r="Q988" s="2" t="s">
        <v>50</v>
      </c>
      <c r="R988" s="2">
        <v>0</v>
      </c>
      <c r="S988" s="2">
        <v>8</v>
      </c>
      <c r="T988" s="2" t="s">
        <v>44</v>
      </c>
      <c r="U988" s="2" t="s">
        <v>79</v>
      </c>
      <c r="V988" s="2" t="s">
        <v>61</v>
      </c>
      <c r="W988" s="3">
        <v>45309</v>
      </c>
      <c r="X988" s="2" t="b">
        <v>1</v>
      </c>
      <c r="Y988" s="2" t="b">
        <v>1</v>
      </c>
      <c r="Z988" s="2" t="s">
        <v>52</v>
      </c>
      <c r="AA988" s="2" t="s">
        <v>53</v>
      </c>
      <c r="AB988" s="2">
        <v>14</v>
      </c>
      <c r="AC988" s="2">
        <f>SUMIF(N:N,Ecommerce_Consumer_Behavior_Analysis_Data3[[#This Row],[Brand_Loyalty]],M:M)</f>
        <v>582</v>
      </c>
      <c r="AD988" s="2" t="e" cm="1" vm="1">
        <f t="array" aca="1" ref="AD988" ca="1">SUMIFS(Y:Y,Ecommerce_Consumer_Behavior_Analysis_Data3[[#This Row],[Payment_Method]],V:V)</f>
        <v>#VALUE!</v>
      </c>
      <c r="AE988" s="2">
        <f t="shared" si="19"/>
        <v>497.8</v>
      </c>
    </row>
    <row r="989" spans="1:31" x14ac:dyDescent="0.25">
      <c r="A989" s="2" t="s">
        <v>2036</v>
      </c>
      <c r="B989" s="2">
        <v>49</v>
      </c>
      <c r="C989" s="2" t="s">
        <v>43</v>
      </c>
      <c r="D989" s="2" t="s">
        <v>30</v>
      </c>
      <c r="E989" s="2" t="s">
        <v>55</v>
      </c>
      <c r="F989" s="2" t="s">
        <v>32</v>
      </c>
      <c r="G989" s="2" t="s">
        <v>44</v>
      </c>
      <c r="H989" s="2" t="s">
        <v>2037</v>
      </c>
      <c r="I989" s="2" t="s">
        <v>65</v>
      </c>
      <c r="J989" s="2">
        <v>362.3</v>
      </c>
      <c r="K989" s="2">
        <v>7</v>
      </c>
      <c r="L989" s="2" t="s">
        <v>78</v>
      </c>
      <c r="M989" s="2">
        <v>4</v>
      </c>
      <c r="N989" s="2">
        <v>2</v>
      </c>
      <c r="O989" s="2">
        <v>0.2</v>
      </c>
      <c r="P989" s="2" t="s">
        <v>59</v>
      </c>
      <c r="Q989" s="2" t="s">
        <v>50</v>
      </c>
      <c r="R989" s="2">
        <v>0</v>
      </c>
      <c r="S989" s="2">
        <v>4</v>
      </c>
      <c r="T989" s="2" t="s">
        <v>59</v>
      </c>
      <c r="U989" s="2" t="s">
        <v>38</v>
      </c>
      <c r="V989" s="2" t="s">
        <v>66</v>
      </c>
      <c r="W989" s="3">
        <v>45565</v>
      </c>
      <c r="X989" s="2" t="b">
        <v>1</v>
      </c>
      <c r="Y989" s="2" t="b">
        <v>1</v>
      </c>
      <c r="Z989" s="2" t="s">
        <v>74</v>
      </c>
      <c r="AA989" s="2" t="s">
        <v>53</v>
      </c>
      <c r="AB989" s="2">
        <v>6</v>
      </c>
      <c r="AC989" s="2">
        <f>SUMIF(N:N,Ecommerce_Consumer_Behavior_Analysis_Data3[[#This Row],[Brand_Loyalty]],M:M)</f>
        <v>603</v>
      </c>
      <c r="AD989" s="2" t="e" cm="1" vm="1">
        <f t="array" aca="1" ref="AD989" ca="1">SUMIFS(Y:Y,Ecommerce_Consumer_Behavior_Analysis_Data3[[#This Row],[Payment_Method]],V:V)</f>
        <v>#VALUE!</v>
      </c>
      <c r="AE989" s="2">
        <f t="shared" si="19"/>
        <v>333.8</v>
      </c>
    </row>
    <row r="990" spans="1:31" x14ac:dyDescent="0.25">
      <c r="A990" s="2" t="s">
        <v>2038</v>
      </c>
      <c r="B990" s="2">
        <v>25</v>
      </c>
      <c r="C990" s="2" t="s">
        <v>29</v>
      </c>
      <c r="D990" s="2" t="s">
        <v>44</v>
      </c>
      <c r="E990" s="2" t="s">
        <v>76</v>
      </c>
      <c r="F990" s="2" t="s">
        <v>32</v>
      </c>
      <c r="G990" s="2" t="s">
        <v>44</v>
      </c>
      <c r="H990" s="2" t="s">
        <v>2039</v>
      </c>
      <c r="I990" s="2" t="s">
        <v>142</v>
      </c>
      <c r="J990" s="2">
        <v>159.53</v>
      </c>
      <c r="K990" s="2">
        <v>11</v>
      </c>
      <c r="L990" s="2" t="s">
        <v>35</v>
      </c>
      <c r="M990" s="2">
        <v>3</v>
      </c>
      <c r="N990" s="2">
        <v>4</v>
      </c>
      <c r="O990" s="2">
        <v>2</v>
      </c>
      <c r="P990" s="2" t="s">
        <v>59</v>
      </c>
      <c r="Q990" s="2" t="s">
        <v>85</v>
      </c>
      <c r="R990" s="2">
        <v>0</v>
      </c>
      <c r="S990" s="2">
        <v>3</v>
      </c>
      <c r="T990" s="2" t="s">
        <v>59</v>
      </c>
      <c r="U990" s="2" t="s">
        <v>79</v>
      </c>
      <c r="V990" s="2" t="s">
        <v>86</v>
      </c>
      <c r="W990" s="3">
        <v>45409</v>
      </c>
      <c r="X990" s="2" t="b">
        <v>1</v>
      </c>
      <c r="Y990" s="2" t="b">
        <v>1</v>
      </c>
      <c r="Z990" s="2" t="s">
        <v>62</v>
      </c>
      <c r="AA990" s="2" t="s">
        <v>67</v>
      </c>
      <c r="AB990" s="2">
        <v>7</v>
      </c>
      <c r="AC990" s="2">
        <f>SUMIF(N:N,Ecommerce_Consumer_Behavior_Analysis_Data3[[#This Row],[Brand_Loyalty]],M:M)</f>
        <v>597</v>
      </c>
      <c r="AD990" s="2" t="e" cm="1" vm="1">
        <f t="array" aca="1" ref="AD990" ca="1">SUMIFS(Y:Y,Ecommerce_Consumer_Behavior_Analysis_Data3[[#This Row],[Payment_Method]],V:V)</f>
        <v>#VALUE!</v>
      </c>
      <c r="AE990" s="2">
        <f t="shared" si="19"/>
        <v>101.31</v>
      </c>
    </row>
    <row r="991" spans="1:31" x14ac:dyDescent="0.25">
      <c r="A991" s="2" t="s">
        <v>2040</v>
      </c>
      <c r="B991" s="2">
        <v>40</v>
      </c>
      <c r="C991" s="2" t="s">
        <v>29</v>
      </c>
      <c r="D991" s="2" t="s">
        <v>44</v>
      </c>
      <c r="E991" s="2" t="s">
        <v>69</v>
      </c>
      <c r="F991" s="2" t="s">
        <v>45</v>
      </c>
      <c r="G991" s="2" t="s">
        <v>44</v>
      </c>
      <c r="H991" s="2" t="s">
        <v>2041</v>
      </c>
      <c r="I991" s="2" t="s">
        <v>246</v>
      </c>
      <c r="J991" s="2">
        <v>149.52000000000001</v>
      </c>
      <c r="K991" s="2">
        <v>9</v>
      </c>
      <c r="L991" s="2" t="s">
        <v>48</v>
      </c>
      <c r="M991" s="2">
        <v>2</v>
      </c>
      <c r="N991" s="2">
        <v>5</v>
      </c>
      <c r="O991" s="2">
        <v>1</v>
      </c>
      <c r="P991" s="2" t="s">
        <v>36</v>
      </c>
      <c r="Q991" s="2" t="s">
        <v>37</v>
      </c>
      <c r="R991" s="2">
        <v>0</v>
      </c>
      <c r="S991" s="2">
        <v>6</v>
      </c>
      <c r="T991" s="2" t="s">
        <v>36</v>
      </c>
      <c r="U991" s="2" t="s">
        <v>60</v>
      </c>
      <c r="V991" s="2" t="s">
        <v>86</v>
      </c>
      <c r="W991" s="3">
        <v>45361</v>
      </c>
      <c r="X991" s="2" t="b">
        <v>0</v>
      </c>
      <c r="Y991" s="2" t="b">
        <v>0</v>
      </c>
      <c r="Z991" s="2" t="s">
        <v>52</v>
      </c>
      <c r="AA991" s="2" t="s">
        <v>41</v>
      </c>
      <c r="AB991" s="2">
        <v>8</v>
      </c>
      <c r="AC991" s="2">
        <f>SUMIF(N:N,Ecommerce_Consumer_Behavior_Analysis_Data3[[#This Row],[Brand_Loyalty]],M:M)</f>
        <v>582</v>
      </c>
      <c r="AD991" s="2" t="e" cm="1" vm="1">
        <f t="array" aca="1" ref="AD991" ca="1">SUMIFS(Y:Y,Ecommerce_Consumer_Behavior_Analysis_Data3[[#This Row],[Payment_Method]],V:V)</f>
        <v>#VALUE!</v>
      </c>
      <c r="AE991" s="2">
        <f t="shared" si="19"/>
        <v>101.31</v>
      </c>
    </row>
    <row r="992" spans="1:31" x14ac:dyDescent="0.25">
      <c r="A992" s="2" t="s">
        <v>2042</v>
      </c>
      <c r="B992" s="2">
        <v>19</v>
      </c>
      <c r="C992" s="2" t="s">
        <v>29</v>
      </c>
      <c r="D992" s="2" t="s">
        <v>44</v>
      </c>
      <c r="E992" s="2" t="s">
        <v>69</v>
      </c>
      <c r="F992" s="2" t="s">
        <v>32</v>
      </c>
      <c r="G992" s="2" t="s">
        <v>44</v>
      </c>
      <c r="H992" s="2" t="s">
        <v>2043</v>
      </c>
      <c r="I992" s="2" t="s">
        <v>126</v>
      </c>
      <c r="J992" s="2">
        <v>206.32</v>
      </c>
      <c r="K992" s="2">
        <v>5</v>
      </c>
      <c r="L992" s="2" t="s">
        <v>78</v>
      </c>
      <c r="M992" s="2">
        <v>3</v>
      </c>
      <c r="N992" s="2">
        <v>3</v>
      </c>
      <c r="O992" s="2">
        <v>1</v>
      </c>
      <c r="P992" s="2" t="s">
        <v>59</v>
      </c>
      <c r="Q992" s="2" t="s">
        <v>50</v>
      </c>
      <c r="R992" s="2">
        <v>0</v>
      </c>
      <c r="S992" s="2">
        <v>4</v>
      </c>
      <c r="T992" s="2" t="s">
        <v>36</v>
      </c>
      <c r="U992" s="2" t="s">
        <v>79</v>
      </c>
      <c r="V992" s="2" t="s">
        <v>51</v>
      </c>
      <c r="W992" s="3">
        <v>45577</v>
      </c>
      <c r="X992" s="2" t="b">
        <v>1</v>
      </c>
      <c r="Y992" s="2" t="b">
        <v>0</v>
      </c>
      <c r="Z992" s="2" t="s">
        <v>52</v>
      </c>
      <c r="AA992" s="2" t="s">
        <v>67</v>
      </c>
      <c r="AB992" s="2">
        <v>12</v>
      </c>
      <c r="AC992" s="2">
        <f>SUMIF(N:N,Ecommerce_Consumer_Behavior_Analysis_Data3[[#This Row],[Brand_Loyalty]],M:M)</f>
        <v>597</v>
      </c>
      <c r="AD992" s="2" t="e" cm="1" vm="1">
        <f t="array" aca="1" ref="AD992" ca="1">SUMIFS(Y:Y,Ecommerce_Consumer_Behavior_Analysis_Data3[[#This Row],[Payment_Method]],V:V)</f>
        <v>#VALUE!</v>
      </c>
      <c r="AE992" s="2">
        <f t="shared" si="19"/>
        <v>333.8</v>
      </c>
    </row>
    <row r="993" spans="1:31" x14ac:dyDescent="0.25">
      <c r="A993" s="2" t="s">
        <v>2044</v>
      </c>
      <c r="B993" s="2">
        <v>40</v>
      </c>
      <c r="C993" s="2" t="s">
        <v>88</v>
      </c>
      <c r="D993" s="2" t="s">
        <v>44</v>
      </c>
      <c r="E993" s="2" t="s">
        <v>55</v>
      </c>
      <c r="F993" s="2" t="s">
        <v>32</v>
      </c>
      <c r="G993" s="2" t="s">
        <v>44</v>
      </c>
      <c r="H993" s="2" t="s">
        <v>2045</v>
      </c>
      <c r="I993" s="2" t="s">
        <v>123</v>
      </c>
      <c r="J993" s="2">
        <v>308.58</v>
      </c>
      <c r="K993" s="2">
        <v>11</v>
      </c>
      <c r="L993" s="2" t="s">
        <v>78</v>
      </c>
      <c r="M993" s="2">
        <v>2</v>
      </c>
      <c r="N993" s="2">
        <v>5</v>
      </c>
      <c r="O993" s="2">
        <v>2</v>
      </c>
      <c r="P993" s="2" t="s">
        <v>49</v>
      </c>
      <c r="Q993" s="2" t="s">
        <v>50</v>
      </c>
      <c r="R993" s="2">
        <v>0</v>
      </c>
      <c r="S993" s="2">
        <v>7</v>
      </c>
      <c r="T993" s="2" t="s">
        <v>49</v>
      </c>
      <c r="U993" s="2" t="s">
        <v>60</v>
      </c>
      <c r="V993" s="2" t="s">
        <v>61</v>
      </c>
      <c r="W993" s="3">
        <v>45433</v>
      </c>
      <c r="X993" s="2" t="b">
        <v>0</v>
      </c>
      <c r="Y993" s="2" t="b">
        <v>1</v>
      </c>
      <c r="Z993" s="2" t="s">
        <v>40</v>
      </c>
      <c r="AA993" s="2" t="s">
        <v>67</v>
      </c>
      <c r="AB993" s="2">
        <v>12</v>
      </c>
      <c r="AC993" s="2">
        <f>SUMIF(N:N,Ecommerce_Consumer_Behavior_Analysis_Data3[[#This Row],[Brand_Loyalty]],M:M)</f>
        <v>582</v>
      </c>
      <c r="AD993" s="2" t="e" cm="1" vm="1">
        <f t="array" aca="1" ref="AD993" ca="1">SUMIFS(Y:Y,Ecommerce_Consumer_Behavior_Analysis_Data3[[#This Row],[Payment_Method]],V:V)</f>
        <v>#VALUE!</v>
      </c>
      <c r="AE993" s="2">
        <f t="shared" si="19"/>
        <v>101.31</v>
      </c>
    </row>
    <row r="994" spans="1:31" x14ac:dyDescent="0.25">
      <c r="A994" s="2" t="s">
        <v>2046</v>
      </c>
      <c r="B994" s="2">
        <v>22</v>
      </c>
      <c r="C994" s="2" t="s">
        <v>29</v>
      </c>
      <c r="D994" s="2" t="s">
        <v>44</v>
      </c>
      <c r="E994" s="2" t="s">
        <v>55</v>
      </c>
      <c r="F994" s="2" t="s">
        <v>45</v>
      </c>
      <c r="G994" s="2" t="s">
        <v>30</v>
      </c>
      <c r="H994" s="2" t="s">
        <v>2047</v>
      </c>
      <c r="I994" s="2" t="s">
        <v>158</v>
      </c>
      <c r="J994" s="2">
        <v>91.34</v>
      </c>
      <c r="K994" s="2">
        <v>5</v>
      </c>
      <c r="L994" s="2" t="s">
        <v>78</v>
      </c>
      <c r="M994" s="2">
        <v>2</v>
      </c>
      <c r="N994" s="2">
        <v>1</v>
      </c>
      <c r="O994" s="2">
        <v>1</v>
      </c>
      <c r="P994" s="2" t="s">
        <v>36</v>
      </c>
      <c r="Q994" s="2" t="s">
        <v>50</v>
      </c>
      <c r="R994" s="2">
        <v>0</v>
      </c>
      <c r="S994" s="2">
        <v>1</v>
      </c>
      <c r="T994" s="2" t="s">
        <v>36</v>
      </c>
      <c r="U994" s="2" t="s">
        <v>60</v>
      </c>
      <c r="V994" s="2" t="s">
        <v>61</v>
      </c>
      <c r="W994" s="3">
        <v>45301</v>
      </c>
      <c r="X994" s="2" t="b">
        <v>1</v>
      </c>
      <c r="Y994" s="2" t="b">
        <v>1</v>
      </c>
      <c r="Z994" s="2" t="s">
        <v>62</v>
      </c>
      <c r="AA994" s="2" t="s">
        <v>67</v>
      </c>
      <c r="AB994" s="2">
        <v>6</v>
      </c>
      <c r="AC994" s="2">
        <f>SUMIF(N:N,Ecommerce_Consumer_Behavior_Analysis_Data3[[#This Row],[Brand_Loyalty]],M:M)</f>
        <v>582</v>
      </c>
      <c r="AD994" s="2" t="e" cm="1" vm="1">
        <f t="array" aca="1" ref="AD994" ca="1">SUMIFS(Y:Y,Ecommerce_Consumer_Behavior_Analysis_Data3[[#This Row],[Payment_Method]],V:V)</f>
        <v>#VALUE!</v>
      </c>
      <c r="AE994" s="2">
        <f t="shared" si="19"/>
        <v>101.31</v>
      </c>
    </row>
    <row r="995" spans="1:31" x14ac:dyDescent="0.25">
      <c r="A995" s="2" t="s">
        <v>2048</v>
      </c>
      <c r="B995" s="2">
        <v>25</v>
      </c>
      <c r="C995" s="2" t="s">
        <v>29</v>
      </c>
      <c r="D995" s="2" t="s">
        <v>44</v>
      </c>
      <c r="E995" s="2" t="s">
        <v>76</v>
      </c>
      <c r="F995" s="2" t="s">
        <v>45</v>
      </c>
      <c r="G995" s="2" t="s">
        <v>30</v>
      </c>
      <c r="H995" s="2" t="s">
        <v>2049</v>
      </c>
      <c r="I995" s="2" t="s">
        <v>98</v>
      </c>
      <c r="J995" s="2">
        <v>455.44</v>
      </c>
      <c r="K995" s="2">
        <v>7</v>
      </c>
      <c r="L995" s="2" t="s">
        <v>35</v>
      </c>
      <c r="M995" s="2">
        <v>4</v>
      </c>
      <c r="N995" s="2">
        <v>2</v>
      </c>
      <c r="O995" s="2">
        <v>1</v>
      </c>
      <c r="P995" s="2" t="s">
        <v>59</v>
      </c>
      <c r="Q995" s="2" t="s">
        <v>85</v>
      </c>
      <c r="R995" s="2">
        <v>2</v>
      </c>
      <c r="S995" s="2">
        <v>3</v>
      </c>
      <c r="T995" s="2" t="s">
        <v>59</v>
      </c>
      <c r="U995" s="2" t="s">
        <v>60</v>
      </c>
      <c r="V995" s="2" t="s">
        <v>66</v>
      </c>
      <c r="W995" s="3">
        <v>45419</v>
      </c>
      <c r="X995" s="2" t="b">
        <v>0</v>
      </c>
      <c r="Y995" s="2" t="b">
        <v>0</v>
      </c>
      <c r="Z995" s="2" t="s">
        <v>40</v>
      </c>
      <c r="AA995" s="2" t="s">
        <v>41</v>
      </c>
      <c r="AB995" s="2">
        <v>3</v>
      </c>
      <c r="AC995" s="2">
        <f>SUMIF(N:N,Ecommerce_Consumer_Behavior_Analysis_Data3[[#This Row],[Brand_Loyalty]],M:M)</f>
        <v>603</v>
      </c>
      <c r="AD995" s="2" t="e" cm="1" vm="1">
        <f t="array" aca="1" ref="AD995" ca="1">SUMIFS(Y:Y,Ecommerce_Consumer_Behavior_Analysis_Data3[[#This Row],[Payment_Method]],V:V)</f>
        <v>#VALUE!</v>
      </c>
      <c r="AE995" s="2">
        <f t="shared" si="19"/>
        <v>101.31</v>
      </c>
    </row>
    <row r="996" spans="1:31" x14ac:dyDescent="0.25">
      <c r="A996" s="2" t="s">
        <v>2050</v>
      </c>
      <c r="B996" s="2">
        <v>32</v>
      </c>
      <c r="C996" s="2" t="s">
        <v>29</v>
      </c>
      <c r="D996" s="2" t="s">
        <v>44</v>
      </c>
      <c r="E996" s="2" t="s">
        <v>76</v>
      </c>
      <c r="F996" s="2" t="s">
        <v>56</v>
      </c>
      <c r="G996" s="2" t="s">
        <v>30</v>
      </c>
      <c r="H996" s="2" t="s">
        <v>2051</v>
      </c>
      <c r="I996" s="2" t="s">
        <v>123</v>
      </c>
      <c r="J996" s="2">
        <v>468.16</v>
      </c>
      <c r="K996" s="2">
        <v>8</v>
      </c>
      <c r="L996" s="2" t="s">
        <v>78</v>
      </c>
      <c r="M996" s="2">
        <v>3</v>
      </c>
      <c r="N996" s="2">
        <v>5</v>
      </c>
      <c r="O996" s="2">
        <v>1</v>
      </c>
      <c r="P996" s="2" t="s">
        <v>59</v>
      </c>
      <c r="Q996" s="2" t="s">
        <v>37</v>
      </c>
      <c r="R996" s="2">
        <v>1</v>
      </c>
      <c r="S996" s="2">
        <v>5</v>
      </c>
      <c r="T996" s="2" t="s">
        <v>44</v>
      </c>
      <c r="U996" s="2" t="s">
        <v>79</v>
      </c>
      <c r="V996" s="2" t="s">
        <v>39</v>
      </c>
      <c r="W996" s="3">
        <v>45313</v>
      </c>
      <c r="X996" s="2" t="b">
        <v>0</v>
      </c>
      <c r="Y996" s="2" t="b">
        <v>0</v>
      </c>
      <c r="Z996" s="2" t="s">
        <v>74</v>
      </c>
      <c r="AA996" s="2" t="s">
        <v>53</v>
      </c>
      <c r="AB996" s="2">
        <v>2</v>
      </c>
      <c r="AC996" s="2">
        <f>SUMIF(N:N,Ecommerce_Consumer_Behavior_Analysis_Data3[[#This Row],[Brand_Loyalty]],M:M)</f>
        <v>597</v>
      </c>
      <c r="AD996" s="2" t="e" cm="1" vm="1">
        <f t="array" aca="1" ref="AD996" ca="1">SUMIFS(Y:Y,Ecommerce_Consumer_Behavior_Analysis_Data3[[#This Row],[Payment_Method]],V:V)</f>
        <v>#VALUE!</v>
      </c>
      <c r="AE996" s="2">
        <f t="shared" si="19"/>
        <v>426.22</v>
      </c>
    </row>
    <row r="997" spans="1:31" x14ac:dyDescent="0.25">
      <c r="A997" s="2" t="s">
        <v>2052</v>
      </c>
      <c r="B997" s="2">
        <v>44</v>
      </c>
      <c r="C997" s="2" t="s">
        <v>29</v>
      </c>
      <c r="D997" s="2" t="s">
        <v>44</v>
      </c>
      <c r="E997" s="2" t="s">
        <v>76</v>
      </c>
      <c r="F997" s="2" t="s">
        <v>32</v>
      </c>
      <c r="G997" s="2" t="s">
        <v>44</v>
      </c>
      <c r="H997" s="2" t="s">
        <v>2053</v>
      </c>
      <c r="I997" s="2" t="s">
        <v>93</v>
      </c>
      <c r="J997" s="2">
        <v>463.67</v>
      </c>
      <c r="K997" s="2">
        <v>5</v>
      </c>
      <c r="L997" s="2" t="s">
        <v>78</v>
      </c>
      <c r="M997" s="2">
        <v>2</v>
      </c>
      <c r="N997" s="2">
        <v>4</v>
      </c>
      <c r="O997" s="2">
        <v>0.3</v>
      </c>
      <c r="P997" s="2" t="s">
        <v>44</v>
      </c>
      <c r="Q997" s="2" t="s">
        <v>50</v>
      </c>
      <c r="R997" s="2">
        <v>2</v>
      </c>
      <c r="S997" s="2">
        <v>4</v>
      </c>
      <c r="T997" s="2" t="s">
        <v>36</v>
      </c>
      <c r="U997" s="2" t="s">
        <v>38</v>
      </c>
      <c r="V997" s="2" t="s">
        <v>51</v>
      </c>
      <c r="W997" s="3">
        <v>45480</v>
      </c>
      <c r="X997" s="2" t="b">
        <v>1</v>
      </c>
      <c r="Y997" s="2" t="b">
        <v>0</v>
      </c>
      <c r="Z997" s="2" t="s">
        <v>40</v>
      </c>
      <c r="AA997" s="2" t="s">
        <v>53</v>
      </c>
      <c r="AB997" s="2">
        <v>5</v>
      </c>
      <c r="AC997" s="2">
        <f>SUMIF(N:N,Ecommerce_Consumer_Behavior_Analysis_Data3[[#This Row],[Brand_Loyalty]],M:M)</f>
        <v>582</v>
      </c>
      <c r="AD997" s="2" t="e" cm="1" vm="1">
        <f t="array" aca="1" ref="AD997" ca="1">SUMIFS(Y:Y,Ecommerce_Consumer_Behavior_Analysis_Data3[[#This Row],[Payment_Method]],V:V)</f>
        <v>#VALUE!</v>
      </c>
      <c r="AE997" s="2">
        <f t="shared" si="19"/>
        <v>333.8</v>
      </c>
    </row>
    <row r="998" spans="1:31" x14ac:dyDescent="0.25">
      <c r="A998" s="2" t="s">
        <v>2054</v>
      </c>
      <c r="B998" s="2">
        <v>50</v>
      </c>
      <c r="C998" s="2" t="s">
        <v>29</v>
      </c>
      <c r="D998" s="2" t="s">
        <v>44</v>
      </c>
      <c r="E998" s="2" t="s">
        <v>55</v>
      </c>
      <c r="F998" s="2" t="s">
        <v>45</v>
      </c>
      <c r="G998" s="2" t="s">
        <v>30</v>
      </c>
      <c r="H998" s="2" t="s">
        <v>2055</v>
      </c>
      <c r="I998" s="2" t="s">
        <v>34</v>
      </c>
      <c r="J998" s="2">
        <v>69.78</v>
      </c>
      <c r="K998" s="2">
        <v>9</v>
      </c>
      <c r="L998" s="2" t="s">
        <v>35</v>
      </c>
      <c r="M998" s="2">
        <v>4</v>
      </c>
      <c r="N998" s="2">
        <v>3</v>
      </c>
      <c r="O998" s="2">
        <v>2</v>
      </c>
      <c r="P998" s="2" t="s">
        <v>59</v>
      </c>
      <c r="Q998" s="2" t="s">
        <v>85</v>
      </c>
      <c r="R998" s="2">
        <v>0</v>
      </c>
      <c r="S998" s="2">
        <v>6</v>
      </c>
      <c r="T998" s="2" t="s">
        <v>59</v>
      </c>
      <c r="U998" s="2" t="s">
        <v>38</v>
      </c>
      <c r="V998" s="2" t="s">
        <v>86</v>
      </c>
      <c r="W998" s="3">
        <v>45379</v>
      </c>
      <c r="X998" s="2" t="b">
        <v>1</v>
      </c>
      <c r="Y998" s="2" t="b">
        <v>0</v>
      </c>
      <c r="Z998" s="2" t="s">
        <v>52</v>
      </c>
      <c r="AA998" s="2" t="s">
        <v>41</v>
      </c>
      <c r="AB998" s="2">
        <v>9</v>
      </c>
      <c r="AC998" s="2">
        <f>SUMIF(N:N,Ecommerce_Consumer_Behavior_Analysis_Data3[[#This Row],[Brand_Loyalty]],M:M)</f>
        <v>603</v>
      </c>
      <c r="AD998" s="2" t="e" cm="1" vm="1">
        <f t="array" aca="1" ref="AD998" ca="1">SUMIFS(Y:Y,Ecommerce_Consumer_Behavior_Analysis_Data3[[#This Row],[Payment_Method]],V:V)</f>
        <v>#VALUE!</v>
      </c>
      <c r="AE998" s="2">
        <f t="shared" si="19"/>
        <v>333.8</v>
      </c>
    </row>
    <row r="999" spans="1:31" x14ac:dyDescent="0.25">
      <c r="A999" s="2" t="s">
        <v>2056</v>
      </c>
      <c r="B999" s="2">
        <v>26</v>
      </c>
      <c r="C999" s="2" t="s">
        <v>43</v>
      </c>
      <c r="D999" s="2" t="s">
        <v>44</v>
      </c>
      <c r="E999" s="2" t="s">
        <v>31</v>
      </c>
      <c r="F999" s="2" t="s">
        <v>32</v>
      </c>
      <c r="G999" s="2" t="s">
        <v>44</v>
      </c>
      <c r="H999" s="2" t="s">
        <v>2057</v>
      </c>
      <c r="I999" s="2" t="s">
        <v>47</v>
      </c>
      <c r="J999" s="2">
        <v>453.37</v>
      </c>
      <c r="K999" s="2">
        <v>10</v>
      </c>
      <c r="L999" s="2" t="s">
        <v>35</v>
      </c>
      <c r="M999" s="2">
        <v>1</v>
      </c>
      <c r="N999" s="2">
        <v>1</v>
      </c>
      <c r="O999" s="2">
        <v>2</v>
      </c>
      <c r="P999" s="2" t="s">
        <v>59</v>
      </c>
      <c r="Q999" s="2" t="s">
        <v>85</v>
      </c>
      <c r="R999" s="2">
        <v>0</v>
      </c>
      <c r="S999" s="2">
        <v>6</v>
      </c>
      <c r="T999" s="2" t="s">
        <v>44</v>
      </c>
      <c r="U999" s="2" t="s">
        <v>79</v>
      </c>
      <c r="V999" s="2" t="s">
        <v>39</v>
      </c>
      <c r="W999" s="3">
        <v>45362</v>
      </c>
      <c r="X999" s="2" t="b">
        <v>1</v>
      </c>
      <c r="Y999" s="2" t="b">
        <v>1</v>
      </c>
      <c r="Z999" s="2" t="s">
        <v>52</v>
      </c>
      <c r="AA999" s="2" t="s">
        <v>67</v>
      </c>
      <c r="AB999" s="2">
        <v>9</v>
      </c>
      <c r="AC999" s="2">
        <f>SUMIF(N:N,Ecommerce_Consumer_Behavior_Analysis_Data3[[#This Row],[Brand_Loyalty]],M:M)</f>
        <v>603</v>
      </c>
      <c r="AD999" s="2" t="e" cm="1" vm="1">
        <f t="array" aca="1" ref="AD999" ca="1">SUMIFS(Y:Y,Ecommerce_Consumer_Behavior_Analysis_Data3[[#This Row],[Payment_Method]],V:V)</f>
        <v>#VALUE!</v>
      </c>
      <c r="AE999" s="2">
        <f t="shared" si="19"/>
        <v>426.22</v>
      </c>
    </row>
    <row r="1000" spans="1:31" x14ac:dyDescent="0.25">
      <c r="A1000" s="2" t="s">
        <v>2058</v>
      </c>
      <c r="B1000" s="2">
        <v>21</v>
      </c>
      <c r="C1000" s="2" t="s">
        <v>29</v>
      </c>
      <c r="D1000" s="2" t="s">
        <v>44</v>
      </c>
      <c r="E1000" s="2" t="s">
        <v>69</v>
      </c>
      <c r="F1000" s="2" t="s">
        <v>32</v>
      </c>
      <c r="G1000" s="2" t="s">
        <v>30</v>
      </c>
      <c r="H1000" s="2" t="s">
        <v>2059</v>
      </c>
      <c r="I1000" s="2" t="s">
        <v>123</v>
      </c>
      <c r="J1000" s="2">
        <v>106.15</v>
      </c>
      <c r="K1000" s="2">
        <v>12</v>
      </c>
      <c r="L1000" s="2" t="s">
        <v>48</v>
      </c>
      <c r="M1000" s="2">
        <v>4</v>
      </c>
      <c r="N1000" s="2">
        <v>4</v>
      </c>
      <c r="O1000" s="2">
        <v>0.3</v>
      </c>
      <c r="P1000" s="2" t="s">
        <v>59</v>
      </c>
      <c r="Q1000" s="2" t="s">
        <v>37</v>
      </c>
      <c r="R1000" s="2">
        <v>0</v>
      </c>
      <c r="S1000" s="2">
        <v>5</v>
      </c>
      <c r="T1000" s="2" t="s">
        <v>49</v>
      </c>
      <c r="U1000" s="2" t="s">
        <v>79</v>
      </c>
      <c r="V1000" s="2" t="s">
        <v>86</v>
      </c>
      <c r="W1000" s="3">
        <v>45381</v>
      </c>
      <c r="X1000" s="2" t="b">
        <v>1</v>
      </c>
      <c r="Y1000" s="2" t="b">
        <v>1</v>
      </c>
      <c r="Z1000" s="2" t="s">
        <v>62</v>
      </c>
      <c r="AA1000" s="2" t="s">
        <v>53</v>
      </c>
      <c r="AB1000" s="2">
        <v>8</v>
      </c>
      <c r="AC1000" s="2">
        <f>SUMIF(N:N,Ecommerce_Consumer_Behavior_Analysis_Data3[[#This Row],[Brand_Loyalty]],M:M)</f>
        <v>603</v>
      </c>
      <c r="AD1000" s="2" t="e" cm="1" vm="1">
        <f t="array" aca="1" ref="AD1000" ca="1">SUMIFS(Y:Y,Ecommerce_Consumer_Behavior_Analysis_Data3[[#This Row],[Payment_Method]],V:V)</f>
        <v>#VALUE!</v>
      </c>
      <c r="AE1000" s="2">
        <f t="shared" si="19"/>
        <v>378.47</v>
      </c>
    </row>
    <row r="1001" spans="1:31" x14ac:dyDescent="0.25">
      <c r="A1001" s="2" t="s">
        <v>2060</v>
      </c>
      <c r="B1001" s="2">
        <v>21</v>
      </c>
      <c r="C1001" s="2" t="s">
        <v>29</v>
      </c>
      <c r="D1001" s="2" t="s">
        <v>30</v>
      </c>
      <c r="E1001" s="2" t="s">
        <v>55</v>
      </c>
      <c r="F1001" s="2" t="s">
        <v>45</v>
      </c>
      <c r="G1001" s="2" t="s">
        <v>44</v>
      </c>
      <c r="H1001" s="2" t="s">
        <v>2061</v>
      </c>
      <c r="I1001" s="2" t="s">
        <v>104</v>
      </c>
      <c r="J1001" s="2">
        <v>378.47</v>
      </c>
      <c r="K1001" s="2">
        <v>6</v>
      </c>
      <c r="L1001" s="2" t="s">
        <v>78</v>
      </c>
      <c r="M1001" s="2">
        <v>5</v>
      </c>
      <c r="N1001" s="2">
        <v>2</v>
      </c>
      <c r="O1001" s="2">
        <v>0.33</v>
      </c>
      <c r="P1001" s="2" t="s">
        <v>49</v>
      </c>
      <c r="Q1001" s="2" t="s">
        <v>50</v>
      </c>
      <c r="R1001" s="2">
        <v>1</v>
      </c>
      <c r="S1001" s="2">
        <v>10</v>
      </c>
      <c r="T1001" s="2" t="s">
        <v>59</v>
      </c>
      <c r="U1001" s="2" t="s">
        <v>38</v>
      </c>
      <c r="V1001" s="2" t="s">
        <v>66</v>
      </c>
      <c r="W1001" s="3">
        <v>45634</v>
      </c>
      <c r="X1001" s="2" t="b">
        <v>0</v>
      </c>
      <c r="Y1001" s="2" t="b">
        <v>0</v>
      </c>
      <c r="Z1001" s="2" t="s">
        <v>74</v>
      </c>
      <c r="AA1001" s="2" t="s">
        <v>67</v>
      </c>
      <c r="AB1001" s="2">
        <v>2</v>
      </c>
      <c r="AC1001" s="2">
        <f>SUMIF(N:N,Ecommerce_Consumer_Behavior_Analysis_Data3[[#This Row],[Brand_Loyalty]],M:M)</f>
        <v>641</v>
      </c>
      <c r="AD1001" s="2" t="e" cm="1" vm="1">
        <f t="array" aca="1" ref="AD1001" ca="1">SUMIFS(Y:Y,Ecommerce_Consumer_Behavior_Analysis_Data3[[#This Row],[Payment_Method]],V:V)</f>
        <v>#VALUE!</v>
      </c>
      <c r="AE1001" s="2">
        <f t="shared" si="19"/>
        <v>211.7</v>
      </c>
    </row>
  </sheetData>
  <conditionalFormatting sqref="B1:B1048576">
    <cfRule type="dataBar" priority="5">
      <dataBar>
        <cfvo type="min"/>
        <cfvo type="max"/>
        <color rgb="FFD6007B"/>
      </dataBar>
      <extLst>
        <ext xmlns:x14="http://schemas.microsoft.com/office/spreadsheetml/2009/9/main" uri="{B025F937-C7B1-47D3-B67F-A62EFF666E3E}">
          <x14:id>{47BBE1F2-A876-4BB0-9408-DE78BF7BCA66}</x14:id>
        </ext>
      </extLst>
    </cfRule>
  </conditionalFormatting>
  <conditionalFormatting sqref="J1:J1048576">
    <cfRule type="aboveAverage" dxfId="5" priority="6" aboveAverage="0"/>
    <cfRule type="cellIs" dxfId="4" priority="7" operator="between">
      <formula>200</formula>
      <formula>500</formula>
    </cfRule>
  </conditionalFormatting>
  <conditionalFormatting sqref="N1:N1048576">
    <cfRule type="aboveAverage" dxfId="3" priority="8"/>
  </conditionalFormatting>
  <conditionalFormatting sqref="W1:W1048576">
    <cfRule type="top10" dxfId="2" priority="4" rank="100"/>
  </conditionalFormatting>
  <conditionalFormatting sqref="AB1:AB1048576">
    <cfRule type="top10" dxfId="1" priority="1" rank="10"/>
    <cfRule type="dataBar" priority="2">
      <dataBar>
        <cfvo type="min"/>
        <cfvo type="max"/>
        <color rgb="FF638EC6"/>
      </dataBar>
      <extLst>
        <ext xmlns:x14="http://schemas.microsoft.com/office/spreadsheetml/2009/9/main" uri="{B025F937-C7B1-47D3-B67F-A62EFF666E3E}">
          <x14:id>{7C3F98BB-3084-4104-8859-C27791BD8FF4}</x14:id>
        </ext>
      </extLst>
    </cfRule>
    <cfRule type="top10" dxfId="0" priority="3" rank="10"/>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7BBE1F2-A876-4BB0-9408-DE78BF7BCA66}">
            <x14:dataBar minLength="0" maxLength="100" border="1" negativeBarBorderColorSameAsPositive="0">
              <x14:cfvo type="autoMin"/>
              <x14:cfvo type="autoMax"/>
              <x14:borderColor rgb="FFD6007B"/>
              <x14:negativeFillColor rgb="FFFF0000"/>
              <x14:negativeBorderColor rgb="FFFF0000"/>
              <x14:axisColor rgb="FF000000"/>
            </x14:dataBar>
          </x14:cfRule>
          <xm:sqref>B1:B1048576</xm:sqref>
        </x14:conditionalFormatting>
        <x14:conditionalFormatting xmlns:xm="http://schemas.microsoft.com/office/excel/2006/main">
          <x14:cfRule type="dataBar" id="{7C3F98BB-3084-4104-8859-C27791BD8FF4}">
            <x14:dataBar minLength="0" maxLength="100" border="1" negativeBarBorderColorSameAsPositive="0">
              <x14:cfvo type="autoMin"/>
              <x14:cfvo type="autoMax"/>
              <x14:borderColor rgb="FF638EC6"/>
              <x14:negativeFillColor rgb="FFFF0000"/>
              <x14:negativeBorderColor rgb="FFFF0000"/>
              <x14:axisColor rgb="FF000000"/>
            </x14:dataBar>
          </x14:cfRule>
          <xm:sqref>AB1:AB1048576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C0150-A41B-4EB4-89B0-CB87CB22680D}">
  <dimension ref="B2:N22"/>
  <sheetViews>
    <sheetView zoomScale="80" workbookViewId="0">
      <selection activeCell="B2" sqref="B2:C4"/>
    </sheetView>
  </sheetViews>
  <sheetFormatPr defaultRowHeight="15" x14ac:dyDescent="0.25"/>
  <cols>
    <col min="2" max="3" width="14.140625" customWidth="1"/>
    <col min="4" max="4" width="24.42578125" customWidth="1"/>
    <col min="6" max="6" width="14.140625" customWidth="1"/>
    <col min="7" max="7" width="24.42578125" customWidth="1"/>
    <col min="11" max="11" width="19.7109375" customWidth="1"/>
    <col min="13" max="13" width="18.5703125" customWidth="1"/>
  </cols>
  <sheetData>
    <row r="2" spans="2:14" x14ac:dyDescent="0.25">
      <c r="B2" s="5" t="s">
        <v>2070</v>
      </c>
      <c r="C2" t="s">
        <v>2072</v>
      </c>
      <c r="F2" s="5" t="s">
        <v>2070</v>
      </c>
      <c r="G2" t="s">
        <v>2072</v>
      </c>
      <c r="M2" s="8" t="s">
        <v>2074</v>
      </c>
    </row>
    <row r="3" spans="2:14" x14ac:dyDescent="0.25">
      <c r="B3" s="6" t="s">
        <v>44</v>
      </c>
      <c r="C3">
        <v>46973.93</v>
      </c>
      <c r="F3" s="6" t="s">
        <v>76</v>
      </c>
      <c r="G3">
        <v>24877.11</v>
      </c>
      <c r="K3" s="7" t="s">
        <v>2073</v>
      </c>
      <c r="M3" s="8">
        <v>275063.88000000006</v>
      </c>
    </row>
    <row r="4" spans="2:14" x14ac:dyDescent="0.25">
      <c r="B4" s="6" t="s">
        <v>30</v>
      </c>
      <c r="C4">
        <v>44630.299999999974</v>
      </c>
      <c r="F4" s="6" t="s">
        <v>31</v>
      </c>
      <c r="G4">
        <v>20303.760000000002</v>
      </c>
      <c r="K4" s="7">
        <v>1000</v>
      </c>
    </row>
    <row r="5" spans="2:14" x14ac:dyDescent="0.25">
      <c r="B5" s="6" t="s">
        <v>2071</v>
      </c>
      <c r="C5">
        <v>91604.229999999981</v>
      </c>
      <c r="F5" s="6" t="s">
        <v>55</v>
      </c>
      <c r="G5">
        <v>24795.399999999998</v>
      </c>
    </row>
    <row r="6" spans="2:14" x14ac:dyDescent="0.25">
      <c r="F6" s="6" t="s">
        <v>69</v>
      </c>
      <c r="G6">
        <v>21627.960000000003</v>
      </c>
    </row>
    <row r="7" spans="2:14" x14ac:dyDescent="0.25">
      <c r="F7" s="6" t="s">
        <v>2071</v>
      </c>
      <c r="G7">
        <v>91604.23000000001</v>
      </c>
      <c r="K7" s="9" t="s">
        <v>2075</v>
      </c>
      <c r="M7" s="10" t="s">
        <v>2076</v>
      </c>
      <c r="N7" s="8"/>
    </row>
    <row r="8" spans="2:14" x14ac:dyDescent="0.25">
      <c r="K8" s="9">
        <v>3033</v>
      </c>
      <c r="M8" s="10">
        <v>3026</v>
      </c>
    </row>
    <row r="10" spans="2:14" x14ac:dyDescent="0.25">
      <c r="B10" s="5" t="s">
        <v>2070</v>
      </c>
      <c r="C10" t="s">
        <v>2072</v>
      </c>
      <c r="F10" s="5" t="s">
        <v>2070</v>
      </c>
      <c r="G10" t="s">
        <v>2072</v>
      </c>
    </row>
    <row r="11" spans="2:14" x14ac:dyDescent="0.25">
      <c r="B11" s="6" t="s">
        <v>32</v>
      </c>
      <c r="C11">
        <v>33454.950000000004</v>
      </c>
      <c r="F11" s="6" t="s">
        <v>78</v>
      </c>
      <c r="G11">
        <v>91604.230000000054</v>
      </c>
    </row>
    <row r="12" spans="2:14" x14ac:dyDescent="0.25">
      <c r="B12" s="6" t="s">
        <v>45</v>
      </c>
      <c r="C12">
        <v>28008.429999999997</v>
      </c>
      <c r="F12" s="6" t="s">
        <v>2071</v>
      </c>
      <c r="G12">
        <v>91604.230000000054</v>
      </c>
    </row>
    <row r="13" spans="2:14" x14ac:dyDescent="0.25">
      <c r="B13" s="6" t="s">
        <v>56</v>
      </c>
      <c r="C13">
        <v>30140.850000000009</v>
      </c>
    </row>
    <row r="14" spans="2:14" x14ac:dyDescent="0.25">
      <c r="B14" s="6" t="s">
        <v>2071</v>
      </c>
      <c r="C14">
        <v>91604.23000000001</v>
      </c>
    </row>
    <row r="18" spans="3:4" x14ac:dyDescent="0.25">
      <c r="C18" s="5" t="s">
        <v>2070</v>
      </c>
      <c r="D18" t="s">
        <v>2072</v>
      </c>
    </row>
    <row r="19" spans="3:4" x14ac:dyDescent="0.25">
      <c r="C19" s="6" t="s">
        <v>67</v>
      </c>
      <c r="D19">
        <v>25707.749999999996</v>
      </c>
    </row>
    <row r="20" spans="3:4" x14ac:dyDescent="0.25">
      <c r="C20" s="6" t="s">
        <v>41</v>
      </c>
      <c r="D20">
        <v>35007.180000000008</v>
      </c>
    </row>
    <row r="21" spans="3:4" x14ac:dyDescent="0.25">
      <c r="C21" s="6" t="s">
        <v>53</v>
      </c>
      <c r="D21">
        <v>30889.3</v>
      </c>
    </row>
    <row r="22" spans="3:4" x14ac:dyDescent="0.25">
      <c r="C22" s="6" t="s">
        <v>2071</v>
      </c>
      <c r="D22">
        <v>91604.23000000001</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4994C-7E3F-4B3C-A9AD-30CFA2EF4ED4}">
  <sheetPr codeName="Sheet3"/>
  <dimension ref="A1"/>
  <sheetViews>
    <sheetView tabSelected="1" zoomScale="73" zoomScaleNormal="73" workbookViewId="0">
      <selection activeCell="AB21" sqref="AB21"/>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E50A390-8158-4C03-999A-57F58A5C1D5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Ecommerce_Consumer_Behavior_Ana</vt:lpstr>
      <vt:lpstr>analysis</vt:lpstr>
      <vt:lpstr>pivot table </vt:lpstr>
      <vt:lpstr>pivot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Mishra</dc:creator>
  <cp:lastModifiedBy>Harshal Mishra</cp:lastModifiedBy>
  <dcterms:created xsi:type="dcterms:W3CDTF">2026-10-02T08:32:24Z</dcterms:created>
  <dcterms:modified xsi:type="dcterms:W3CDTF">2026-10-04T08:04:54Z</dcterms:modified>
</cp:coreProperties>
</file>